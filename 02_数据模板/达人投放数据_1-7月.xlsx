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90" tabRatio="600" firstSheet="0" activeTab="0" autoFilterDateGrouping="1"/>
  </bookViews>
  <sheets>
    <sheet xmlns:r="http://schemas.openxmlformats.org/officeDocument/2006/relationships" name="投放明细表" sheetId="1" state="visible" r:id="rId1"/>
    <sheet xmlns:r="http://schemas.openxmlformats.org/officeDocument/2006/relationships" name="达人主数据" sheetId="2" state="visible" r:id="rId2"/>
    <sheet xmlns:r="http://schemas.openxmlformats.org/officeDocument/2006/relationships" name="款式主数据" sheetId="3" state="visible" r:id="rId3"/>
    <sheet xmlns:r="http://schemas.openxmlformats.org/officeDocument/2006/relationships" name="更新指南" sheetId="4" state="visible" r:id="rId4"/>
  </sheets>
  <definedNames>
    <definedName name="_xlnm._FilterDatabase" localSheetId="0" hidden="1">'投放明细表'!$A$2:$R$1429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yyyy-mm-dd"/>
  </numFmts>
  <fonts count="28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sz val="11"/>
    </font>
    <font>
      <name val="微软雅黑"/>
      <charset val="134"/>
      <b val="1"/>
      <sz val="12"/>
    </font>
    <font>
      <name val="微软雅黑"/>
      <charset val="134"/>
      <b val="1"/>
      <color rgb="FFFFFFFF"/>
      <sz val="11"/>
    </font>
    <font>
      <name val="微软雅黑"/>
      <charset val="134"/>
      <i val="1"/>
      <color rgb="FF9CA3AF"/>
      <sz val="10"/>
    </font>
    <font>
      <name val="微软雅黑"/>
      <charset val="134"/>
      <color rgb="FF9CA3AF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DBEAFE"/>
        <bgColor rgb="FFDBEAFE"/>
      </patternFill>
    </fill>
    <fill>
      <patternFill patternType="solid">
        <fgColor rgb="FF818CF8"/>
        <bgColor rgb="FF818C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7" borderId="6" applyAlignment="1">
      <alignment vertical="center"/>
    </xf>
    <xf numFmtId="0" fontId="18" fillId="7" borderId="5" applyAlignment="1">
      <alignment vertical="center"/>
    </xf>
    <xf numFmtId="0" fontId="19" fillId="8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5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数据模板</author>
  </authors>
  <commentList>
    <comment ref="D2" authorId="0" shapeId="0">
      <text>
        <t>达人维度目前暂无数据，留空；后续做达人投放时填</t>
      </text>
    </comment>
    <comment ref="E2" authorId="0" shapeId="0">
      <text>
        <t>达人维度目前暂无数据，留空</t>
      </text>
    </comment>
    <comment ref="H2" authorId="0" shapeId="0">
      <text>
        <t>内容类型：穿搭/口播/合集/明星名字等各种内容形式</t>
      </text>
    </comment>
    <comment ref="I2" authorId="0" shapeId="0">
      <text>
        <t>支付给达人的合作费用（当前数据的投放费用全部计入此列）</t>
      </text>
    </comment>
    <comment ref="J2" authorId="0" shapeId="0">
      <text>
        <t>平台DOU+/薯条/信息流等投放费（暂无数据）</t>
      </text>
    </comment>
    <comment ref="K2" authorId="0" shapeId="0">
      <text>
        <t>寄样成本+运费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7"/>
  <sheetViews>
    <sheetView tabSelected="1" workbookViewId="0">
      <pane ySplit="2" topLeftCell="A3" activePane="bottomLeft" state="frozen"/>
      <selection activeCell="A1" sqref="A1"/>
      <selection pane="bottomLeft" activeCell="F27" sqref="F27"/>
    </sheetView>
  </sheetViews>
  <sheetFormatPr baseColWidth="8" defaultColWidth="9" defaultRowHeight="13.5"/>
  <cols>
    <col width="12" customWidth="1" min="1" max="1"/>
    <col width="8" customWidth="1" min="2" max="2"/>
    <col width="10" customWidth="1" min="3" max="3"/>
    <col width="12" customWidth="1" min="4" max="4"/>
    <col width="12.25" customWidth="1" min="5" max="5"/>
    <col width="32" customWidth="1" min="6" max="6"/>
    <col width="12" customWidth="1" min="7" max="7"/>
    <col width="14" customWidth="1" min="8" max="8"/>
    <col width="12" customWidth="1" min="9" max="12"/>
    <col width="10" customWidth="1" min="13" max="15"/>
    <col width="12" customWidth="1" min="16" max="16"/>
    <col width="10" customWidth="1" min="17" max="17"/>
    <col width="12" customWidth="1" min="18" max="18"/>
  </cols>
  <sheetData>
    <row r="1" ht="15" customHeight="1">
      <c r="A1" s="12" t="inlineStr">
        <is>
          <t>基础信息</t>
        </is>
      </c>
      <c r="B1" s="14" t="n"/>
      <c r="C1" s="14" t="n"/>
      <c r="D1" s="14" t="n"/>
      <c r="E1" s="14" t="n"/>
      <c r="F1" s="15" t="n"/>
      <c r="G1" s="12" t="inlineStr">
        <is>
          <t>内容信息</t>
        </is>
      </c>
      <c r="H1" s="15" t="n"/>
      <c r="I1" s="12" t="inlineStr">
        <is>
          <t>费用数据</t>
        </is>
      </c>
      <c r="J1" s="14" t="n"/>
      <c r="K1" s="15" t="n"/>
      <c r="L1" s="12" t="n"/>
      <c r="M1" s="14" t="n"/>
      <c r="N1" s="14" t="n"/>
      <c r="O1" s="15" t="n"/>
      <c r="P1" s="12" t="inlineStr">
        <is>
          <t>效率指标</t>
        </is>
      </c>
      <c r="Q1" s="14" t="n"/>
      <c r="R1" s="15" t="n"/>
    </row>
    <row r="2" ht="30" customHeight="1">
      <c r="A2" s="4" t="inlineStr">
        <is>
          <t>投放日期</t>
        </is>
      </c>
      <c r="B2" s="4" t="inlineStr">
        <is>
          <t>所属周</t>
        </is>
      </c>
      <c r="C2" s="4" t="inlineStr">
        <is>
          <t>平台</t>
        </is>
      </c>
      <c r="D2" s="4" t="inlineStr">
        <is>
          <t>达人ID</t>
        </is>
      </c>
      <c r="E2" s="4" t="inlineStr">
        <is>
          <t>达人姓名</t>
        </is>
      </c>
      <c r="F2" s="4" t="inlineStr">
        <is>
          <t>内容链接</t>
        </is>
      </c>
      <c r="G2" s="4" t="inlineStr">
        <is>
          <t>款式编号</t>
        </is>
      </c>
      <c r="H2" s="4" t="inlineStr">
        <is>
          <t>内容类型</t>
        </is>
      </c>
      <c r="I2" s="4" t="inlineStr">
        <is>
          <t>达人合作费</t>
        </is>
      </c>
      <c r="J2" s="4" t="inlineStr">
        <is>
          <t>平台投放费</t>
        </is>
      </c>
      <c r="K2" s="4" t="inlineStr">
        <is>
          <t>样品/运费成本</t>
        </is>
      </c>
      <c r="L2" s="4" t="inlineStr">
        <is>
          <t>点击量</t>
        </is>
      </c>
      <c r="M2" s="4" t="inlineStr">
        <is>
          <t>点赞数</t>
        </is>
      </c>
      <c r="N2" s="4" t="inlineStr">
        <is>
          <t>收藏数</t>
        </is>
      </c>
      <c r="O2" s="4" t="inlineStr">
        <is>
          <t>评论数</t>
        </is>
      </c>
      <c r="P2" s="4" t="inlineStr">
        <is>
          <t>总互动量</t>
        </is>
      </c>
      <c r="Q2" s="4" t="inlineStr">
        <is>
          <t>互动率</t>
        </is>
      </c>
      <c r="R2" s="4" t="inlineStr">
        <is>
          <t>单互动成本</t>
        </is>
      </c>
    </row>
    <row r="3" ht="27" customHeight="1">
      <c r="A3" s="5" t="inlineStr">
        <is>
          <t>2026-01-01</t>
        </is>
      </c>
      <c r="B3" s="5" t="inlineStr">
        <is>
          <t>1周</t>
        </is>
      </c>
      <c r="C3" s="5" t="inlineStr">
        <is>
          <t>抖音</t>
        </is>
      </c>
      <c r="D3" s="5" t="n"/>
      <c r="E3" s="5" t="n"/>
      <c r="F3" s="5" t="inlineStr">
        <is>
          <t>https://v.douyin.com/iAq4s_v7QHs/</t>
        </is>
      </c>
      <c r="G3" s="5" t="inlineStr">
        <is>
          <t>000A1</t>
        </is>
      </c>
      <c r="H3" s="5" t="inlineStr">
        <is>
          <t>文严文</t>
        </is>
      </c>
      <c r="I3" s="5" t="n"/>
      <c r="J3" s="5" t="n"/>
      <c r="K3" s="5" t="n">
        <v>107.5</v>
      </c>
      <c r="L3" s="5" t="n">
        <v>7172</v>
      </c>
      <c r="M3" s="5" t="n">
        <v>395</v>
      </c>
      <c r="N3" s="5" t="n">
        <v>31</v>
      </c>
      <c r="O3" s="5" t="n">
        <v>16</v>
      </c>
      <c r="P3" s="8">
        <f>IF(AND(M3&lt;&gt;"",M3&gt;0),M3+N3+O3,"")</f>
        <v/>
      </c>
      <c r="Q3" s="11">
        <f>IF(AND(L3&lt;&gt;"",L3&gt;0,P3&lt;&gt;""),P3/L3,"")</f>
        <v/>
      </c>
      <c r="R3" s="16">
        <f>IF(AND(P3&lt;&gt;"",P3&gt;0),(I3+J3+K3)/P3,"")</f>
        <v/>
      </c>
    </row>
    <row r="4" ht="27" customHeight="1">
      <c r="A4" s="5" t="inlineStr">
        <is>
          <t>2026-01-01</t>
        </is>
      </c>
      <c r="B4" s="5" t="inlineStr">
        <is>
          <t>1周</t>
        </is>
      </c>
      <c r="C4" s="5" t="inlineStr">
        <is>
          <t>抖音</t>
        </is>
      </c>
      <c r="D4" s="5" t="n"/>
      <c r="E4" s="5" t="n"/>
      <c r="F4" s="5" t="inlineStr">
        <is>
          <t>https://v.douyin.com/MSVmmfdkbVo/</t>
        </is>
      </c>
      <c r="G4" s="5" t="inlineStr">
        <is>
          <t>0001A1</t>
        </is>
      </c>
      <c r="H4" s="5" t="inlineStr">
        <is>
          <t>文严文</t>
        </is>
      </c>
      <c r="I4" s="5" t="n"/>
      <c r="J4" s="5" t="n"/>
      <c r="K4" s="5" t="n">
        <v>107.5</v>
      </c>
      <c r="L4" s="5" t="n">
        <v>13000</v>
      </c>
      <c r="M4" s="5" t="n">
        <v>1051</v>
      </c>
      <c r="N4" s="5" t="n">
        <v>31</v>
      </c>
      <c r="O4" s="5" t="n">
        <v>43</v>
      </c>
      <c r="P4" s="8">
        <f>IF(AND(M4&lt;&gt;"",M4&gt;0),M4+N4+O4,"")</f>
        <v/>
      </c>
      <c r="Q4" s="11">
        <f>IF(AND(L4&lt;&gt;"",L4&gt;0,P4&lt;&gt;""),P4/L4,"")</f>
        <v/>
      </c>
      <c r="R4" s="16">
        <f>IF(AND(P4&lt;&gt;"",P4&gt;0),(I4+J4+K4)/P4,"")</f>
        <v/>
      </c>
    </row>
    <row r="5" ht="27" customHeight="1">
      <c r="A5" s="5" t="inlineStr">
        <is>
          <t>2026-01-01</t>
        </is>
      </c>
      <c r="B5" s="5" t="inlineStr">
        <is>
          <t>1周</t>
        </is>
      </c>
      <c r="C5" s="5" t="inlineStr">
        <is>
          <t>抖音</t>
        </is>
      </c>
      <c r="D5" s="5" t="n"/>
      <c r="E5" s="5" t="n"/>
      <c r="F5" s="5" t="inlineStr">
        <is>
          <t>https://v.douyin.com/y3HUBilSJ-o/</t>
        </is>
      </c>
      <c r="G5" s="5" t="inlineStr">
        <is>
          <t>0001A1</t>
        </is>
      </c>
      <c r="H5" s="5" t="inlineStr">
        <is>
          <t>文严文</t>
        </is>
      </c>
      <c r="I5" s="5" t="n"/>
      <c r="J5" s="5" t="n"/>
      <c r="K5" s="5" t="n">
        <v>107.5</v>
      </c>
      <c r="L5" s="5" t="n">
        <v>2500</v>
      </c>
      <c r="M5" s="5" t="n">
        <v>182</v>
      </c>
      <c r="N5" s="5" t="n">
        <v>5</v>
      </c>
      <c r="O5" s="5" t="n">
        <v>7</v>
      </c>
      <c r="P5" s="8">
        <f>IF(AND(M5&lt;&gt;"",M5&gt;0),M5+N5+O5,"")</f>
        <v/>
      </c>
      <c r="Q5" s="11">
        <f>IF(AND(L5&lt;&gt;"",L5&gt;0,P5&lt;&gt;""),P5/L5,"")</f>
        <v/>
      </c>
      <c r="R5" s="16">
        <f>IF(AND(P5&lt;&gt;"",P5&gt;0),(I5+J5+K5)/P5,"")</f>
        <v/>
      </c>
    </row>
    <row r="6" ht="27" customHeight="1">
      <c r="A6" s="5" t="inlineStr">
        <is>
          <t>2026-01-01</t>
        </is>
      </c>
      <c r="B6" s="5" t="inlineStr">
        <is>
          <t>1周</t>
        </is>
      </c>
      <c r="C6" s="5" t="inlineStr">
        <is>
          <t>抖音</t>
        </is>
      </c>
      <c r="D6" s="5" t="n"/>
      <c r="E6" s="5" t="n"/>
      <c r="F6" s="5" t="inlineStr">
        <is>
          <t>https://v.douyin.com/sBAtJ5NSdU4/</t>
        </is>
      </c>
      <c r="G6" s="5" t="inlineStr">
        <is>
          <t>0001A1</t>
        </is>
      </c>
      <c r="H6" s="5" t="inlineStr">
        <is>
          <t>文严文</t>
        </is>
      </c>
      <c r="I6" s="5" t="n"/>
      <c r="J6" s="5" t="n"/>
      <c r="K6" s="5" t="n">
        <v>107.5</v>
      </c>
      <c r="L6" s="5" t="n">
        <v>495</v>
      </c>
      <c r="M6" s="5" t="n">
        <v>39</v>
      </c>
      <c r="N6" s="5" t="n">
        <v>7</v>
      </c>
      <c r="O6" s="5" t="n">
        <v>6</v>
      </c>
      <c r="P6" s="8">
        <f>IF(AND(M6&lt;&gt;"",M6&gt;0),M6+N6+O6,"")</f>
        <v/>
      </c>
      <c r="Q6" s="11">
        <f>IF(AND(L6&lt;&gt;"",L6&gt;0,P6&lt;&gt;""),P6/L6,"")</f>
        <v/>
      </c>
      <c r="R6" s="16">
        <f>IF(AND(P6&lt;&gt;"",P6&gt;0),(I6+J6+K6)/P6,"")</f>
        <v/>
      </c>
    </row>
    <row r="7" ht="27" customHeight="1">
      <c r="A7" s="5" t="inlineStr">
        <is>
          <t>2026-01-01</t>
        </is>
      </c>
      <c r="B7" s="5" t="inlineStr">
        <is>
          <t>1周</t>
        </is>
      </c>
      <c r="C7" s="5" t="inlineStr">
        <is>
          <t>抖音</t>
        </is>
      </c>
      <c r="D7" s="5" t="n"/>
      <c r="E7" s="5" t="n"/>
      <c r="F7" s="5" t="inlineStr">
        <is>
          <t>https://v.douyin.com/PbZ_SSzunx4/</t>
        </is>
      </c>
      <c r="G7" s="5" t="inlineStr">
        <is>
          <t>0001A1</t>
        </is>
      </c>
      <c r="H7" s="5" t="inlineStr">
        <is>
          <t>文严文</t>
        </is>
      </c>
      <c r="I7" s="5" t="n"/>
      <c r="J7" s="5" t="n"/>
      <c r="K7" s="5" t="n">
        <v>107.5</v>
      </c>
      <c r="L7" s="5" t="n">
        <v>20000</v>
      </c>
      <c r="M7" s="5" t="n">
        <v>801</v>
      </c>
      <c r="N7" s="5" t="n">
        <v>55</v>
      </c>
      <c r="O7" s="5" t="n">
        <v>27</v>
      </c>
      <c r="P7" s="8">
        <f>IF(AND(M7&lt;&gt;"",M7&gt;0),M7+N7+O7,"")</f>
        <v/>
      </c>
      <c r="Q7" s="11">
        <f>IF(AND(L7&lt;&gt;"",L7&gt;0,P7&lt;&gt;""),P7/L7,"")</f>
        <v/>
      </c>
      <c r="R7" s="16">
        <f>IF(AND(P7&lt;&gt;"",P7&gt;0),(I7+J7+K7)/P7,"")</f>
        <v/>
      </c>
    </row>
    <row r="8" ht="27" customHeight="1">
      <c r="A8" s="5" t="inlineStr">
        <is>
          <t>2026-01-01</t>
        </is>
      </c>
      <c r="B8" s="5" t="inlineStr">
        <is>
          <t>1周</t>
        </is>
      </c>
      <c r="C8" s="5" t="inlineStr">
        <is>
          <t>抖音</t>
        </is>
      </c>
      <c r="D8" s="5" t="n"/>
      <c r="E8" s="5" t="n"/>
      <c r="F8" s="5" t="inlineStr">
        <is>
          <t>https://v.douyin.com/YqtYSfjlS3E/</t>
        </is>
      </c>
      <c r="G8" s="5" t="inlineStr">
        <is>
          <t>0001A1</t>
        </is>
      </c>
      <c r="H8" s="5" t="inlineStr">
        <is>
          <t>文严文</t>
        </is>
      </c>
      <c r="I8" s="5" t="n"/>
      <c r="J8" s="5" t="n"/>
      <c r="K8" s="5" t="n">
        <v>107.5</v>
      </c>
      <c r="L8" s="5" t="n">
        <v>500</v>
      </c>
      <c r="M8" s="5" t="n">
        <v>20</v>
      </c>
      <c r="N8" s="5" t="n">
        <v>1</v>
      </c>
      <c r="O8" s="5" t="n">
        <v>9</v>
      </c>
      <c r="P8" s="8">
        <f>IF(AND(M8&lt;&gt;"",M8&gt;0),M8+N8+O8,"")</f>
        <v/>
      </c>
      <c r="Q8" s="11">
        <f>IF(AND(L8&lt;&gt;"",L8&gt;0,P8&lt;&gt;""),P8/L8,"")</f>
        <v/>
      </c>
      <c r="R8" s="16">
        <f>IF(AND(P8&lt;&gt;"",P8&gt;0),(I8+J8+K8)/P8,"")</f>
        <v/>
      </c>
    </row>
    <row r="9" ht="27" customHeight="1">
      <c r="A9" s="5" t="inlineStr">
        <is>
          <t>2026-01-01</t>
        </is>
      </c>
      <c r="B9" s="5" t="inlineStr">
        <is>
          <t>1周</t>
        </is>
      </c>
      <c r="C9" s="5" t="inlineStr">
        <is>
          <t>抖音</t>
        </is>
      </c>
      <c r="D9" s="5" t="n"/>
      <c r="E9" s="5" t="n"/>
      <c r="F9" s="5" t="inlineStr">
        <is>
          <t>https://v.douyin.com/-7BMiMRloiA/</t>
        </is>
      </c>
      <c r="G9" s="5" t="inlineStr">
        <is>
          <t>0001A1</t>
        </is>
      </c>
      <c r="H9" s="5" t="inlineStr">
        <is>
          <t>文严文</t>
        </is>
      </c>
      <c r="I9" s="5" t="n"/>
      <c r="J9" s="5" t="n"/>
      <c r="K9" s="5" t="n">
        <v>107.5</v>
      </c>
      <c r="L9" s="5" t="n">
        <v>1500</v>
      </c>
      <c r="M9" s="5" t="n">
        <v>135</v>
      </c>
      <c r="N9" s="5" t="n">
        <v>5</v>
      </c>
      <c r="O9" s="5" t="n">
        <v>3</v>
      </c>
      <c r="P9" s="8">
        <f>IF(AND(M9&lt;&gt;"",M9&gt;0),M9+N9+O9,"")</f>
        <v/>
      </c>
      <c r="Q9" s="11">
        <f>IF(AND(L9&lt;&gt;"",L9&gt;0,P9&lt;&gt;""),P9/L9,"")</f>
        <v/>
      </c>
      <c r="R9" s="16">
        <f>IF(AND(P9&lt;&gt;"",P9&gt;0),(I9+J9+K9)/P9,"")</f>
        <v/>
      </c>
    </row>
    <row r="10" ht="27" customHeight="1">
      <c r="A10" s="5" t="inlineStr">
        <is>
          <t>2026-01-02</t>
        </is>
      </c>
      <c r="B10" s="5" t="inlineStr">
        <is>
          <t>1周</t>
        </is>
      </c>
      <c r="C10" s="5" t="inlineStr">
        <is>
          <t>抖音</t>
        </is>
      </c>
      <c r="D10" s="5" t="n"/>
      <c r="E10" s="5" t="n"/>
      <c r="F10" s="5" t="inlineStr">
        <is>
          <t>https://v.douyin.com/_ZlCoCmlQak/</t>
        </is>
      </c>
      <c r="G10" s="5" t="inlineStr">
        <is>
          <t>0001A1</t>
        </is>
      </c>
      <c r="H10" s="5" t="inlineStr">
        <is>
          <t>文严文</t>
        </is>
      </c>
      <c r="I10" s="5" t="n"/>
      <c r="J10" s="5" t="n"/>
      <c r="K10" s="5" t="n">
        <v>107.5</v>
      </c>
      <c r="L10" s="5" t="n">
        <v>1000</v>
      </c>
      <c r="M10" s="5" t="n">
        <v>154</v>
      </c>
      <c r="N10" s="5" t="n">
        <v>1</v>
      </c>
      <c r="O10" s="5" t="n">
        <v>18</v>
      </c>
      <c r="P10" s="8">
        <f>IF(AND(M10&lt;&gt;"",M10&gt;0),M10+N10+O10,"")</f>
        <v/>
      </c>
      <c r="Q10" s="11">
        <f>IF(AND(L10&lt;&gt;"",L10&gt;0,P10&lt;&gt;""),P10/L10,"")</f>
        <v/>
      </c>
      <c r="R10" s="16">
        <f>IF(AND(P10&lt;&gt;"",P10&gt;0),(I10+J10+K10)/P10,"")</f>
        <v/>
      </c>
    </row>
    <row r="11" ht="27" customHeight="1">
      <c r="A11" s="5" t="inlineStr">
        <is>
          <t>2026-01-02</t>
        </is>
      </c>
      <c r="B11" s="5" t="inlineStr">
        <is>
          <t>1周</t>
        </is>
      </c>
      <c r="C11" s="5" t="inlineStr">
        <is>
          <t>抖音</t>
        </is>
      </c>
      <c r="D11" s="5" t="n"/>
      <c r="E11" s="5" t="n"/>
      <c r="F11" s="5" t="inlineStr">
        <is>
          <t>https://v.douyin.com/V8o0WChiMZI/</t>
        </is>
      </c>
      <c r="G11" s="5" t="inlineStr">
        <is>
          <t>0001A1</t>
        </is>
      </c>
      <c r="H11" s="5" t="inlineStr">
        <is>
          <t>文严文</t>
        </is>
      </c>
      <c r="I11" s="5" t="n"/>
      <c r="J11" s="5" t="n"/>
      <c r="K11" s="5" t="n">
        <v>107.5</v>
      </c>
      <c r="L11" s="5" t="n">
        <v>1000</v>
      </c>
      <c r="M11" s="5" t="n">
        <v>63</v>
      </c>
      <c r="N11" s="5" t="n">
        <v>4</v>
      </c>
      <c r="O11" s="5" t="n">
        <v>5</v>
      </c>
      <c r="P11" s="8">
        <f>IF(AND(M11&lt;&gt;"",M11&gt;0),M11+N11+O11,"")</f>
        <v/>
      </c>
      <c r="Q11" s="11">
        <f>IF(AND(L11&lt;&gt;"",L11&gt;0,P11&lt;&gt;""),P11/L11,"")</f>
        <v/>
      </c>
      <c r="R11" s="16">
        <f>IF(AND(P11&lt;&gt;"",P11&gt;0),(I11+J11+K11)/P11,"")</f>
        <v/>
      </c>
    </row>
    <row r="12" ht="27" customHeight="1">
      <c r="A12" s="5" t="inlineStr">
        <is>
          <t>2026-01-02</t>
        </is>
      </c>
      <c r="B12" s="5" t="inlineStr">
        <is>
          <t>1周</t>
        </is>
      </c>
      <c r="C12" s="5" t="inlineStr">
        <is>
          <t>抖音</t>
        </is>
      </c>
      <c r="D12" s="5" t="n"/>
      <c r="E12" s="5" t="n"/>
      <c r="F12" s="5" t="inlineStr">
        <is>
          <t>https://v.douyin.com/-bqQANPJZgo/</t>
        </is>
      </c>
      <c r="G12" s="5" t="inlineStr">
        <is>
          <t>1217W</t>
        </is>
      </c>
      <c r="H12" s="5" t="inlineStr">
        <is>
          <t>杨博文</t>
        </is>
      </c>
      <c r="I12" s="5" t="n"/>
      <c r="J12" s="5" t="n"/>
      <c r="K12" s="5" t="n">
        <v>54</v>
      </c>
      <c r="L12" s="5" t="n">
        <v>3950</v>
      </c>
      <c r="M12" s="5" t="n">
        <v>56</v>
      </c>
      <c r="N12" s="5" t="n">
        <v>0</v>
      </c>
      <c r="O12" s="5" t="n">
        <v>16</v>
      </c>
      <c r="P12" s="8">
        <f>IF(AND(M12&lt;&gt;"",M12&gt;0),M12+N12+O12,"")</f>
        <v/>
      </c>
      <c r="Q12" s="11">
        <f>IF(AND(L12&lt;&gt;"",L12&gt;0,P12&lt;&gt;""),P12/L12,"")</f>
        <v/>
      </c>
      <c r="R12" s="16">
        <f>IF(AND(P12&lt;&gt;"",P12&gt;0),(I12+J12+K12)/P12,"")</f>
        <v/>
      </c>
    </row>
    <row r="13" ht="27" customHeight="1">
      <c r="A13" s="5" t="inlineStr">
        <is>
          <t>2026-01-02</t>
        </is>
      </c>
      <c r="B13" s="5" t="inlineStr">
        <is>
          <t>1周</t>
        </is>
      </c>
      <c r="C13" s="5" t="inlineStr">
        <is>
          <t>抖音</t>
        </is>
      </c>
      <c r="D13" s="5" t="n"/>
      <c r="E13" s="5" t="n"/>
      <c r="F13" s="5" t="inlineStr">
        <is>
          <t>https://v.douyin.com/BV1jlAeIbuY/</t>
        </is>
      </c>
      <c r="G13" s="5" t="inlineStr">
        <is>
          <t>0001A1</t>
        </is>
      </c>
      <c r="H13" s="5" t="inlineStr">
        <is>
          <t>文严文</t>
        </is>
      </c>
      <c r="I13" s="5" t="n"/>
      <c r="J13" s="5" t="n"/>
      <c r="K13" s="5" t="n">
        <v>107.5</v>
      </c>
      <c r="L13" s="5" t="n">
        <v>1275</v>
      </c>
      <c r="M13" s="5" t="n">
        <v>172</v>
      </c>
      <c r="N13" s="5" t="n">
        <v>2</v>
      </c>
      <c r="O13" s="5" t="n">
        <v>30</v>
      </c>
      <c r="P13" s="8">
        <f>IF(AND(M13&lt;&gt;"",M13&gt;0),M13+N13+O13,"")</f>
        <v/>
      </c>
      <c r="Q13" s="11">
        <f>IF(AND(L13&lt;&gt;"",L13&gt;0,P13&lt;&gt;""),P13/L13,"")</f>
        <v/>
      </c>
      <c r="R13" s="16">
        <f>IF(AND(P13&lt;&gt;"",P13&gt;0),(I13+J13+K13)/P13,"")</f>
        <v/>
      </c>
    </row>
    <row r="14" ht="27" customHeight="1">
      <c r="A14" s="5" t="inlineStr">
        <is>
          <t>2026-01-02</t>
        </is>
      </c>
      <c r="B14" s="5" t="inlineStr">
        <is>
          <t>1周</t>
        </is>
      </c>
      <c r="C14" s="5" t="inlineStr">
        <is>
          <t>抖音</t>
        </is>
      </c>
      <c r="D14" s="5" t="n"/>
      <c r="E14" s="5" t="n"/>
      <c r="F14" s="5" t="inlineStr">
        <is>
          <t>https://v.douyin.com/iUlPRxVKQeU/</t>
        </is>
      </c>
      <c r="G14" s="5" t="inlineStr">
        <is>
          <t>495</t>
        </is>
      </c>
      <c r="H14" s="5" t="inlineStr">
        <is>
          <t>口播</t>
        </is>
      </c>
      <c r="I14" s="5" t="n">
        <v>1000</v>
      </c>
      <c r="J14" s="5" t="n"/>
      <c r="K14" s="5" t="n">
        <v>93</v>
      </c>
      <c r="L14" s="5" t="n">
        <v>303000</v>
      </c>
      <c r="M14" s="5" t="n">
        <v>13000</v>
      </c>
      <c r="N14" s="5" t="n">
        <v>1079</v>
      </c>
      <c r="O14" s="5" t="n">
        <v>124</v>
      </c>
      <c r="P14" s="8">
        <f>IF(AND(M14&lt;&gt;"",M14&gt;0),M14+N14+O14,"")</f>
        <v/>
      </c>
      <c r="Q14" s="11">
        <f>IF(AND(L14&lt;&gt;"",L14&gt;0,P14&lt;&gt;""),P14/L14,"")</f>
        <v/>
      </c>
      <c r="R14" s="16">
        <f>IF(AND(P14&lt;&gt;"",P14&gt;0),(I14+J14+K14)/P14,"")</f>
        <v/>
      </c>
    </row>
    <row r="15" ht="81" customHeight="1">
      <c r="A15" s="5" t="inlineStr">
        <is>
          <t>2026-01-02</t>
        </is>
      </c>
      <c r="B15" s="5" t="inlineStr">
        <is>
          <t>1周</t>
        </is>
      </c>
      <c r="C15" s="5" t="inlineStr">
        <is>
          <t>小红书</t>
        </is>
      </c>
      <c r="D15" s="5" t="n"/>
      <c r="E15" s="5" t="n"/>
      <c r="F15" s="5" t="inlineStr">
        <is>
          <t>https://www.xiaohongshu.com/discovery/item/6957ad6c000000001e02382a?xsec_token=CB7z5rQCX629KondpFe6PuhJqLRd1NAcs3xKxQq6bKlzk=&amp;xsec_source=app_share&amp;type=video</t>
        </is>
      </c>
      <c r="G15" s="5" t="inlineStr">
        <is>
          <t>495</t>
        </is>
      </c>
      <c r="H15" s="5" t="inlineStr">
        <is>
          <t>口播</t>
        </is>
      </c>
      <c r="I15" s="5" t="n">
        <v>300</v>
      </c>
      <c r="J15" s="5" t="n"/>
      <c r="K15" s="5" t="n">
        <v>93</v>
      </c>
      <c r="L15" s="5" t="n">
        <v>4364</v>
      </c>
      <c r="M15" s="5" t="n">
        <v>361</v>
      </c>
      <c r="N15" s="5" t="n">
        <v>189</v>
      </c>
      <c r="O15" s="5" t="n">
        <v>32</v>
      </c>
      <c r="P15" s="8">
        <f>IF(AND(M15&lt;&gt;"",M15&gt;0),M15+N15+O15,"")</f>
        <v/>
      </c>
      <c r="Q15" s="11">
        <f>IF(AND(L15&lt;&gt;"",L15&gt;0,P15&lt;&gt;""),P15/L15,"")</f>
        <v/>
      </c>
      <c r="R15" s="16">
        <f>IF(AND(P15&lt;&gt;"",P15&gt;0),(I15+J15+K15)/P15,"")</f>
        <v/>
      </c>
    </row>
    <row r="16" ht="67.5" customHeight="1">
      <c r="A16" s="5" t="inlineStr">
        <is>
          <t>2026-01-02</t>
        </is>
      </c>
      <c r="B16" s="5" t="inlineStr">
        <is>
          <t>1周</t>
        </is>
      </c>
      <c r="C16" s="5" t="inlineStr">
        <is>
          <t>小红书</t>
        </is>
      </c>
      <c r="D16" s="5" t="n"/>
      <c r="E16" s="5" t="n"/>
      <c r="F16" s="5" t="inlineStr">
        <is>
          <t>https://www.xiaohongshu.com/discovery/item/6957c123000000001e02c96d?xsec_token=CBrSeaQKI4NDONmRGzS_ay9M7Y0vylVCzbmfkYZlmIL20=&amp;xsec_source=app_share</t>
        </is>
      </c>
      <c r="G16" s="5" t="inlineStr">
        <is>
          <t>495</t>
        </is>
      </c>
      <c r="H16" s="5" t="inlineStr">
        <is>
          <t>穿搭</t>
        </is>
      </c>
      <c r="I16" s="5" t="n">
        <v>120</v>
      </c>
      <c r="J16" s="5" t="n"/>
      <c r="K16" s="5" t="n">
        <v>93</v>
      </c>
      <c r="L16" s="5" t="n">
        <v>3759</v>
      </c>
      <c r="M16" s="5" t="n">
        <v>436</v>
      </c>
      <c r="N16" s="5" t="n">
        <v>117</v>
      </c>
      <c r="O16" s="5" t="n">
        <v>13</v>
      </c>
      <c r="P16" s="8">
        <f>IF(AND(M16&lt;&gt;"",M16&gt;0),M16+N16+O16,"")</f>
        <v/>
      </c>
      <c r="Q16" s="11">
        <f>IF(AND(L16&lt;&gt;"",L16&gt;0,P16&lt;&gt;""),P16/L16,"")</f>
        <v/>
      </c>
      <c r="R16" s="16">
        <f>IF(AND(P16&lt;&gt;"",P16&gt;0),(I16+J16+K16)/P16,"")</f>
        <v/>
      </c>
    </row>
    <row r="17" ht="81" customHeight="1">
      <c r="A17" s="5" t="inlineStr">
        <is>
          <t>2026-01-02</t>
        </is>
      </c>
      <c r="B17" s="5" t="inlineStr">
        <is>
          <t>1周</t>
        </is>
      </c>
      <c r="C17" s="5" t="inlineStr">
        <is>
          <t>小红书</t>
        </is>
      </c>
      <c r="D17" s="5" t="n"/>
      <c r="E17" s="5" t="n"/>
      <c r="F17" s="5" t="inlineStr">
        <is>
          <t>https://www.xiaohongshu.com/discovery/item/6957d5e6000000002103fa96?xsec_token=CBYfSKHbvyxrrScDjtB8lffVUagleEJuvM8nGcParZ29w=&amp;xsec_source=app_share&amp;type=video</t>
        </is>
      </c>
      <c r="G17" s="5" t="inlineStr">
        <is>
          <t>1217W</t>
        </is>
      </c>
      <c r="H17" s="5" t="inlineStr">
        <is>
          <t>杨博文</t>
        </is>
      </c>
      <c r="I17" s="5" t="n"/>
      <c r="J17" s="5" t="n"/>
      <c r="K17" s="5" t="n">
        <v>54</v>
      </c>
      <c r="L17" s="5" t="n">
        <v>158</v>
      </c>
      <c r="M17" s="5" t="n">
        <v>14</v>
      </c>
      <c r="N17" s="5" t="n">
        <v>3</v>
      </c>
      <c r="O17" s="5" t="n">
        <v>0</v>
      </c>
      <c r="P17" s="8">
        <f>IF(AND(M17&lt;&gt;"",M17&gt;0),M17+N17+O17,"")</f>
        <v/>
      </c>
      <c r="Q17" s="11">
        <f>IF(AND(L17&lt;&gt;"",L17&gt;0,P17&lt;&gt;""),P17/L17,"")</f>
        <v/>
      </c>
      <c r="R17" s="16">
        <f>IF(AND(P17&lt;&gt;"",P17&gt;0),(I17+J17+K17)/P17,"")</f>
        <v/>
      </c>
    </row>
    <row r="18" ht="27" customHeight="1">
      <c r="A18" s="5" t="inlineStr">
        <is>
          <t>2026-01-03</t>
        </is>
      </c>
      <c r="B18" s="5" t="inlineStr">
        <is>
          <t>1周</t>
        </is>
      </c>
      <c r="C18" s="5" t="inlineStr">
        <is>
          <t>抖音</t>
        </is>
      </c>
      <c r="D18" s="5" t="n"/>
      <c r="E18" s="5" t="n"/>
      <c r="F18" s="5" t="inlineStr">
        <is>
          <t>https://v.douyin.com/SkcssLfRA0A/</t>
        </is>
      </c>
      <c r="G18" s="5" t="inlineStr">
        <is>
          <t>0001A1</t>
        </is>
      </c>
      <c r="H18" s="5" t="inlineStr">
        <is>
          <t>文严文</t>
        </is>
      </c>
      <c r="I18" s="5" t="n"/>
      <c r="J18" s="5" t="n"/>
      <c r="K18" s="5" t="n">
        <v>107.5</v>
      </c>
      <c r="L18" s="5" t="n">
        <v>602</v>
      </c>
      <c r="M18" s="5" t="n">
        <v>26</v>
      </c>
      <c r="N18" s="5" t="n">
        <v>3</v>
      </c>
      <c r="O18" s="5" t="n">
        <v>19</v>
      </c>
      <c r="P18" s="8">
        <f>IF(AND(M18&lt;&gt;"",M18&gt;0),M18+N18+O18,"")</f>
        <v/>
      </c>
      <c r="Q18" s="11">
        <f>IF(AND(L18&lt;&gt;"",L18&gt;0,P18&lt;&gt;""),P18/L18,"")</f>
        <v/>
      </c>
      <c r="R18" s="16">
        <f>IF(AND(P18&lt;&gt;"",P18&gt;0),(I18+J18+K18)/P18,"")</f>
        <v/>
      </c>
    </row>
    <row r="19" ht="27" customHeight="1">
      <c r="A19" s="5" t="inlineStr">
        <is>
          <t>2026-01-03</t>
        </is>
      </c>
      <c r="B19" s="5" t="inlineStr">
        <is>
          <t>1周</t>
        </is>
      </c>
      <c r="C19" s="5" t="inlineStr">
        <is>
          <t>抖音</t>
        </is>
      </c>
      <c r="D19" s="5" t="n"/>
      <c r="E19" s="5" t="n"/>
      <c r="F19" s="5" t="inlineStr">
        <is>
          <t>https://v.douyin.com/IzJdX82p4mw/</t>
        </is>
      </c>
      <c r="G19" s="5" t="inlineStr">
        <is>
          <t>493AX</t>
        </is>
      </c>
      <c r="H19" s="5" t="inlineStr">
        <is>
          <t>穿搭</t>
        </is>
      </c>
      <c r="I19" s="5" t="n"/>
      <c r="J19" s="5" t="n"/>
      <c r="K19" s="5" t="n">
        <v>98</v>
      </c>
      <c r="L19" s="5" t="n">
        <v>1831</v>
      </c>
      <c r="M19" s="5" t="n">
        <v>134</v>
      </c>
      <c r="N19" s="5" t="n">
        <v>3</v>
      </c>
      <c r="O19" s="5" t="n">
        <v>11</v>
      </c>
      <c r="P19" s="8">
        <f>IF(AND(M19&lt;&gt;"",M19&gt;0),M19+N19+O19,"")</f>
        <v/>
      </c>
      <c r="Q19" s="11">
        <f>IF(AND(L19&lt;&gt;"",L19&gt;0,P19&lt;&gt;""),P19/L19,"")</f>
        <v/>
      </c>
      <c r="R19" s="16">
        <f>IF(AND(P19&lt;&gt;"",P19&gt;0),(I19+J19+K19)/P19,"")</f>
        <v/>
      </c>
    </row>
    <row r="20" ht="27" customHeight="1">
      <c r="A20" s="5" t="inlineStr">
        <is>
          <t>2026-01-03</t>
        </is>
      </c>
      <c r="B20" s="5" t="inlineStr">
        <is>
          <t>1周</t>
        </is>
      </c>
      <c r="C20" s="5" t="inlineStr">
        <is>
          <t>抖音</t>
        </is>
      </c>
      <c r="D20" s="5" t="n"/>
      <c r="E20" s="5" t="n"/>
      <c r="F20" s="5" t="inlineStr">
        <is>
          <t>https://v.douyin.com/rUAcExNJkKQ/</t>
        </is>
      </c>
      <c r="G20" s="5" t="inlineStr">
        <is>
          <t>0001A1</t>
        </is>
      </c>
      <c r="H20" s="5" t="inlineStr">
        <is>
          <t>新年好物</t>
        </is>
      </c>
      <c r="I20" s="5" t="n"/>
      <c r="J20" s="5" t="n"/>
      <c r="K20" s="5" t="n">
        <v>107.5</v>
      </c>
      <c r="L20" s="5" t="n">
        <v>13000</v>
      </c>
      <c r="M20" s="5" t="n">
        <v>291</v>
      </c>
      <c r="N20" s="5" t="n">
        <v>77</v>
      </c>
      <c r="O20" s="5" t="n">
        <v>15</v>
      </c>
      <c r="P20" s="8">
        <f>IF(AND(M20&lt;&gt;"",M20&gt;0),M20+N20+O20,"")</f>
        <v/>
      </c>
      <c r="Q20" s="11">
        <f>IF(AND(L20&lt;&gt;"",L20&gt;0,P20&lt;&gt;""),P20/L20,"")</f>
        <v/>
      </c>
      <c r="R20" s="16">
        <f>IF(AND(P20&lt;&gt;"",P20&gt;0),(I20+J20+K20)/P20,"")</f>
        <v/>
      </c>
    </row>
    <row r="21" ht="27" customHeight="1">
      <c r="A21" s="5" t="inlineStr">
        <is>
          <t>2026-01-03</t>
        </is>
      </c>
      <c r="B21" s="5" t="inlineStr">
        <is>
          <t>1周</t>
        </is>
      </c>
      <c r="C21" s="5" t="inlineStr">
        <is>
          <t>抖音</t>
        </is>
      </c>
      <c r="D21" s="5" t="n"/>
      <c r="E21" s="5" t="n"/>
      <c r="F21" s="5" t="inlineStr">
        <is>
          <t>https://v.douyin.com/cJTvVLIzgLw/</t>
        </is>
      </c>
      <c r="G21" s="5" t="inlineStr">
        <is>
          <t>493AX</t>
        </is>
      </c>
      <c r="H21" s="5" t="inlineStr">
        <is>
          <t>穿搭</t>
        </is>
      </c>
      <c r="I21" s="5" t="n"/>
      <c r="J21" s="5" t="n"/>
      <c r="K21" s="5" t="n">
        <v>98</v>
      </c>
      <c r="L21" s="5" t="n">
        <v>1000</v>
      </c>
      <c r="M21" s="5" t="n">
        <v>50</v>
      </c>
      <c r="N21" s="5" t="n">
        <v>2</v>
      </c>
      <c r="O21" s="5" t="n">
        <v>10</v>
      </c>
      <c r="P21" s="8">
        <f>IF(AND(M21&lt;&gt;"",M21&gt;0),M21+N21+O21,"")</f>
        <v/>
      </c>
      <c r="Q21" s="11">
        <f>IF(AND(L21&lt;&gt;"",L21&gt;0,P21&lt;&gt;""),P21/L21,"")</f>
        <v/>
      </c>
      <c r="R21" s="16">
        <f>IF(AND(P21&lt;&gt;"",P21&gt;0),(I21+J21+K21)/P21,"")</f>
        <v/>
      </c>
    </row>
    <row r="22" ht="27" customHeight="1">
      <c r="A22" s="5" t="inlineStr">
        <is>
          <t>2026-01-03</t>
        </is>
      </c>
      <c r="B22" s="5" t="inlineStr">
        <is>
          <t>1周</t>
        </is>
      </c>
      <c r="C22" s="5" t="inlineStr">
        <is>
          <t>抖音</t>
        </is>
      </c>
      <c r="D22" s="5" t="n"/>
      <c r="E22" s="5" t="n"/>
      <c r="F22" s="5" t="inlineStr">
        <is>
          <t>https://v.douyin.com/lYBNGlgl0NU/</t>
        </is>
      </c>
      <c r="G22" s="5" t="inlineStr">
        <is>
          <t>0001A1</t>
        </is>
      </c>
      <c r="H22" s="5" t="inlineStr">
        <is>
          <t>文严文</t>
        </is>
      </c>
      <c r="I22" s="5" t="n"/>
      <c r="J22" s="5" t="n"/>
      <c r="K22" s="5" t="n">
        <v>107.5</v>
      </c>
      <c r="L22" s="5" t="n">
        <v>2333</v>
      </c>
      <c r="M22" s="5" t="n">
        <v>354</v>
      </c>
      <c r="N22" s="5" t="n">
        <v>10</v>
      </c>
      <c r="O22" s="5" t="n">
        <v>40</v>
      </c>
      <c r="P22" s="8">
        <f>IF(AND(M22&lt;&gt;"",M22&gt;0),M22+N22+O22,"")</f>
        <v/>
      </c>
      <c r="Q22" s="11">
        <f>IF(AND(L22&lt;&gt;"",L22&gt;0,P22&lt;&gt;""),P22/L22,"")</f>
        <v/>
      </c>
      <c r="R22" s="16">
        <f>IF(AND(P22&lt;&gt;"",P22&gt;0),(I22+J22+K22)/P22,"")</f>
        <v/>
      </c>
    </row>
    <row r="23" ht="27" customHeight="1">
      <c r="A23" s="5" t="inlineStr">
        <is>
          <t>2026-01-03</t>
        </is>
      </c>
      <c r="B23" s="5" t="inlineStr">
        <is>
          <t>1周</t>
        </is>
      </c>
      <c r="C23" s="5" t="inlineStr">
        <is>
          <t>抖音</t>
        </is>
      </c>
      <c r="D23" s="5" t="n"/>
      <c r="E23" s="5" t="n"/>
      <c r="F23" s="5" t="inlineStr">
        <is>
          <t>https://v.douyin.com/4CBvLPGC0ZI/</t>
        </is>
      </c>
      <c r="G23" s="5" t="inlineStr">
        <is>
          <t>495</t>
        </is>
      </c>
      <c r="H23" s="5" t="inlineStr">
        <is>
          <t>新年好物</t>
        </is>
      </c>
      <c r="I23" s="5" t="n">
        <v>300</v>
      </c>
      <c r="J23" s="5" t="n"/>
      <c r="K23" s="5" t="n">
        <v>93</v>
      </c>
      <c r="L23" s="5" t="n">
        <v>18000</v>
      </c>
      <c r="M23" s="5" t="n">
        <v>416</v>
      </c>
      <c r="N23" s="5" t="n">
        <v>167</v>
      </c>
      <c r="O23" s="5" t="n">
        <v>35</v>
      </c>
      <c r="P23" s="8">
        <f>IF(AND(M23&lt;&gt;"",M23&gt;0),M23+N23+O23,"")</f>
        <v/>
      </c>
      <c r="Q23" s="11">
        <f>IF(AND(L23&lt;&gt;"",L23&gt;0,P23&lt;&gt;""),P23/L23,"")</f>
        <v/>
      </c>
      <c r="R23" s="16">
        <f>IF(AND(P23&lt;&gt;"",P23&gt;0),(I23+J23+K23)/P23,"")</f>
        <v/>
      </c>
    </row>
    <row r="24" ht="27" customHeight="1">
      <c r="A24" s="5" t="inlineStr">
        <is>
          <t>2026-01-03</t>
        </is>
      </c>
      <c r="B24" s="5" t="inlineStr">
        <is>
          <t>1周</t>
        </is>
      </c>
      <c r="C24" s="5" t="inlineStr">
        <is>
          <t>抖音</t>
        </is>
      </c>
      <c r="D24" s="5" t="n"/>
      <c r="E24" s="5" t="n"/>
      <c r="F24" s="5" t="inlineStr">
        <is>
          <t>https://v.douyin.com/osf5qWQPFkE/</t>
        </is>
      </c>
      <c r="G24" s="5" t="inlineStr">
        <is>
          <t>0001A1</t>
        </is>
      </c>
      <c r="H24" s="5" t="inlineStr">
        <is>
          <t>穿搭</t>
        </is>
      </c>
      <c r="I24" s="5" t="n"/>
      <c r="J24" s="5" t="n"/>
      <c r="K24" s="5" t="n">
        <v>107.5</v>
      </c>
      <c r="L24" s="5" t="n">
        <v>14000</v>
      </c>
      <c r="M24" s="5" t="n">
        <v>924</v>
      </c>
      <c r="N24" s="5" t="n">
        <v>111</v>
      </c>
      <c r="O24" s="5" t="n">
        <v>19</v>
      </c>
      <c r="P24" s="8">
        <f>IF(AND(M24&lt;&gt;"",M24&gt;0),M24+N24+O24,"")</f>
        <v/>
      </c>
      <c r="Q24" s="11">
        <f>IF(AND(L24&lt;&gt;"",L24&gt;0,P24&lt;&gt;""),P24/L24,"")</f>
        <v/>
      </c>
      <c r="R24" s="16">
        <f>IF(AND(P24&lt;&gt;"",P24&gt;0),(I24+J24+K24)/P24,"")</f>
        <v/>
      </c>
    </row>
    <row r="25" ht="27" customHeight="1">
      <c r="A25" s="5" t="inlineStr">
        <is>
          <t>2026-01-03</t>
        </is>
      </c>
      <c r="B25" s="5" t="inlineStr">
        <is>
          <t>1周</t>
        </is>
      </c>
      <c r="C25" s="5" t="inlineStr">
        <is>
          <t>抖音</t>
        </is>
      </c>
      <c r="D25" s="5" t="n"/>
      <c r="E25" s="5" t="n"/>
      <c r="F25" s="5" t="inlineStr">
        <is>
          <t>https://v.douyin.com/QJ8Yl1xI9cE/</t>
        </is>
      </c>
      <c r="G25" s="5" t="inlineStr">
        <is>
          <t>495</t>
        </is>
      </c>
      <c r="H25" s="5" t="inlineStr">
        <is>
          <t>穿搭</t>
        </is>
      </c>
      <c r="I25" s="5" t="n">
        <v>20</v>
      </c>
      <c r="J25" s="5" t="n"/>
      <c r="K25" s="5" t="n">
        <v>93</v>
      </c>
      <c r="L25" s="5" t="n">
        <v>9449</v>
      </c>
      <c r="M25" s="5" t="n">
        <v>296</v>
      </c>
      <c r="N25" s="5" t="n">
        <v>27</v>
      </c>
      <c r="O25" s="5" t="n">
        <v>27</v>
      </c>
      <c r="P25" s="8">
        <f>IF(AND(M25&lt;&gt;"",M25&gt;0),M25+N25+O25,"")</f>
        <v/>
      </c>
      <c r="Q25" s="11">
        <f>IF(AND(L25&lt;&gt;"",L25&gt;0,P25&lt;&gt;""),P25/L25,"")</f>
        <v/>
      </c>
      <c r="R25" s="16">
        <f>IF(AND(P25&lt;&gt;"",P25&gt;0),(I25+J25+K25)/P25,"")</f>
        <v/>
      </c>
    </row>
    <row r="26" ht="27" customHeight="1">
      <c r="A26" s="5" t="inlineStr">
        <is>
          <t>2026-01-03</t>
        </is>
      </c>
      <c r="B26" s="5" t="inlineStr">
        <is>
          <t>1周</t>
        </is>
      </c>
      <c r="C26" s="5" t="inlineStr">
        <is>
          <t>抖音</t>
        </is>
      </c>
      <c r="D26" s="5" t="n"/>
      <c r="E26" s="5" t="n"/>
      <c r="F26" s="5" t="inlineStr">
        <is>
          <t>https://v.douyin.com/xoDXL9GJD0k/</t>
        </is>
      </c>
      <c r="G26" s="5" t="inlineStr">
        <is>
          <t>0001A1</t>
        </is>
      </c>
      <c r="H26" s="5" t="inlineStr">
        <is>
          <t>文严文</t>
        </is>
      </c>
      <c r="I26" s="5" t="n"/>
      <c r="J26" s="5" t="n"/>
      <c r="K26" s="5" t="n">
        <v>107.5</v>
      </c>
      <c r="L26" s="5" t="n">
        <v>5102</v>
      </c>
      <c r="M26" s="5" t="n">
        <v>1022</v>
      </c>
      <c r="N26" s="5" t="n">
        <v>10</v>
      </c>
      <c r="O26" s="5" t="n">
        <v>29</v>
      </c>
      <c r="P26" s="8">
        <f>IF(AND(M26&lt;&gt;"",M26&gt;0),M26+N26+O26,"")</f>
        <v/>
      </c>
      <c r="Q26" s="11">
        <f>IF(AND(L26&lt;&gt;"",L26&gt;0,P26&lt;&gt;""),P26/L26,"")</f>
        <v/>
      </c>
      <c r="R26" s="16">
        <f>IF(AND(P26&lt;&gt;"",P26&gt;0),(I26+J26+K26)/P26,"")</f>
        <v/>
      </c>
    </row>
    <row r="27" ht="27" customHeight="1">
      <c r="A27" s="5" t="inlineStr">
        <is>
          <t>2026-01-03</t>
        </is>
      </c>
      <c r="B27" s="5" t="inlineStr">
        <is>
          <t>1周</t>
        </is>
      </c>
      <c r="C27" s="5" t="inlineStr">
        <is>
          <t>抖音</t>
        </is>
      </c>
      <c r="D27" s="5" t="n"/>
      <c r="E27" s="5" t="n"/>
      <c r="F27" s="5" t="inlineStr">
        <is>
          <t>https://v.douyin.com/2YJ15N_BR-s/</t>
        </is>
      </c>
      <c r="G27" s="5" t="inlineStr">
        <is>
          <t>0001A1</t>
        </is>
      </c>
      <c r="H27" s="5" t="inlineStr">
        <is>
          <t>穿搭</t>
        </is>
      </c>
      <c r="I27" s="5" t="n">
        <v>150</v>
      </c>
      <c r="J27" s="5" t="n"/>
      <c r="K27" s="5" t="n">
        <v>107.5</v>
      </c>
      <c r="L27" s="5" t="n">
        <v>11000</v>
      </c>
      <c r="M27" s="5" t="n">
        <v>1035</v>
      </c>
      <c r="N27" s="5" t="n">
        <v>59</v>
      </c>
      <c r="O27" s="5" t="n">
        <v>21</v>
      </c>
      <c r="P27" s="8">
        <f>IF(AND(M27&lt;&gt;"",M27&gt;0),M27+N27+O27,"")</f>
        <v/>
      </c>
      <c r="Q27" s="11">
        <f>IF(AND(L27&lt;&gt;"",L27&gt;0,P27&lt;&gt;""),P27/L27,"")</f>
        <v/>
      </c>
      <c r="R27" s="16">
        <f>IF(AND(P27&lt;&gt;"",P27&gt;0),(I27+J27+K27)/P27,"")</f>
        <v/>
      </c>
    </row>
    <row r="28" ht="27" customHeight="1">
      <c r="A28" s="5" t="inlineStr">
        <is>
          <t>2026-01-03</t>
        </is>
      </c>
      <c r="B28" s="5" t="inlineStr">
        <is>
          <t>1周</t>
        </is>
      </c>
      <c r="C28" s="5" t="inlineStr">
        <is>
          <t>抖音</t>
        </is>
      </c>
      <c r="D28" s="5" t="n"/>
      <c r="E28" s="5" t="n"/>
      <c r="F28" s="5" t="inlineStr">
        <is>
          <t>https://v.douyin.com/XslTSsTit24/</t>
        </is>
      </c>
      <c r="G28" s="5" t="inlineStr">
        <is>
          <t>0001A1</t>
        </is>
      </c>
      <c r="H28" s="5" t="inlineStr">
        <is>
          <t>文严文</t>
        </is>
      </c>
      <c r="I28" s="5" t="n"/>
      <c r="J28" s="5" t="n"/>
      <c r="K28" s="5" t="n">
        <v>107.5</v>
      </c>
      <c r="L28" s="5" t="n">
        <v>1280</v>
      </c>
      <c r="M28" s="5" t="n">
        <v>101</v>
      </c>
      <c r="N28" s="5" t="n">
        <v>2</v>
      </c>
      <c r="O28" s="5" t="n">
        <v>11</v>
      </c>
      <c r="P28" s="8">
        <f>IF(AND(M28&lt;&gt;"",M28&gt;0),M28+N28+O28,"")</f>
        <v/>
      </c>
      <c r="Q28" s="11">
        <f>IF(AND(L28&lt;&gt;"",L28&gt;0,P28&lt;&gt;""),P28/L28,"")</f>
        <v/>
      </c>
      <c r="R28" s="16">
        <f>IF(AND(P28&lt;&gt;"",P28&gt;0),(I28+J28+K28)/P28,"")</f>
        <v/>
      </c>
    </row>
    <row r="29" ht="27" customHeight="1">
      <c r="A29" s="5" t="inlineStr">
        <is>
          <t>2026-01-03</t>
        </is>
      </c>
      <c r="B29" s="5" t="inlineStr">
        <is>
          <t>1周</t>
        </is>
      </c>
      <c r="C29" s="5" t="inlineStr">
        <is>
          <t>抖音</t>
        </is>
      </c>
      <c r="D29" s="5" t="n"/>
      <c r="E29" s="5" t="n"/>
      <c r="F29" s="5" t="inlineStr">
        <is>
          <t>https://v.douyin.com/1PcAmW41d4I/</t>
        </is>
      </c>
      <c r="G29" s="5" t="inlineStr">
        <is>
          <t>495</t>
        </is>
      </c>
      <c r="H29" s="5" t="inlineStr">
        <is>
          <t>穿搭</t>
        </is>
      </c>
      <c r="I29" s="5" t="n"/>
      <c r="J29" s="5" t="n"/>
      <c r="K29" s="5" t="n">
        <v>93</v>
      </c>
      <c r="L29" s="5" t="n">
        <v>95000</v>
      </c>
      <c r="M29" s="5" t="n">
        <v>2009</v>
      </c>
      <c r="N29" s="5" t="n">
        <v>518</v>
      </c>
      <c r="O29" s="5" t="n">
        <v>68</v>
      </c>
      <c r="P29" s="8">
        <f>IF(AND(M29&lt;&gt;"",M29&gt;0),M29+N29+O29,"")</f>
        <v/>
      </c>
      <c r="Q29" s="11">
        <f>IF(AND(L29&lt;&gt;"",L29&gt;0,P29&lt;&gt;""),P29/L29,"")</f>
        <v/>
      </c>
      <c r="R29" s="16">
        <f>IF(AND(P29&lt;&gt;"",P29&gt;0),(I29+J29+K29)/P29,"")</f>
        <v/>
      </c>
    </row>
    <row r="30" ht="27" customHeight="1">
      <c r="A30" s="5" t="inlineStr">
        <is>
          <t>2026-01-03</t>
        </is>
      </c>
      <c r="B30" s="5" t="inlineStr">
        <is>
          <t>1周</t>
        </is>
      </c>
      <c r="C30" s="5" t="inlineStr">
        <is>
          <t>抖音</t>
        </is>
      </c>
      <c r="D30" s="5" t="n"/>
      <c r="E30" s="5" t="n"/>
      <c r="F30" s="5" t="inlineStr">
        <is>
          <t>https://v.douyin.com/OyKLbv7VQAI/</t>
        </is>
      </c>
      <c r="G30" s="5" t="inlineStr">
        <is>
          <t>489Y</t>
        </is>
      </c>
      <c r="H30" s="5" t="inlineStr">
        <is>
          <t>赵露思</t>
        </is>
      </c>
      <c r="I30" s="5" t="n"/>
      <c r="J30" s="5" t="n"/>
      <c r="K30" s="5" t="n">
        <v>53.5</v>
      </c>
      <c r="L30" s="5" t="n">
        <v>3000</v>
      </c>
      <c r="M30" s="5" t="n">
        <v>165</v>
      </c>
      <c r="N30" s="5" t="n">
        <v>4</v>
      </c>
      <c r="O30" s="5" t="n">
        <v>5</v>
      </c>
      <c r="P30" s="8">
        <f>IF(AND(M30&lt;&gt;"",M30&gt;0),M30+N30+O30,"")</f>
        <v/>
      </c>
      <c r="Q30" s="11">
        <f>IF(AND(L30&lt;&gt;"",L30&gt;0,P30&lt;&gt;""),P30/L30,"")</f>
        <v/>
      </c>
      <c r="R30" s="16">
        <f>IF(AND(P30&lt;&gt;"",P30&gt;0),(I30+J30+K30)/P30,"")</f>
        <v/>
      </c>
    </row>
    <row r="31" ht="27" customHeight="1">
      <c r="A31" s="5" t="inlineStr">
        <is>
          <t>2026-01-03</t>
        </is>
      </c>
      <c r="B31" s="5" t="inlineStr">
        <is>
          <t>1周</t>
        </is>
      </c>
      <c r="C31" s="5" t="inlineStr">
        <is>
          <t>抖音</t>
        </is>
      </c>
      <c r="D31" s="5" t="n"/>
      <c r="E31" s="5" t="n"/>
      <c r="F31" s="5" t="inlineStr">
        <is>
          <t>https://v.douyin.com/z677vQz_ZX4/</t>
        </is>
      </c>
      <c r="G31" s="5" t="inlineStr">
        <is>
          <t>0001A1</t>
        </is>
      </c>
      <c r="H31" s="5" t="inlineStr">
        <is>
          <t>文严文</t>
        </is>
      </c>
      <c r="I31" s="5" t="n"/>
      <c r="J31" s="5" t="n"/>
      <c r="K31" s="5" t="n">
        <v>107.5</v>
      </c>
      <c r="L31" s="5" t="n">
        <v>1912</v>
      </c>
      <c r="M31" s="5" t="n">
        <v>142</v>
      </c>
      <c r="N31" s="5" t="n">
        <v>9</v>
      </c>
      <c r="O31" s="5" t="n">
        <v>10</v>
      </c>
      <c r="P31" s="8">
        <f>IF(AND(M31&lt;&gt;"",M31&gt;0),M31+N31+O31,"")</f>
        <v/>
      </c>
      <c r="Q31" s="11">
        <f>IF(AND(L31&lt;&gt;"",L31&gt;0,P31&lt;&gt;""),P31/L31,"")</f>
        <v/>
      </c>
      <c r="R31" s="16">
        <f>IF(AND(P31&lt;&gt;"",P31&gt;0),(I31+J31+K31)/P31,"")</f>
        <v/>
      </c>
    </row>
    <row r="32" ht="81" customHeight="1">
      <c r="A32" s="5" t="inlineStr">
        <is>
          <t>2026-01-03</t>
        </is>
      </c>
      <c r="B32" s="5" t="inlineStr">
        <is>
          <t>1周</t>
        </is>
      </c>
      <c r="C32" s="5" t="inlineStr">
        <is>
          <t>小红书</t>
        </is>
      </c>
      <c r="D32" s="5" t="n"/>
      <c r="E32" s="5" t="n"/>
      <c r="F32" s="5" t="inlineStr">
        <is>
          <t>https://www.xiaohongshu.com/discovery/item/69585a75000000001e00544f?xsec_token=CBDgYDsKpY4fARgqZp-CQn40MEd2uZhBGh8Zxc_ojwweU=&amp;xsec_source=app_share&amp;type=video</t>
        </is>
      </c>
      <c r="G32" s="5" t="inlineStr">
        <is>
          <t>495</t>
        </is>
      </c>
      <c r="H32" s="5" t="inlineStr">
        <is>
          <t>口播</t>
        </is>
      </c>
      <c r="I32" s="5" t="n">
        <v>250</v>
      </c>
      <c r="J32" s="5" t="n"/>
      <c r="K32" s="5" t="n">
        <v>93</v>
      </c>
      <c r="L32" s="5" t="n">
        <v>17108</v>
      </c>
      <c r="M32" s="5" t="n">
        <v>1177</v>
      </c>
      <c r="N32" s="5" t="n">
        <v>428</v>
      </c>
      <c r="O32" s="5" t="n">
        <v>26</v>
      </c>
      <c r="P32" s="8">
        <f>IF(AND(M32&lt;&gt;"",M32&gt;0),M32+N32+O32,"")</f>
        <v/>
      </c>
      <c r="Q32" s="11">
        <f>IF(AND(L32&lt;&gt;"",L32&gt;0,P32&lt;&gt;""),P32/L32,"")</f>
        <v/>
      </c>
      <c r="R32" s="16">
        <f>IF(AND(P32&lt;&gt;"",P32&gt;0),(I32+J32+K32)/P32,"")</f>
        <v/>
      </c>
    </row>
    <row r="33" ht="81" customHeight="1">
      <c r="A33" s="5" t="inlineStr">
        <is>
          <t>2026-01-03</t>
        </is>
      </c>
      <c r="B33" s="5" t="inlineStr">
        <is>
          <t>1周</t>
        </is>
      </c>
      <c r="C33" s="5" t="inlineStr">
        <is>
          <t>小红书</t>
        </is>
      </c>
      <c r="D33" s="5" t="n"/>
      <c r="E33" s="5" t="n"/>
      <c r="F33" s="5" t="inlineStr">
        <is>
          <t>https://www.xiaohongshu.com/discovery/item/6958fd95000000001d03bb46?xsec_token=CBtI3pB-Y_0lIL19kT25cWxtvSJknDiuoJq1gp6CUV4Vc=&amp;xsec_source=app_share&amp;type=video</t>
        </is>
      </c>
      <c r="G33" s="5" t="inlineStr">
        <is>
          <t>0001A1</t>
        </is>
      </c>
      <c r="H33" s="5" t="inlineStr">
        <is>
          <t>穿搭</t>
        </is>
      </c>
      <c r="I33" s="5" t="n">
        <v>300</v>
      </c>
      <c r="J33" s="5" t="n"/>
      <c r="K33" s="5" t="n">
        <v>107.5</v>
      </c>
      <c r="L33" s="5" t="n">
        <v>15249</v>
      </c>
      <c r="M33" s="5" t="n">
        <v>1281</v>
      </c>
      <c r="N33" s="5" t="n">
        <v>664</v>
      </c>
      <c r="O33" s="5" t="n">
        <v>27</v>
      </c>
      <c r="P33" s="8">
        <f>IF(AND(M33&lt;&gt;"",M33&gt;0),M33+N33+O33,"")</f>
        <v/>
      </c>
      <c r="Q33" s="11">
        <f>IF(AND(L33&lt;&gt;"",L33&gt;0,P33&lt;&gt;""),P33/L33,"")</f>
        <v/>
      </c>
      <c r="R33" s="16">
        <f>IF(AND(P33&lt;&gt;"",P33&gt;0),(I33+J33+K33)/P33,"")</f>
        <v/>
      </c>
    </row>
    <row r="34" ht="27" customHeight="1">
      <c r="A34" s="5" t="inlineStr">
        <is>
          <t>2026-01-04</t>
        </is>
      </c>
      <c r="B34" s="5" t="inlineStr">
        <is>
          <t>1周</t>
        </is>
      </c>
      <c r="C34" s="5" t="inlineStr">
        <is>
          <t>抖音</t>
        </is>
      </c>
      <c r="D34" s="5" t="n"/>
      <c r="E34" s="5" t="n"/>
      <c r="F34" s="5" t="inlineStr">
        <is>
          <t>https://v.douyin.com/rggb7eesuWU/</t>
        </is>
      </c>
      <c r="G34" s="5" t="inlineStr">
        <is>
          <t>495</t>
        </is>
      </c>
      <c r="H34" s="5" t="inlineStr">
        <is>
          <t>穿搭</t>
        </is>
      </c>
      <c r="I34" s="5" t="n">
        <v>100</v>
      </c>
      <c r="J34" s="5" t="n"/>
      <c r="K34" s="5" t="n">
        <v>93</v>
      </c>
      <c r="L34" s="5" t="n">
        <v>28000</v>
      </c>
      <c r="M34" s="5" t="n">
        <v>1952</v>
      </c>
      <c r="N34" s="5" t="n">
        <v>342</v>
      </c>
      <c r="O34" s="5" t="n">
        <v>44</v>
      </c>
      <c r="P34" s="8">
        <f>IF(AND(M34&lt;&gt;"",M34&gt;0),M34+N34+O34,"")</f>
        <v/>
      </c>
      <c r="Q34" s="11">
        <f>IF(AND(L34&lt;&gt;"",L34&gt;0,P34&lt;&gt;""),P34/L34,"")</f>
        <v/>
      </c>
      <c r="R34" s="16">
        <f>IF(AND(P34&lt;&gt;"",P34&gt;0),(I34+J34+K34)/P34,"")</f>
        <v/>
      </c>
    </row>
    <row r="35" ht="27" customHeight="1">
      <c r="A35" s="5" t="inlineStr">
        <is>
          <t>2026-01-04</t>
        </is>
      </c>
      <c r="B35" s="5" t="inlineStr">
        <is>
          <t>1周</t>
        </is>
      </c>
      <c r="C35" s="5" t="inlineStr">
        <is>
          <t>抖音</t>
        </is>
      </c>
      <c r="D35" s="5" t="n"/>
      <c r="E35" s="5" t="n"/>
      <c r="F35" s="5" t="inlineStr">
        <is>
          <t>https://v.douyin.com/WpHk0afBuOs/</t>
        </is>
      </c>
      <c r="G35" s="5" t="inlineStr">
        <is>
          <t>0001A1</t>
        </is>
      </c>
      <c r="H35" s="5" t="inlineStr">
        <is>
          <t>穿搭</t>
        </is>
      </c>
      <c r="I35" s="5" t="n"/>
      <c r="J35" s="5" t="n"/>
      <c r="K35" s="5" t="n">
        <v>107.5</v>
      </c>
      <c r="L35" s="5" t="n">
        <v>7000</v>
      </c>
      <c r="M35" s="5" t="n">
        <v>170</v>
      </c>
      <c r="N35" s="5" t="n">
        <v>5</v>
      </c>
      <c r="O35" s="5" t="n">
        <v>40</v>
      </c>
      <c r="P35" s="8">
        <f>IF(AND(M35&lt;&gt;"",M35&gt;0),M35+N35+O35,"")</f>
        <v/>
      </c>
      <c r="Q35" s="11">
        <f>IF(AND(L35&lt;&gt;"",L35&gt;0,P35&lt;&gt;""),P35/L35,"")</f>
        <v/>
      </c>
      <c r="R35" s="16">
        <f>IF(AND(P35&lt;&gt;"",P35&gt;0),(I35+J35+K35)/P35,"")</f>
        <v/>
      </c>
    </row>
    <row r="36" ht="27" customHeight="1">
      <c r="A36" s="5" t="inlineStr">
        <is>
          <t>2026-01-04</t>
        </is>
      </c>
      <c r="B36" s="5" t="inlineStr">
        <is>
          <t>1周</t>
        </is>
      </c>
      <c r="C36" s="5" t="inlineStr">
        <is>
          <t>抖音</t>
        </is>
      </c>
      <c r="D36" s="5" t="n"/>
      <c r="E36" s="5" t="n"/>
      <c r="F36" s="5" t="inlineStr">
        <is>
          <t>https://v.douyin.com/r0Kr4KyY2OE/</t>
        </is>
      </c>
      <c r="G36" s="5" t="inlineStr">
        <is>
          <t>495</t>
        </is>
      </c>
      <c r="H36" s="5" t="inlineStr">
        <is>
          <t>穿搭</t>
        </is>
      </c>
      <c r="I36" s="5" t="n"/>
      <c r="J36" s="5" t="n"/>
      <c r="K36" s="5" t="n">
        <v>93</v>
      </c>
      <c r="L36" s="5" t="n">
        <v>17000</v>
      </c>
      <c r="M36" s="5" t="n">
        <v>1140</v>
      </c>
      <c r="N36" s="5" t="n">
        <v>100</v>
      </c>
      <c r="O36" s="5" t="n">
        <v>153</v>
      </c>
      <c r="P36" s="8">
        <f>IF(AND(M36&lt;&gt;"",M36&gt;0),M36+N36+O36,"")</f>
        <v/>
      </c>
      <c r="Q36" s="11">
        <f>IF(AND(L36&lt;&gt;"",L36&gt;0,P36&lt;&gt;""),P36/L36,"")</f>
        <v/>
      </c>
      <c r="R36" s="16">
        <f>IF(AND(P36&lt;&gt;"",P36&gt;0),(I36+J36+K36)/P36,"")</f>
        <v/>
      </c>
    </row>
    <row r="37" ht="27" customHeight="1">
      <c r="A37" s="5" t="inlineStr">
        <is>
          <t>2026-01-04</t>
        </is>
      </c>
      <c r="B37" s="5" t="inlineStr">
        <is>
          <t>1周</t>
        </is>
      </c>
      <c r="C37" s="5" t="inlineStr">
        <is>
          <t>抖音</t>
        </is>
      </c>
      <c r="D37" s="5" t="n"/>
      <c r="E37" s="5" t="n"/>
      <c r="F37" s="5" t="inlineStr">
        <is>
          <t>https://v.douyin.com/T5g_YI_-xSw/</t>
        </is>
      </c>
      <c r="G37" s="5" t="inlineStr">
        <is>
          <t>0001A1</t>
        </is>
      </c>
      <c r="H37" s="5" t="inlineStr">
        <is>
          <t>穿搭</t>
        </is>
      </c>
      <c r="I37" s="5" t="n"/>
      <c r="J37" s="5" t="n"/>
      <c r="K37" s="5" t="n">
        <v>107.5</v>
      </c>
      <c r="L37" s="5" t="n">
        <v>3973</v>
      </c>
      <c r="M37" s="5" t="n">
        <v>188</v>
      </c>
      <c r="N37" s="5" t="n">
        <v>57</v>
      </c>
      <c r="O37" s="5" t="n">
        <v>3</v>
      </c>
      <c r="P37" s="8">
        <f>IF(AND(M37&lt;&gt;"",M37&gt;0),M37+N37+O37,"")</f>
        <v/>
      </c>
      <c r="Q37" s="11">
        <f>IF(AND(L37&lt;&gt;"",L37&gt;0,P37&lt;&gt;""),P37/L37,"")</f>
        <v/>
      </c>
      <c r="R37" s="16">
        <f>IF(AND(P37&lt;&gt;"",P37&gt;0),(I37+J37+K37)/P37,"")</f>
        <v/>
      </c>
    </row>
    <row r="38" ht="27" customHeight="1">
      <c r="A38" s="5" t="inlineStr">
        <is>
          <t>2026-01-04</t>
        </is>
      </c>
      <c r="B38" s="5" t="inlineStr">
        <is>
          <t>1周</t>
        </is>
      </c>
      <c r="C38" s="5" t="inlineStr">
        <is>
          <t>抖音</t>
        </is>
      </c>
      <c r="D38" s="5" t="n"/>
      <c r="E38" s="5" t="n"/>
      <c r="F38" s="5" t="inlineStr">
        <is>
          <t>https://v.douyin.com/mmBK772VbHE/</t>
        </is>
      </c>
      <c r="G38" s="5" t="inlineStr">
        <is>
          <t>495</t>
        </is>
      </c>
      <c r="H38" s="5" t="inlineStr">
        <is>
          <t>程相</t>
        </is>
      </c>
      <c r="I38" s="5" t="n"/>
      <c r="J38" s="5" t="n"/>
      <c r="K38" s="5" t="n">
        <v>93</v>
      </c>
      <c r="L38" s="5" t="n">
        <v>2193</v>
      </c>
      <c r="M38" s="5" t="n">
        <v>34</v>
      </c>
      <c r="N38" s="5" t="n">
        <v>1</v>
      </c>
      <c r="O38" s="5" t="n">
        <v>4</v>
      </c>
      <c r="P38" s="8">
        <f>IF(AND(M38&lt;&gt;"",M38&gt;0),M38+N38+O38,"")</f>
        <v/>
      </c>
      <c r="Q38" s="11">
        <f>IF(AND(L38&lt;&gt;"",L38&gt;0,P38&lt;&gt;""),P38/L38,"")</f>
        <v/>
      </c>
      <c r="R38" s="16">
        <f>IF(AND(P38&lt;&gt;"",P38&gt;0),(I38+J38+K38)/P38,"")</f>
        <v/>
      </c>
    </row>
    <row r="39" ht="67.5" customHeight="1">
      <c r="A39" s="5" t="inlineStr">
        <is>
          <t>2026-01-04</t>
        </is>
      </c>
      <c r="B39" s="5" t="inlineStr">
        <is>
          <t>1周</t>
        </is>
      </c>
      <c r="C39" s="5" t="inlineStr">
        <is>
          <t>小红书</t>
        </is>
      </c>
      <c r="D39" s="5" t="n"/>
      <c r="E39" s="5" t="n"/>
      <c r="F39" s="5" t="inlineStr">
        <is>
          <t>https://www.xiaohongshu.com/discovery/item/6959cc78000000001e02a003?xsec_token=CBg5TFQuZ372BLFvhRJZYNwrMeYGh5FRSZUpHfXASYbL0=&amp;xsec_source=app_share</t>
        </is>
      </c>
      <c r="G39" s="5" t="inlineStr">
        <is>
          <t>489Y</t>
        </is>
      </c>
      <c r="H39" s="5" t="inlineStr">
        <is>
          <t>赵露思</t>
        </is>
      </c>
      <c r="I39" s="5" t="n"/>
      <c r="J39" s="5" t="n"/>
      <c r="K39" s="5" t="n">
        <v>53.5</v>
      </c>
      <c r="L39" s="5" t="n">
        <v>1132</v>
      </c>
      <c r="M39" s="5" t="n">
        <v>105</v>
      </c>
      <c r="N39" s="5" t="n">
        <v>8</v>
      </c>
      <c r="O39" s="5" t="n">
        <v>4</v>
      </c>
      <c r="P39" s="8">
        <f>IF(AND(M39&lt;&gt;"",M39&gt;0),M39+N39+O39,"")</f>
        <v/>
      </c>
      <c r="Q39" s="11">
        <f>IF(AND(L39&lt;&gt;"",L39&gt;0,P39&lt;&gt;""),P39/L39,"")</f>
        <v/>
      </c>
      <c r="R39" s="16">
        <f>IF(AND(P39&lt;&gt;"",P39&gt;0),(I39+J39+K39)/P39,"")</f>
        <v/>
      </c>
    </row>
    <row r="40" ht="67.5" customHeight="1">
      <c r="A40" s="5" t="inlineStr">
        <is>
          <t>2026-01-04</t>
        </is>
      </c>
      <c r="B40" s="5" t="inlineStr">
        <is>
          <t>1周</t>
        </is>
      </c>
      <c r="C40" s="5" t="inlineStr">
        <is>
          <t>小红书</t>
        </is>
      </c>
      <c r="D40" s="5" t="n"/>
      <c r="E40" s="5" t="n"/>
      <c r="F40" s="5" t="inlineStr">
        <is>
          <t>https://www.xiaohongshu.com/discovery/item/6959d71b000000001e03669f?xsec_token=CBimvAsSiO23cNWAhp8h_RL7bp4cWaOwmqBaLS1l4mZZQ=&amp;xsec_source=app_share</t>
        </is>
      </c>
      <c r="G40" s="5" t="inlineStr">
        <is>
          <t>0001A1</t>
        </is>
      </c>
      <c r="H40" s="5" t="inlineStr">
        <is>
          <t>穿搭</t>
        </is>
      </c>
      <c r="I40" s="5" t="n"/>
      <c r="J40" s="5" t="n"/>
      <c r="K40" s="5" t="n">
        <v>107.5</v>
      </c>
      <c r="L40" s="5" t="n">
        <v>2550</v>
      </c>
      <c r="M40" s="5" t="n">
        <v>149</v>
      </c>
      <c r="N40" s="5" t="n">
        <v>59</v>
      </c>
      <c r="O40" s="5" t="n">
        <v>16</v>
      </c>
      <c r="P40" s="8">
        <f>IF(AND(M40&lt;&gt;"",M40&gt;0),M40+N40+O40,"")</f>
        <v/>
      </c>
      <c r="Q40" s="11">
        <f>IF(AND(L40&lt;&gt;"",L40&gt;0,P40&lt;&gt;""),P40/L40,"")</f>
        <v/>
      </c>
      <c r="R40" s="16">
        <f>IF(AND(P40&lt;&gt;"",P40&gt;0),(I40+J40+K40)/P40,"")</f>
        <v/>
      </c>
    </row>
    <row r="41" ht="81" customHeight="1">
      <c r="A41" s="5" t="inlineStr">
        <is>
          <t>2026-01-04</t>
        </is>
      </c>
      <c r="B41" s="5" t="inlineStr">
        <is>
          <t>1周</t>
        </is>
      </c>
      <c r="C41" s="5" t="inlineStr">
        <is>
          <t>小红书</t>
        </is>
      </c>
      <c r="D41" s="5" t="n"/>
      <c r="E41" s="5" t="n"/>
      <c r="F41" s="5" t="inlineStr">
        <is>
          <t>https://www.xiaohongshu.com/discovery/item/695a353b0000000022020036?xsec_token=CB61n2IJwtZjFw25pAO5v82wQKswHzOz9lPxH1pMqRH_I=&amp;xsec_source=app_share&amp;type=video</t>
        </is>
      </c>
      <c r="G41" s="5" t="inlineStr">
        <is>
          <t>495</t>
        </is>
      </c>
      <c r="H41" s="5" t="inlineStr">
        <is>
          <t>口播</t>
        </is>
      </c>
      <c r="I41" s="5" t="n">
        <v>200</v>
      </c>
      <c r="J41" s="5" t="n"/>
      <c r="K41" s="5" t="n">
        <v>93</v>
      </c>
      <c r="L41" s="5" t="n">
        <v>32411</v>
      </c>
      <c r="M41" s="5" t="n">
        <v>1409</v>
      </c>
      <c r="N41" s="5" t="n">
        <v>489</v>
      </c>
      <c r="O41" s="5" t="n">
        <v>93</v>
      </c>
      <c r="P41" s="8">
        <f>IF(AND(M41&lt;&gt;"",M41&gt;0),M41+N41+O41,"")</f>
        <v/>
      </c>
      <c r="Q41" s="11">
        <f>IF(AND(L41&lt;&gt;"",L41&gt;0,P41&lt;&gt;""),P41/L41,"")</f>
        <v/>
      </c>
      <c r="R41" s="16">
        <f>IF(AND(P41&lt;&gt;"",P41&gt;0),(I41+J41+K41)/P41,"")</f>
        <v/>
      </c>
    </row>
    <row r="42" ht="81" customHeight="1">
      <c r="A42" s="5" t="inlineStr">
        <is>
          <t>2026-01-04</t>
        </is>
      </c>
      <c r="B42" s="5" t="inlineStr">
        <is>
          <t>1周</t>
        </is>
      </c>
      <c r="C42" s="5" t="inlineStr">
        <is>
          <t>小红书</t>
        </is>
      </c>
      <c r="D42" s="5" t="n"/>
      <c r="E42" s="5" t="n"/>
      <c r="F42" s="5" t="inlineStr">
        <is>
          <t>https://www.xiaohongshu.com/discovery/item/695a4103000000002103c141?xsec_token=CBpJKWCa8ijW8ezU7OOP1jVsw_uthuTOR-AIrLpnzZtJY=&amp;xsec_source=app_share&amp;type=video</t>
        </is>
      </c>
      <c r="G42" s="5" t="inlineStr">
        <is>
          <t>0001A1</t>
        </is>
      </c>
      <c r="H42" s="5" t="inlineStr">
        <is>
          <t>口播</t>
        </is>
      </c>
      <c r="I42" s="5" t="n"/>
      <c r="J42" s="5" t="n"/>
      <c r="K42" s="5" t="n">
        <v>107.5</v>
      </c>
      <c r="L42" s="5" t="n">
        <v>2330</v>
      </c>
      <c r="M42" s="5" t="n">
        <v>168</v>
      </c>
      <c r="N42" s="5" t="n">
        <v>50</v>
      </c>
      <c r="O42" s="5" t="n">
        <v>36</v>
      </c>
      <c r="P42" s="8">
        <f>IF(AND(M42&lt;&gt;"",M42&gt;0),M42+N42+O42,"")</f>
        <v/>
      </c>
      <c r="Q42" s="11">
        <f>IF(AND(L42&lt;&gt;"",L42&gt;0,P42&lt;&gt;""),P42/L42,"")</f>
        <v/>
      </c>
      <c r="R42" s="16">
        <f>IF(AND(P42&lt;&gt;"",P42&gt;0),(I42+J42+K42)/P42,"")</f>
        <v/>
      </c>
    </row>
    <row r="43" ht="94.5" customHeight="1">
      <c r="A43" s="5" t="inlineStr">
        <is>
          <t>2026-01-04</t>
        </is>
      </c>
      <c r="B43" s="5" t="inlineStr">
        <is>
          <t>1周</t>
        </is>
      </c>
      <c r="C43" s="5" t="inlineStr">
        <is>
          <t>小红书</t>
        </is>
      </c>
      <c r="D43" s="5" t="n"/>
      <c r="E43" s="5" t="n"/>
      <c r="F43" s="5" t="inlineStr">
        <is>
          <t>https://www.xiaohongshu.com/discovery/item/695a46fd000000001d03a796?xsec_token=CB-vF4YG65AQG1jxBv8cWJ_28coPJKc2kz_-_FfuiYJL0=&amp;xsec_source=app_share</t>
        </is>
      </c>
      <c r="G43" s="5" t="inlineStr">
        <is>
          <t>0001A1</t>
        </is>
      </c>
      <c r="H43" s="5" t="inlineStr">
        <is>
          <t>文严文</t>
        </is>
      </c>
      <c r="I43" s="5" t="n"/>
      <c r="J43" s="5" t="n"/>
      <c r="K43" s="5" t="n">
        <v>107.5</v>
      </c>
      <c r="L43" s="5" t="n">
        <v>1205</v>
      </c>
      <c r="M43" s="5" t="n">
        <v>74</v>
      </c>
      <c r="N43" s="5" t="n">
        <v>8</v>
      </c>
      <c r="O43" s="5" t="n">
        <v>16</v>
      </c>
      <c r="P43" s="8">
        <f>IF(AND(M43&lt;&gt;"",M43&gt;0),M43+N43+O43,"")</f>
        <v/>
      </c>
      <c r="Q43" s="11">
        <f>IF(AND(L43&lt;&gt;"",L43&gt;0,P43&lt;&gt;""),P43/L43,"")</f>
        <v/>
      </c>
      <c r="R43" s="16">
        <f>IF(AND(P43&lt;&gt;"",P43&gt;0),(I43+J43+K43)/P43,"")</f>
        <v/>
      </c>
    </row>
    <row r="44" ht="81" customHeight="1">
      <c r="A44" s="5" t="inlineStr">
        <is>
          <t>2026-01-04</t>
        </is>
      </c>
      <c r="B44" s="5" t="inlineStr">
        <is>
          <t>1周</t>
        </is>
      </c>
      <c r="C44" s="5" t="inlineStr">
        <is>
          <t>小红书</t>
        </is>
      </c>
      <c r="D44" s="5" t="n"/>
      <c r="E44" s="5" t="n"/>
      <c r="F44" s="5" t="inlineStr">
        <is>
          <t>https://www.xiaohongshu.com/discovery/item/695a48f6000000001e022840?xsec_token=CB-vF4YG65AQG1jxBv8cWJ__ZFJzCp7i4x8d1Vc7h27BQ=&amp;xsec_source=app_share</t>
        </is>
      </c>
      <c r="G44" s="5" t="inlineStr">
        <is>
          <t>489Y</t>
        </is>
      </c>
      <c r="H44" s="5" t="inlineStr">
        <is>
          <t>赵露思</t>
        </is>
      </c>
      <c r="I44" s="5" t="n"/>
      <c r="J44" s="5" t="n"/>
      <c r="K44" s="5" t="n">
        <v>53.5</v>
      </c>
      <c r="L44" s="5" t="n">
        <v>100</v>
      </c>
      <c r="M44" s="5" t="n">
        <v>12</v>
      </c>
      <c r="N44" s="5" t="n">
        <v>1</v>
      </c>
      <c r="O44" s="5" t="n">
        <v>0</v>
      </c>
      <c r="P44" s="8">
        <f>IF(AND(M44&lt;&gt;"",M44&gt;0),M44+N44+O44,"")</f>
        <v/>
      </c>
      <c r="Q44" s="11">
        <f>IF(AND(L44&lt;&gt;"",L44&gt;0,P44&lt;&gt;""),P44/L44,"")</f>
        <v/>
      </c>
      <c r="R44" s="16">
        <f>IF(AND(P44&lt;&gt;"",P44&gt;0),(I44+J44+K44)/P44,"")</f>
        <v/>
      </c>
    </row>
    <row r="45" ht="81" customHeight="1">
      <c r="A45" s="5" t="inlineStr">
        <is>
          <t>2026-01-04</t>
        </is>
      </c>
      <c r="B45" s="5" t="inlineStr">
        <is>
          <t>1周</t>
        </is>
      </c>
      <c r="C45" s="5" t="inlineStr">
        <is>
          <t>小红书</t>
        </is>
      </c>
      <c r="D45" s="5" t="n"/>
      <c r="E45" s="5" t="n"/>
      <c r="F45" s="5" t="inlineStr">
        <is>
          <t>https://www.xiaohongshu.com/discovery/item/695a739b000000001e010fc6?xsec_token=CB-vF4YG65AQG1jxBv8cWJ_wJHNbGq-X-jUtWGdlLeI04=&amp;xsec_source=app_share&amp;type=video</t>
        </is>
      </c>
      <c r="G45" s="5" t="inlineStr">
        <is>
          <t>1227W</t>
        </is>
      </c>
      <c r="H45" s="5" t="inlineStr">
        <is>
          <t>穿搭</t>
        </is>
      </c>
      <c r="I45" s="5" t="n"/>
      <c r="J45" s="5" t="n"/>
      <c r="K45" s="5" t="n">
        <v>61</v>
      </c>
      <c r="L45" s="5" t="n">
        <v>11752</v>
      </c>
      <c r="M45" s="5" t="n">
        <v>1443</v>
      </c>
      <c r="N45" s="5" t="n">
        <v>462</v>
      </c>
      <c r="O45" s="5" t="n">
        <v>35</v>
      </c>
      <c r="P45" s="8">
        <f>IF(AND(M45&lt;&gt;"",M45&gt;0),M45+N45+O45,"")</f>
        <v/>
      </c>
      <c r="Q45" s="11">
        <f>IF(AND(L45&lt;&gt;"",L45&gt;0,P45&lt;&gt;""),P45/L45,"")</f>
        <v/>
      </c>
      <c r="R45" s="16">
        <f>IF(AND(P45&lt;&gt;"",P45&gt;0),(I45+J45+K45)/P45,"")</f>
        <v/>
      </c>
    </row>
    <row r="46" ht="67.5" customHeight="1">
      <c r="A46" s="5" t="inlineStr">
        <is>
          <t>2026-01-04</t>
        </is>
      </c>
      <c r="B46" s="5" t="inlineStr">
        <is>
          <t>1周</t>
        </is>
      </c>
      <c r="C46" s="5" t="inlineStr">
        <is>
          <t>小红书</t>
        </is>
      </c>
      <c r="D46" s="5" t="n"/>
      <c r="E46" s="5" t="n"/>
      <c r="F46" s="5" t="inlineStr">
        <is>
          <t>https://www.xiaohongshu.com/discovery/item/695a7a40000000001e030c57?xsec_token=CBMiVFiTeHrGy3WeIgr3XxuPECxiVkur9SLxNCnUb5MXw=&amp;xsec_source=app_share</t>
        </is>
      </c>
      <c r="G46" s="5" t="inlineStr">
        <is>
          <t>0001A1</t>
        </is>
      </c>
      <c r="H46" s="5" t="inlineStr">
        <is>
          <t>文严文</t>
        </is>
      </c>
      <c r="I46" s="5" t="n"/>
      <c r="J46" s="5" t="n"/>
      <c r="K46" s="5" t="n">
        <v>107.5</v>
      </c>
      <c r="L46" s="5" t="n">
        <v>168</v>
      </c>
      <c r="M46" s="5" t="n">
        <v>12</v>
      </c>
      <c r="N46" s="5" t="n">
        <v>2</v>
      </c>
      <c r="O46" s="5" t="n">
        <v>1</v>
      </c>
      <c r="P46" s="8">
        <f>IF(AND(M46&lt;&gt;"",M46&gt;0),M46+N46+O46,"")</f>
        <v/>
      </c>
      <c r="Q46" s="11">
        <f>IF(AND(L46&lt;&gt;"",L46&gt;0,P46&lt;&gt;""),P46/L46,"")</f>
        <v/>
      </c>
      <c r="R46" s="16">
        <f>IF(AND(P46&lt;&gt;"",P46&gt;0),(I46+J46+K46)/P46,"")</f>
        <v/>
      </c>
    </row>
    <row r="47" ht="27" customHeight="1">
      <c r="A47" s="5" t="inlineStr">
        <is>
          <t>2026-01-05</t>
        </is>
      </c>
      <c r="B47" s="5" t="inlineStr">
        <is>
          <t>2周</t>
        </is>
      </c>
      <c r="C47" s="5" t="inlineStr">
        <is>
          <t>抖音</t>
        </is>
      </c>
      <c r="D47" s="5" t="n"/>
      <c r="E47" s="5" t="n"/>
      <c r="F47" s="5" t="inlineStr">
        <is>
          <t>https://v.douyin.com/qSZbest8TQM/</t>
        </is>
      </c>
      <c r="G47" s="5" t="inlineStr">
        <is>
          <t>495</t>
        </is>
      </c>
      <c r="H47" s="5" t="inlineStr">
        <is>
          <t>穿搭</t>
        </is>
      </c>
      <c r="I47" s="5" t="n"/>
      <c r="J47" s="5" t="n"/>
      <c r="K47" s="5" t="n">
        <v>93</v>
      </c>
      <c r="L47" s="5" t="n">
        <v>44000</v>
      </c>
      <c r="M47" s="5" t="n">
        <v>819</v>
      </c>
      <c r="N47" s="5" t="n">
        <v>703</v>
      </c>
      <c r="O47" s="5" t="n">
        <v>31</v>
      </c>
      <c r="P47" s="8">
        <f>IF(AND(M47&lt;&gt;"",M47&gt;0),M47+N47+O47,"")</f>
        <v/>
      </c>
      <c r="Q47" s="11">
        <f>IF(AND(L47&lt;&gt;"",L47&gt;0,P47&lt;&gt;""),P47/L47,"")</f>
        <v/>
      </c>
      <c r="R47" s="16">
        <f>IF(AND(P47&lt;&gt;"",P47&gt;0),(I47+J47+K47)/P47,"")</f>
        <v/>
      </c>
    </row>
    <row r="48" ht="27" customHeight="1">
      <c r="A48" s="5" t="inlineStr">
        <is>
          <t>2026-01-05</t>
        </is>
      </c>
      <c r="B48" s="5" t="inlineStr">
        <is>
          <t>2周</t>
        </is>
      </c>
      <c r="C48" s="5" t="inlineStr">
        <is>
          <t>抖音</t>
        </is>
      </c>
      <c r="D48" s="5" t="n"/>
      <c r="E48" s="5" t="n"/>
      <c r="F48" s="5" t="inlineStr">
        <is>
          <t>https://v.douyin.com/fLSe1oiujb0/</t>
        </is>
      </c>
      <c r="G48" s="5" t="inlineStr">
        <is>
          <t>495</t>
        </is>
      </c>
      <c r="H48" s="5" t="inlineStr">
        <is>
          <t>开箱</t>
        </is>
      </c>
      <c r="I48" s="5" t="n"/>
      <c r="J48" s="5" t="n"/>
      <c r="K48" s="5" t="n">
        <v>93</v>
      </c>
      <c r="L48" s="5" t="n">
        <v>16000</v>
      </c>
      <c r="M48" s="5" t="n">
        <v>678</v>
      </c>
      <c r="N48" s="5" t="n">
        <v>293</v>
      </c>
      <c r="O48" s="5" t="n">
        <v>40</v>
      </c>
      <c r="P48" s="8">
        <f>IF(AND(M48&lt;&gt;"",M48&gt;0),M48+N48+O48,"")</f>
        <v/>
      </c>
      <c r="Q48" s="11">
        <f>IF(AND(L48&lt;&gt;"",L48&gt;0,P48&lt;&gt;""),P48/L48,"")</f>
        <v/>
      </c>
      <c r="R48" s="16">
        <f>IF(AND(P48&lt;&gt;"",P48&gt;0),(I48+J48+K48)/P48,"")</f>
        <v/>
      </c>
    </row>
    <row r="49">
      <c r="A49" s="5" t="inlineStr">
        <is>
          <t>2026-01-05</t>
        </is>
      </c>
      <c r="B49" s="5" t="inlineStr">
        <is>
          <t>2周</t>
        </is>
      </c>
      <c r="C49" s="5" t="inlineStr">
        <is>
          <t>视频号</t>
        </is>
      </c>
      <c r="D49" s="5" t="n"/>
      <c r="E49" s="5" t="n"/>
      <c r="F49" s="5" t="n"/>
      <c r="G49" s="5" t="inlineStr">
        <is>
          <t>493AX</t>
        </is>
      </c>
      <c r="H49" s="5" t="inlineStr">
        <is>
          <t>王一珩</t>
        </is>
      </c>
      <c r="I49" s="5" t="n"/>
      <c r="J49" s="5" t="n"/>
      <c r="K49" s="5" t="n">
        <v>98</v>
      </c>
      <c r="L49" s="5" t="n">
        <v>30000</v>
      </c>
      <c r="M49" s="5" t="n">
        <v>1058</v>
      </c>
      <c r="N49" s="5" t="n">
        <v>349</v>
      </c>
      <c r="O49" s="5" t="n">
        <v>63</v>
      </c>
      <c r="P49" s="8">
        <f>IF(AND(M49&lt;&gt;"",M49&gt;0),M49+N49+O49,"")</f>
        <v/>
      </c>
      <c r="Q49" s="11">
        <f>IF(AND(L49&lt;&gt;"",L49&gt;0,P49&lt;&gt;""),P49/L49,"")</f>
        <v/>
      </c>
      <c r="R49" s="16">
        <f>IF(AND(P49&lt;&gt;"",P49&gt;0),(I49+J49+K49)/P49,"")</f>
        <v/>
      </c>
    </row>
    <row r="50" ht="27" customHeight="1">
      <c r="A50" s="5" t="inlineStr">
        <is>
          <t>2026-01-05</t>
        </is>
      </c>
      <c r="B50" s="5" t="inlineStr">
        <is>
          <t>2周</t>
        </is>
      </c>
      <c r="C50" s="5" t="inlineStr">
        <is>
          <t>抖音</t>
        </is>
      </c>
      <c r="D50" s="5" t="n"/>
      <c r="E50" s="5" t="n"/>
      <c r="F50" s="5" t="inlineStr">
        <is>
          <t>https://v.douyin.com/ZEV9zKpvA0E/</t>
        </is>
      </c>
      <c r="G50" s="5" t="inlineStr">
        <is>
          <t>493AX</t>
        </is>
      </c>
      <c r="H50" s="5" t="inlineStr">
        <is>
          <t>王一珩</t>
        </is>
      </c>
      <c r="I50" s="5" t="n"/>
      <c r="J50" s="5" t="n"/>
      <c r="K50" s="5" t="n">
        <v>98</v>
      </c>
      <c r="L50" s="5" t="n">
        <v>205000</v>
      </c>
      <c r="M50" s="5" t="n">
        <v>7625</v>
      </c>
      <c r="N50" s="5" t="n">
        <v>688</v>
      </c>
      <c r="O50" s="5" t="n">
        <v>401</v>
      </c>
      <c r="P50" s="8">
        <f>IF(AND(M50&lt;&gt;"",M50&gt;0),M50+N50+O50,"")</f>
        <v/>
      </c>
      <c r="Q50" s="11">
        <f>IF(AND(L50&lt;&gt;"",L50&gt;0,P50&lt;&gt;""),P50/L50,"")</f>
        <v/>
      </c>
      <c r="R50" s="16">
        <f>IF(AND(P50&lt;&gt;"",P50&gt;0),(I50+J50+K50)/P50,"")</f>
        <v/>
      </c>
    </row>
    <row r="51" ht="27" customHeight="1">
      <c r="A51" s="5" t="inlineStr">
        <is>
          <t>2026-01-05</t>
        </is>
      </c>
      <c r="B51" s="5" t="inlineStr">
        <is>
          <t>2周</t>
        </is>
      </c>
      <c r="C51" s="5" t="inlineStr">
        <is>
          <t>抖音</t>
        </is>
      </c>
      <c r="D51" s="5" t="n"/>
      <c r="E51" s="5" t="n"/>
      <c r="F51" s="5" t="inlineStr">
        <is>
          <t>https://v.douyin.com/Y2TqQTeBIdw/</t>
        </is>
      </c>
      <c r="G51" s="5" t="inlineStr">
        <is>
          <t>493AX</t>
        </is>
      </c>
      <c r="H51" s="5" t="inlineStr">
        <is>
          <t>穿搭</t>
        </is>
      </c>
      <c r="I51" s="5" t="n"/>
      <c r="J51" s="5" t="n"/>
      <c r="K51" s="5" t="n">
        <v>98</v>
      </c>
      <c r="L51" s="5" t="n">
        <v>9788</v>
      </c>
      <c r="M51" s="5" t="n">
        <v>243</v>
      </c>
      <c r="N51" s="5" t="n">
        <v>6</v>
      </c>
      <c r="O51" s="5" t="n">
        <v>17</v>
      </c>
      <c r="P51" s="8">
        <f>IF(AND(M51&lt;&gt;"",M51&gt;0),M51+N51+O51,"")</f>
        <v/>
      </c>
      <c r="Q51" s="11">
        <f>IF(AND(L51&lt;&gt;"",L51&gt;0,P51&lt;&gt;""),P51/L51,"")</f>
        <v/>
      </c>
      <c r="R51" s="16">
        <f>IF(AND(P51&lt;&gt;"",P51&gt;0),(I51+J51+K51)/P51,"")</f>
        <v/>
      </c>
    </row>
    <row r="52" ht="27" customHeight="1">
      <c r="A52" s="5" t="inlineStr">
        <is>
          <t>2026-01-05</t>
        </is>
      </c>
      <c r="B52" s="5" t="inlineStr">
        <is>
          <t>2周</t>
        </is>
      </c>
      <c r="C52" s="5" t="inlineStr">
        <is>
          <t>抖音</t>
        </is>
      </c>
      <c r="D52" s="5" t="n"/>
      <c r="E52" s="5" t="n"/>
      <c r="F52" s="5" t="inlineStr">
        <is>
          <t>https://v.douyin.com/Hg65AnQNXVQ/</t>
        </is>
      </c>
      <c r="G52" s="5" t="inlineStr">
        <is>
          <t>495</t>
        </is>
      </c>
      <c r="H52" s="5" t="inlineStr">
        <is>
          <t>穿搭</t>
        </is>
      </c>
      <c r="I52" s="5" t="n"/>
      <c r="J52" s="5" t="n"/>
      <c r="K52" s="5" t="n">
        <v>93</v>
      </c>
      <c r="L52" s="5" t="n">
        <v>10000</v>
      </c>
      <c r="M52" s="5" t="n">
        <v>255</v>
      </c>
      <c r="N52" s="5" t="n">
        <v>30</v>
      </c>
      <c r="O52" s="5" t="n">
        <v>218</v>
      </c>
      <c r="P52" s="8">
        <f>IF(AND(M52&lt;&gt;"",M52&gt;0),M52+N52+O52,"")</f>
        <v/>
      </c>
      <c r="Q52" s="11">
        <f>IF(AND(L52&lt;&gt;"",L52&gt;0,P52&lt;&gt;""),P52/L52,"")</f>
        <v/>
      </c>
      <c r="R52" s="16">
        <f>IF(AND(P52&lt;&gt;"",P52&gt;0),(I52+J52+K52)/P52,"")</f>
        <v/>
      </c>
    </row>
    <row r="53" ht="40.5" customHeight="1">
      <c r="A53" s="5" t="inlineStr">
        <is>
          <t>2026-01-05</t>
        </is>
      </c>
      <c r="B53" s="5" t="inlineStr">
        <is>
          <t>2周</t>
        </is>
      </c>
      <c r="C53" s="5" t="inlineStr">
        <is>
          <t>b站</t>
        </is>
      </c>
      <c r="D53" s="5" t="n"/>
      <c r="E53" s="5" t="n"/>
      <c r="F53" s="5" t="inlineStr">
        <is>
          <t>https://www.bilibili.com/video/BV1nci4BPEqv/?share_source=copy_web</t>
        </is>
      </c>
      <c r="G53" s="5" t="inlineStr">
        <is>
          <t>495</t>
        </is>
      </c>
      <c r="H53" s="5" t="inlineStr">
        <is>
          <t>穿搭</t>
        </is>
      </c>
      <c r="I53" s="5" t="n"/>
      <c r="J53" s="5" t="n"/>
      <c r="K53" s="5" t="n">
        <v>93</v>
      </c>
      <c r="L53" s="5" t="n">
        <v>419</v>
      </c>
      <c r="M53" s="5" t="n">
        <v>6</v>
      </c>
      <c r="N53" s="5" t="n">
        <v>4</v>
      </c>
      <c r="O53" s="5" t="n">
        <v>3</v>
      </c>
      <c r="P53" s="8">
        <f>IF(AND(M53&lt;&gt;"",M53&gt;0),M53+N53+O53,"")</f>
        <v/>
      </c>
      <c r="Q53" s="11">
        <f>IF(AND(L53&lt;&gt;"",L53&gt;0,P53&lt;&gt;""),P53/L53,"")</f>
        <v/>
      </c>
      <c r="R53" s="16">
        <f>IF(AND(P53&lt;&gt;"",P53&gt;0),(I53+J53+K53)/P53,"")</f>
        <v/>
      </c>
    </row>
    <row r="54" ht="67.5" customHeight="1">
      <c r="A54" s="5" t="inlineStr">
        <is>
          <t>2026-01-05</t>
        </is>
      </c>
      <c r="B54" s="5" t="inlineStr">
        <is>
          <t>2周</t>
        </is>
      </c>
      <c r="C54" s="5" t="inlineStr">
        <is>
          <t>得物</t>
        </is>
      </c>
      <c r="D54" s="5" t="n"/>
      <c r="E54" s="5" t="n"/>
      <c r="F54" s="5" t="inlineStr">
        <is>
          <t>https://m.dewu.com/rn-activity/community-share?trendId=440984244&amp;shareType=0&amp;source=videoTrend&amp;shareId=yZQ6vlk&amp;shareChannel=1</t>
        </is>
      </c>
      <c r="G54" s="5" t="inlineStr">
        <is>
          <t>495</t>
        </is>
      </c>
      <c r="H54" s="5" t="inlineStr">
        <is>
          <t>穿搭</t>
        </is>
      </c>
      <c r="I54" s="5" t="n"/>
      <c r="J54" s="5" t="n"/>
      <c r="K54" s="5" t="n">
        <v>93</v>
      </c>
      <c r="L54" s="5" t="n">
        <v>177</v>
      </c>
      <c r="M54" s="5" t="n">
        <v>3</v>
      </c>
      <c r="N54" s="5" t="n">
        <v>0</v>
      </c>
      <c r="O54" s="5" t="n">
        <v>0</v>
      </c>
      <c r="P54" s="8">
        <f>IF(AND(M54&lt;&gt;"",M54&gt;0),M54+N54+O54,"")</f>
        <v/>
      </c>
      <c r="Q54" s="11">
        <f>IF(AND(L54&lt;&gt;"",L54&gt;0,P54&lt;&gt;""),P54/L54,"")</f>
        <v/>
      </c>
      <c r="R54" s="16">
        <f>IF(AND(P54&lt;&gt;"",P54&gt;0),(I54+J54+K54)/P54,"")</f>
        <v/>
      </c>
    </row>
    <row r="55" ht="67.5" customHeight="1">
      <c r="A55" s="5" t="inlineStr">
        <is>
          <t>2026-01-05</t>
        </is>
      </c>
      <c r="B55" s="5" t="inlineStr">
        <is>
          <t>2周</t>
        </is>
      </c>
      <c r="C55" s="5" t="inlineStr">
        <is>
          <t>得物</t>
        </is>
      </c>
      <c r="D55" s="5" t="n"/>
      <c r="E55" s="5" t="n"/>
      <c r="F55" s="5" t="inlineStr">
        <is>
          <t>https://m.dewu.com/rn-activity/community-share?trendId=441036801&amp;shareType=0&amp;source=picTrend&amp;shareId=yZQ6vlk&amp;shareChannel=1</t>
        </is>
      </c>
      <c r="G55" s="5" t="inlineStr">
        <is>
          <t>495</t>
        </is>
      </c>
      <c r="H55" s="5" t="inlineStr">
        <is>
          <t>穿搭</t>
        </is>
      </c>
      <c r="I55" s="5" t="n"/>
      <c r="J55" s="5" t="n"/>
      <c r="K55" s="5" t="n">
        <v>93</v>
      </c>
      <c r="L55" s="5" t="n">
        <v>122</v>
      </c>
      <c r="M55" s="5" t="n">
        <v>2</v>
      </c>
      <c r="N55" s="5" t="n">
        <v>0</v>
      </c>
      <c r="O55" s="5" t="n">
        <v>0</v>
      </c>
      <c r="P55" s="8">
        <f>IF(AND(M55&lt;&gt;"",M55&gt;0),M55+N55+O55,"")</f>
        <v/>
      </c>
      <c r="Q55" s="11">
        <f>IF(AND(L55&lt;&gt;"",L55&gt;0,P55&lt;&gt;""),P55/L55,"")</f>
        <v/>
      </c>
      <c r="R55" s="16">
        <f>IF(AND(P55&lt;&gt;"",P55&gt;0),(I55+J55+K55)/P55,"")</f>
        <v/>
      </c>
    </row>
    <row r="56" ht="27" customHeight="1">
      <c r="A56" s="5" t="inlineStr">
        <is>
          <t>2026-01-05</t>
        </is>
      </c>
      <c r="B56" s="5" t="inlineStr">
        <is>
          <t>2周</t>
        </is>
      </c>
      <c r="C56" s="5" t="inlineStr">
        <is>
          <t>抖音</t>
        </is>
      </c>
      <c r="D56" s="5" t="n"/>
      <c r="E56" s="5" t="n"/>
      <c r="F56" s="5" t="inlineStr">
        <is>
          <t>https://v.douyin.com/oglz57q2-t4/</t>
        </is>
      </c>
      <c r="G56" s="5" t="inlineStr">
        <is>
          <t>495</t>
        </is>
      </c>
      <c r="H56" s="5" t="inlineStr">
        <is>
          <t>穿搭</t>
        </is>
      </c>
      <c r="I56" s="5" t="n">
        <v>80</v>
      </c>
      <c r="J56" s="5" t="n"/>
      <c r="K56" s="5" t="n">
        <v>93</v>
      </c>
      <c r="L56" s="5" t="n">
        <v>21000</v>
      </c>
      <c r="M56" s="5" t="n">
        <v>2170</v>
      </c>
      <c r="N56" s="5" t="n">
        <v>134</v>
      </c>
      <c r="O56" s="5" t="n">
        <v>48</v>
      </c>
      <c r="P56" s="8">
        <f>IF(AND(M56&lt;&gt;"",M56&gt;0),M56+N56+O56,"")</f>
        <v/>
      </c>
      <c r="Q56" s="11">
        <f>IF(AND(L56&lt;&gt;"",L56&gt;0,P56&lt;&gt;""),P56/L56,"")</f>
        <v/>
      </c>
      <c r="R56" s="16">
        <f>IF(AND(P56&lt;&gt;"",P56&gt;0),(I56+J56+K56)/P56,"")</f>
        <v/>
      </c>
    </row>
    <row r="57" ht="27" customHeight="1">
      <c r="A57" s="5" t="inlineStr">
        <is>
          <t>2026-01-05</t>
        </is>
      </c>
      <c r="B57" s="5" t="inlineStr">
        <is>
          <t>2周</t>
        </is>
      </c>
      <c r="C57" s="5" t="inlineStr">
        <is>
          <t>抖音</t>
        </is>
      </c>
      <c r="D57" s="5" t="n"/>
      <c r="E57" s="5" t="n"/>
      <c r="F57" s="5" t="inlineStr">
        <is>
          <t>https://v.douyin.com/-xJlGqr2tXo/</t>
        </is>
      </c>
      <c r="G57" s="5" t="inlineStr">
        <is>
          <t>495</t>
        </is>
      </c>
      <c r="H57" s="5" t="inlineStr">
        <is>
          <t>穿搭</t>
        </is>
      </c>
      <c r="I57" s="5" t="n"/>
      <c r="J57" s="5" t="n"/>
      <c r="K57" s="5" t="n">
        <v>93</v>
      </c>
      <c r="L57" s="5" t="n">
        <v>9544</v>
      </c>
      <c r="M57" s="5" t="n">
        <v>166</v>
      </c>
      <c r="N57" s="5" t="n">
        <v>22</v>
      </c>
      <c r="O57" s="5" t="n">
        <v>5</v>
      </c>
      <c r="P57" s="8">
        <f>IF(AND(M57&lt;&gt;"",M57&gt;0),M57+N57+O57,"")</f>
        <v/>
      </c>
      <c r="Q57" s="11">
        <f>IF(AND(L57&lt;&gt;"",L57&gt;0,P57&lt;&gt;""),P57/L57,"")</f>
        <v/>
      </c>
      <c r="R57" s="16">
        <f>IF(AND(P57&lt;&gt;"",P57&gt;0),(I57+J57+K57)/P57,"")</f>
        <v/>
      </c>
    </row>
    <row r="58" ht="81" customHeight="1">
      <c r="A58" s="5" t="inlineStr">
        <is>
          <t>2026-01-05</t>
        </is>
      </c>
      <c r="B58" s="5" t="inlineStr">
        <is>
          <t>2周</t>
        </is>
      </c>
      <c r="C58" s="5" t="inlineStr">
        <is>
          <t>小红书</t>
        </is>
      </c>
      <c r="D58" s="5" t="n"/>
      <c r="E58" s="5" t="n"/>
      <c r="F58" s="5" t="inlineStr">
        <is>
          <t>https://www.xiaohongshu.com/discovery/item/695b6366000000000e03d0d7?xsec_token=CB_5DSRLMSO90sNHP4X0IRKMexlqiksCYs0BKkEmFBcr0=&amp;xsec_source=app_share&amp;type=video</t>
        </is>
      </c>
      <c r="G58" s="5" t="inlineStr">
        <is>
          <t>493AX</t>
        </is>
      </c>
      <c r="H58" s="5" t="inlineStr">
        <is>
          <t>王一珩</t>
        </is>
      </c>
      <c r="I58" s="5" t="n"/>
      <c r="J58" s="5" t="n"/>
      <c r="K58" s="5" t="n">
        <v>98</v>
      </c>
      <c r="L58" s="5" t="n">
        <v>204491</v>
      </c>
      <c r="M58" s="5" t="n">
        <v>11056</v>
      </c>
      <c r="N58" s="5" t="n">
        <v>1231</v>
      </c>
      <c r="O58" s="5" t="n">
        <v>401</v>
      </c>
      <c r="P58" s="8">
        <f>IF(AND(M58&lt;&gt;"",M58&gt;0),M58+N58+O58,"")</f>
        <v/>
      </c>
      <c r="Q58" s="11">
        <f>IF(AND(L58&lt;&gt;"",L58&gt;0,P58&lt;&gt;""),P58/L58,"")</f>
        <v/>
      </c>
      <c r="R58" s="16">
        <f>IF(AND(P58&lt;&gt;"",P58&gt;0),(I58+J58+K58)/P58,"")</f>
        <v/>
      </c>
    </row>
    <row r="59" ht="81" customHeight="1">
      <c r="A59" s="5" t="inlineStr">
        <is>
          <t>2026-01-05</t>
        </is>
      </c>
      <c r="B59" s="5" t="inlineStr">
        <is>
          <t>2周</t>
        </is>
      </c>
      <c r="C59" s="5" t="inlineStr">
        <is>
          <t>小红书</t>
        </is>
      </c>
      <c r="D59" s="5" t="n"/>
      <c r="E59" s="5" t="n"/>
      <c r="F59" s="5" t="inlineStr">
        <is>
          <t>https://www.xiaohongshu.com/discovery/item/695b8e0e000000000a02cc3f?xsec_token=CB2Xeta36-aYjDSLG1mloYaJ8x7LnQ882mHmz7Etajehk=&amp;xsec_source=app_share&amp;type=video</t>
        </is>
      </c>
      <c r="G59" s="5" t="inlineStr">
        <is>
          <t>495</t>
        </is>
      </c>
      <c r="H59" s="5" t="inlineStr">
        <is>
          <t>穿搭</t>
        </is>
      </c>
      <c r="I59" s="5" t="n"/>
      <c r="J59" s="5" t="n"/>
      <c r="K59" s="5" t="n">
        <v>93</v>
      </c>
      <c r="L59" s="5" t="n">
        <v>199</v>
      </c>
      <c r="M59" s="5" t="n">
        <v>13</v>
      </c>
      <c r="N59" s="5" t="n">
        <v>8</v>
      </c>
      <c r="O59" s="5" t="n">
        <v>1</v>
      </c>
      <c r="P59" s="8">
        <f>IF(AND(M59&lt;&gt;"",M59&gt;0),M59+N59+O59,"")</f>
        <v/>
      </c>
      <c r="Q59" s="11">
        <f>IF(AND(L59&lt;&gt;"",L59&gt;0,P59&lt;&gt;""),P59/L59,"")</f>
        <v/>
      </c>
      <c r="R59" s="16">
        <f>IF(AND(P59&lt;&gt;"",P59&gt;0),(I59+J59+K59)/P59,"")</f>
        <v/>
      </c>
    </row>
    <row r="60" ht="81" customHeight="1">
      <c r="A60" s="5" t="inlineStr">
        <is>
          <t>2026-01-05</t>
        </is>
      </c>
      <c r="B60" s="5" t="inlineStr">
        <is>
          <t>2周</t>
        </is>
      </c>
      <c r="C60" s="5" t="inlineStr">
        <is>
          <t>小红书</t>
        </is>
      </c>
      <c r="D60" s="5" t="n"/>
      <c r="E60" s="5" t="n"/>
      <c r="F60" s="5" t="inlineStr">
        <is>
          <t>https://www.xiaohongshu.com/discovery/item/695ba6e500000000210290c3?xsec_token=CBRAxOc8JfdLmzPqo5lIkhIGz2rskIYJxVLoMUt-PMHH4=&amp;xsec_source=app_share&amp;type=video</t>
        </is>
      </c>
      <c r="G60" s="5" t="inlineStr">
        <is>
          <t>495</t>
        </is>
      </c>
      <c r="H60" s="5" t="inlineStr">
        <is>
          <t>穿搭</t>
        </is>
      </c>
      <c r="I60" s="5" t="n"/>
      <c r="J60" s="5" t="n"/>
      <c r="K60" s="5" t="n">
        <v>93</v>
      </c>
      <c r="L60" s="5" t="n">
        <v>3635</v>
      </c>
      <c r="M60" s="5" t="n">
        <v>263</v>
      </c>
      <c r="N60" s="5" t="n">
        <v>17</v>
      </c>
      <c r="O60" s="5" t="n">
        <v>25</v>
      </c>
      <c r="P60" s="8">
        <f>IF(AND(M60&lt;&gt;"",M60&gt;0),M60+N60+O60,"")</f>
        <v/>
      </c>
      <c r="Q60" s="11">
        <f>IF(AND(L60&lt;&gt;"",L60&gt;0,P60&lt;&gt;""),P60/L60,"")</f>
        <v/>
      </c>
      <c r="R60" s="16">
        <f>IF(AND(P60&lt;&gt;"",P60&gt;0),(I60+J60+K60)/P60,"")</f>
        <v/>
      </c>
    </row>
    <row r="61" ht="67.5" customHeight="1">
      <c r="A61" s="5" t="inlineStr">
        <is>
          <t>2026-01-05</t>
        </is>
      </c>
      <c r="B61" s="5" t="inlineStr">
        <is>
          <t>2周</t>
        </is>
      </c>
      <c r="C61" s="5" t="inlineStr">
        <is>
          <t>小红书</t>
        </is>
      </c>
      <c r="D61" s="5" t="n"/>
      <c r="E61" s="5" t="n"/>
      <c r="F61" s="5" t="inlineStr">
        <is>
          <t>https://www.xiaohongshu.com/discovery/item/695bce1c000000002200a899?xsec_token=CBSwxRrUAc4VjoIn3aUIZ0su0YcIlhAJbjgvvo-c-YNYM=&amp;xsec_source=app_share</t>
        </is>
      </c>
      <c r="G61" s="5" t="inlineStr">
        <is>
          <t>495</t>
        </is>
      </c>
      <c r="H61" s="5" t="inlineStr">
        <is>
          <t>高桥大翔</t>
        </is>
      </c>
      <c r="I61" s="5" t="n"/>
      <c r="J61" s="5" t="n"/>
      <c r="K61" s="5" t="n">
        <v>93</v>
      </c>
      <c r="L61" s="5" t="n">
        <v>243</v>
      </c>
      <c r="M61" s="5" t="n">
        <v>9</v>
      </c>
      <c r="N61" s="5" t="n">
        <v>0</v>
      </c>
      <c r="O61" s="5" t="n">
        <v>6</v>
      </c>
      <c r="P61" s="8">
        <f>IF(AND(M61&lt;&gt;"",M61&gt;0),M61+N61+O61,"")</f>
        <v/>
      </c>
      <c r="Q61" s="11">
        <f>IF(AND(L61&lt;&gt;"",L61&gt;0,P61&lt;&gt;""),P61/L61,"")</f>
        <v/>
      </c>
      <c r="R61" s="16">
        <f>IF(AND(P61&lt;&gt;"",P61&gt;0),(I61+J61+K61)/P61,"")</f>
        <v/>
      </c>
    </row>
    <row r="62" ht="27" customHeight="1">
      <c r="A62" s="5" t="inlineStr">
        <is>
          <t>2026-01-06</t>
        </is>
      </c>
      <c r="B62" s="5" t="inlineStr">
        <is>
          <t>2周</t>
        </is>
      </c>
      <c r="C62" s="5" t="inlineStr">
        <is>
          <t>抖音</t>
        </is>
      </c>
      <c r="D62" s="5" t="n"/>
      <c r="E62" s="5" t="n"/>
      <c r="F62" s="5" t="inlineStr">
        <is>
          <t>https://v.douyin.com/K77jhMhrcKI/</t>
        </is>
      </c>
      <c r="G62" s="5" t="inlineStr">
        <is>
          <t>495</t>
        </is>
      </c>
      <c r="H62" s="5" t="inlineStr">
        <is>
          <t>穿搭</t>
        </is>
      </c>
      <c r="I62" s="5" t="n"/>
      <c r="J62" s="5" t="n"/>
      <c r="K62" s="5" t="n">
        <v>93</v>
      </c>
      <c r="L62" s="5" t="n">
        <v>16000</v>
      </c>
      <c r="M62" s="5" t="n">
        <v>391</v>
      </c>
      <c r="N62" s="5" t="n">
        <v>22</v>
      </c>
      <c r="O62" s="5" t="n">
        <v>20</v>
      </c>
      <c r="P62" s="8">
        <f>IF(AND(M62&lt;&gt;"",M62&gt;0),M62+N62+O62,"")</f>
        <v/>
      </c>
      <c r="Q62" s="11">
        <f>IF(AND(L62&lt;&gt;"",L62&gt;0,P62&lt;&gt;""),P62/L62,"")</f>
        <v/>
      </c>
      <c r="R62" s="16">
        <f>IF(AND(P62&lt;&gt;"",P62&gt;0),(I62+J62+K62)/P62,"")</f>
        <v/>
      </c>
    </row>
    <row r="63" ht="27" customHeight="1">
      <c r="A63" s="5" t="inlineStr">
        <is>
          <t>2026-01-06</t>
        </is>
      </c>
      <c r="B63" s="5" t="inlineStr">
        <is>
          <t>2周</t>
        </is>
      </c>
      <c r="C63" s="5" t="inlineStr">
        <is>
          <t>得物</t>
        </is>
      </c>
      <c r="D63" s="5" t="n"/>
      <c r="E63" s="5" t="n"/>
      <c r="F63" s="5" t="inlineStr">
        <is>
          <t>https://v.douyin.com/bndrzFmE-2g/</t>
        </is>
      </c>
      <c r="G63" s="5" t="inlineStr">
        <is>
          <t>495</t>
        </is>
      </c>
      <c r="H63" s="5" t="inlineStr">
        <is>
          <t>穿搭</t>
        </is>
      </c>
      <c r="I63" s="5" t="n">
        <v>100</v>
      </c>
      <c r="J63" s="5" t="n"/>
      <c r="K63" s="5" t="n">
        <v>93</v>
      </c>
      <c r="L63" s="5" t="n">
        <v>19000</v>
      </c>
      <c r="M63" s="5" t="n">
        <v>300</v>
      </c>
      <c r="N63" s="5" t="n">
        <v>71</v>
      </c>
      <c r="O63" s="5" t="n">
        <v>27</v>
      </c>
      <c r="P63" s="8">
        <f>IF(AND(M63&lt;&gt;"",M63&gt;0),M63+N63+O63,"")</f>
        <v/>
      </c>
      <c r="Q63" s="11">
        <f>IF(AND(L63&lt;&gt;"",L63&gt;0,P63&lt;&gt;""),P63/L63,"")</f>
        <v/>
      </c>
      <c r="R63" s="16">
        <f>IF(AND(P63&lt;&gt;"",P63&gt;0),(I63+J63+K63)/P63,"")</f>
        <v/>
      </c>
    </row>
    <row r="64" ht="27" customHeight="1">
      <c r="A64" s="5" t="inlineStr">
        <is>
          <t>2026-01-06</t>
        </is>
      </c>
      <c r="B64" s="5" t="inlineStr">
        <is>
          <t>2周</t>
        </is>
      </c>
      <c r="C64" s="5" t="inlineStr">
        <is>
          <t>抖音</t>
        </is>
      </c>
      <c r="D64" s="5" t="n"/>
      <c r="E64" s="5" t="n"/>
      <c r="F64" s="5" t="inlineStr">
        <is>
          <t>https://v.douyin.com/9piR5SAyY6w/</t>
        </is>
      </c>
      <c r="G64" s="5" t="inlineStr">
        <is>
          <t>495</t>
        </is>
      </c>
      <c r="H64" s="5" t="inlineStr">
        <is>
          <t>穿搭</t>
        </is>
      </c>
      <c r="I64" s="5" t="n"/>
      <c r="J64" s="5" t="n"/>
      <c r="K64" s="5" t="n">
        <v>93</v>
      </c>
      <c r="L64" s="5" t="n">
        <v>34000</v>
      </c>
      <c r="M64" s="5" t="n">
        <v>4191</v>
      </c>
      <c r="N64" s="5" t="n">
        <v>252</v>
      </c>
      <c r="O64" s="5" t="n">
        <v>35</v>
      </c>
      <c r="P64" s="8">
        <f>IF(AND(M64&lt;&gt;"",M64&gt;0),M64+N64+O64,"")</f>
        <v/>
      </c>
      <c r="Q64" s="11">
        <f>IF(AND(L64&lt;&gt;"",L64&gt;0,P64&lt;&gt;""),P64/L64,"")</f>
        <v/>
      </c>
      <c r="R64" s="16">
        <f>IF(AND(P64&lt;&gt;"",P64&gt;0),(I64+J64+K64)/P64,"")</f>
        <v/>
      </c>
    </row>
    <row r="65" ht="81" customHeight="1">
      <c r="A65" s="5" t="inlineStr">
        <is>
          <t>2026-01-06</t>
        </is>
      </c>
      <c r="B65" s="5" t="inlineStr">
        <is>
          <t>2周</t>
        </is>
      </c>
      <c r="C65" s="5" t="inlineStr">
        <is>
          <t>小红书</t>
        </is>
      </c>
      <c r="D65" s="5" t="n"/>
      <c r="E65" s="5" t="n"/>
      <c r="F65" s="5" t="inlineStr">
        <is>
          <t>https://www.xiaohongshu.com/discovery/item/695c7bea000000001a01c289?xsec_token=CBxTa2K_G9qNtzKEcIMrDmQ8GMKbHx5Rks5TMhm5Yjxqk=&amp;xsec_source=app_share&amp;type=video</t>
        </is>
      </c>
      <c r="G65" s="5" t="inlineStr">
        <is>
          <t>495</t>
        </is>
      </c>
      <c r="H65" s="5" t="inlineStr">
        <is>
          <t>程相</t>
        </is>
      </c>
      <c r="I65" s="5" t="n"/>
      <c r="J65" s="5" t="n"/>
      <c r="K65" s="5" t="n">
        <v>93</v>
      </c>
      <c r="L65" s="5" t="n">
        <v>201</v>
      </c>
      <c r="M65" s="5" t="n">
        <v>20</v>
      </c>
      <c r="N65" s="5" t="n">
        <v>0</v>
      </c>
      <c r="O65" s="5" t="n">
        <v>3</v>
      </c>
      <c r="P65" s="8">
        <f>IF(AND(M65&lt;&gt;"",M65&gt;0),M65+N65+O65,"")</f>
        <v/>
      </c>
      <c r="Q65" s="11">
        <f>IF(AND(L65&lt;&gt;"",L65&gt;0,P65&lt;&gt;""),P65/L65,"")</f>
        <v/>
      </c>
      <c r="R65" s="16">
        <f>IF(AND(P65&lt;&gt;"",P65&gt;0),(I65+J65+K65)/P65,"")</f>
        <v/>
      </c>
    </row>
    <row r="66" ht="81" customHeight="1">
      <c r="A66" s="5" t="inlineStr">
        <is>
          <t>2026-01-06</t>
        </is>
      </c>
      <c r="B66" s="5" t="inlineStr">
        <is>
          <t>2周</t>
        </is>
      </c>
      <c r="C66" s="5" t="inlineStr">
        <is>
          <t>小红书</t>
        </is>
      </c>
      <c r="D66" s="5" t="n"/>
      <c r="E66" s="5" t="n"/>
      <c r="F66" s="5" t="inlineStr">
        <is>
          <t>https://www.xiaohongshu.com/discovery/item/695cd08e000000001a0358f9?xsec_token=CBNDpYQDmQOq_8M3LteoHIIw3zy2UVuFKExXRMvpxk7V4=&amp;xsec_source=app_share&amp;type=video</t>
        </is>
      </c>
      <c r="G66" s="5" t="inlineStr">
        <is>
          <t>495</t>
        </is>
      </c>
      <c r="H66" s="5" t="inlineStr">
        <is>
          <t>口播</t>
        </is>
      </c>
      <c r="I66" s="5" t="n">
        <v>80</v>
      </c>
      <c r="J66" s="5" t="n"/>
      <c r="K66" s="5" t="n">
        <v>93</v>
      </c>
      <c r="L66" s="5" t="n">
        <v>5980</v>
      </c>
      <c r="M66" s="5" t="n">
        <v>691</v>
      </c>
      <c r="N66" s="5" t="n">
        <v>184</v>
      </c>
      <c r="O66" s="5" t="n">
        <v>43</v>
      </c>
      <c r="P66" s="8">
        <f>IF(AND(M66&lt;&gt;"",M66&gt;0),M66+N66+O66,"")</f>
        <v/>
      </c>
      <c r="Q66" s="11">
        <f>IF(AND(L66&lt;&gt;"",L66&gt;0,P66&lt;&gt;""),P66/L66,"")</f>
        <v/>
      </c>
      <c r="R66" s="16">
        <f>IF(AND(P66&lt;&gt;"",P66&gt;0),(I66+J66+K66)/P66,"")</f>
        <v/>
      </c>
    </row>
    <row r="67" ht="27" customHeight="1">
      <c r="A67" s="5" t="inlineStr">
        <is>
          <t>2026-01-07</t>
        </is>
      </c>
      <c r="B67" s="5" t="inlineStr">
        <is>
          <t>2周</t>
        </is>
      </c>
      <c r="C67" s="5" t="inlineStr">
        <is>
          <t>抖音</t>
        </is>
      </c>
      <c r="D67" s="5" t="n"/>
      <c r="E67" s="5" t="n"/>
      <c r="F67" s="5" t="inlineStr">
        <is>
          <t>https://v.douyin.com/IHAIxEmtUqM/</t>
        </is>
      </c>
      <c r="G67" s="5" t="inlineStr">
        <is>
          <t>495</t>
        </is>
      </c>
      <c r="H67" s="5" t="inlineStr">
        <is>
          <t>穿搭</t>
        </is>
      </c>
      <c r="I67" s="5" t="n"/>
      <c r="J67" s="5" t="n"/>
      <c r="K67" s="5" t="n">
        <v>93</v>
      </c>
      <c r="L67" s="5" t="n">
        <v>108000</v>
      </c>
      <c r="M67" s="5" t="n">
        <v>8029</v>
      </c>
      <c r="N67" s="5" t="n">
        <v>556</v>
      </c>
      <c r="O67" s="5" t="n">
        <v>87</v>
      </c>
      <c r="P67" s="8">
        <f>IF(AND(M67&lt;&gt;"",M67&gt;0),M67+N67+O67,"")</f>
        <v/>
      </c>
      <c r="Q67" s="11">
        <f>IF(AND(L67&lt;&gt;"",L67&gt;0,P67&lt;&gt;""),P67/L67,"")</f>
        <v/>
      </c>
      <c r="R67" s="16">
        <f>IF(AND(P67&lt;&gt;"",P67&gt;0),(I67+J67+K67)/P67,"")</f>
        <v/>
      </c>
    </row>
    <row r="68" ht="27" customHeight="1">
      <c r="A68" s="5" t="inlineStr">
        <is>
          <t>2026-01-07</t>
        </is>
      </c>
      <c r="B68" s="5" t="inlineStr">
        <is>
          <t>2周</t>
        </is>
      </c>
      <c r="C68" s="5" t="inlineStr">
        <is>
          <t>抖音</t>
        </is>
      </c>
      <c r="D68" s="5" t="n"/>
      <c r="E68" s="5" t="n"/>
      <c r="F68" s="5" t="inlineStr">
        <is>
          <t>https://v.douyin.com/vUyOFA_2rfs/</t>
        </is>
      </c>
      <c r="G68" s="5" t="inlineStr">
        <is>
          <t>495</t>
        </is>
      </c>
      <c r="H68" s="5" t="inlineStr">
        <is>
          <t>穿搭</t>
        </is>
      </c>
      <c r="I68" s="5" t="n"/>
      <c r="J68" s="5" t="n"/>
      <c r="K68" s="5" t="n">
        <v>93</v>
      </c>
      <c r="L68" s="5" t="n">
        <v>11000</v>
      </c>
      <c r="M68" s="5" t="n">
        <v>1658</v>
      </c>
      <c r="N68" s="5" t="n">
        <v>43</v>
      </c>
      <c r="O68" s="5" t="n">
        <v>22</v>
      </c>
      <c r="P68" s="8">
        <f>IF(AND(M68&lt;&gt;"",M68&gt;0),M68+N68+O68,"")</f>
        <v/>
      </c>
      <c r="Q68" s="11">
        <f>IF(AND(L68&lt;&gt;"",L68&gt;0,P68&lt;&gt;""),P68/L68,"")</f>
        <v/>
      </c>
      <c r="R68" s="16">
        <f>IF(AND(P68&lt;&gt;"",P68&gt;0),(I68+J68+K68)/P68,"")</f>
        <v/>
      </c>
    </row>
    <row r="69" ht="27" customHeight="1">
      <c r="A69" s="5" t="inlineStr">
        <is>
          <t>2026-01-07</t>
        </is>
      </c>
      <c r="B69" s="5" t="inlineStr">
        <is>
          <t>2周</t>
        </is>
      </c>
      <c r="C69" s="5" t="inlineStr">
        <is>
          <t>抖音</t>
        </is>
      </c>
      <c r="D69" s="5" t="n"/>
      <c r="E69" s="5" t="n"/>
      <c r="F69" s="5" t="inlineStr">
        <is>
          <t>https://v.douyin.com/mzyL2vEwNok/</t>
        </is>
      </c>
      <c r="G69" s="5" t="inlineStr">
        <is>
          <t>495</t>
        </is>
      </c>
      <c r="H69" s="5" t="inlineStr">
        <is>
          <t>口播</t>
        </is>
      </c>
      <c r="I69" s="5" t="n">
        <v>400</v>
      </c>
      <c r="J69" s="5" t="n"/>
      <c r="K69" s="5" t="n">
        <v>93</v>
      </c>
      <c r="L69" s="5" t="n">
        <v>11000</v>
      </c>
      <c r="M69" s="5" t="n">
        <v>448</v>
      </c>
      <c r="N69" s="5" t="n">
        <v>8</v>
      </c>
      <c r="O69" s="5" t="n">
        <v>28</v>
      </c>
      <c r="P69" s="8">
        <f>IF(AND(M69&lt;&gt;"",M69&gt;0),M69+N69+O69,"")</f>
        <v/>
      </c>
      <c r="Q69" s="11">
        <f>IF(AND(L69&lt;&gt;"",L69&gt;0,P69&lt;&gt;""),P69/L69,"")</f>
        <v/>
      </c>
      <c r="R69" s="16">
        <f>IF(AND(P69&lt;&gt;"",P69&gt;0),(I69+J69+K69)/P69,"")</f>
        <v/>
      </c>
    </row>
    <row r="70" ht="27" customHeight="1">
      <c r="A70" s="5" t="inlineStr">
        <is>
          <t>2026-01-07</t>
        </is>
      </c>
      <c r="B70" s="5" t="inlineStr">
        <is>
          <t>2周</t>
        </is>
      </c>
      <c r="C70" s="5" t="inlineStr">
        <is>
          <t>抖音</t>
        </is>
      </c>
      <c r="D70" s="5" t="n"/>
      <c r="E70" s="5" t="n"/>
      <c r="F70" s="5" t="inlineStr">
        <is>
          <t>https://v.douyin.com/bRA1WBdPjo4/</t>
        </is>
      </c>
      <c r="G70" s="5" t="inlineStr">
        <is>
          <t>495</t>
        </is>
      </c>
      <c r="H70" s="5" t="inlineStr">
        <is>
          <t>穿搭</t>
        </is>
      </c>
      <c r="I70" s="5" t="n"/>
      <c r="J70" s="5" t="n"/>
      <c r="K70" s="5" t="n">
        <v>93</v>
      </c>
      <c r="L70" s="5" t="n">
        <v>8000</v>
      </c>
      <c r="M70" s="5" t="n">
        <v>722</v>
      </c>
      <c r="N70" s="5" t="n">
        <v>4</v>
      </c>
      <c r="O70" s="5" t="n">
        <v>1</v>
      </c>
      <c r="P70" s="8">
        <f>IF(AND(M70&lt;&gt;"",M70&gt;0),M70+N70+O70,"")</f>
        <v/>
      </c>
      <c r="Q70" s="11">
        <f>IF(AND(L70&lt;&gt;"",L70&gt;0,P70&lt;&gt;""),P70/L70,"")</f>
        <v/>
      </c>
      <c r="R70" s="16">
        <f>IF(AND(P70&lt;&gt;"",P70&gt;0),(I70+J70+K70)/P70,"")</f>
        <v/>
      </c>
    </row>
    <row r="71" ht="81" customHeight="1">
      <c r="A71" s="5" t="inlineStr">
        <is>
          <t>2026-01-07</t>
        </is>
      </c>
      <c r="B71" s="5" t="inlineStr">
        <is>
          <t>2周</t>
        </is>
      </c>
      <c r="C71" s="5" t="inlineStr">
        <is>
          <t>小红书</t>
        </is>
      </c>
      <c r="D71" s="5" t="n"/>
      <c r="E71" s="5" t="n"/>
      <c r="F71" s="5" t="inlineStr">
        <is>
          <t>https://www.xiaohongshu.com/discovery/item/695dcfc8000000001a02c615?xsec_token=CB5Z-wvgIDzNTULzsZu4iWQkm37ED-CYtMNl74rXzZEno=&amp;xsec_source=app_share</t>
        </is>
      </c>
      <c r="G71" s="5" t="inlineStr">
        <is>
          <t>495</t>
        </is>
      </c>
      <c r="H71" s="5" t="inlineStr">
        <is>
          <t>穿搭</t>
        </is>
      </c>
      <c r="I71" s="5" t="n"/>
      <c r="J71" s="5" t="n"/>
      <c r="K71" s="5" t="n">
        <v>93</v>
      </c>
      <c r="L71" s="5" t="n">
        <v>9779</v>
      </c>
      <c r="M71" s="5" t="n">
        <v>1482</v>
      </c>
      <c r="N71" s="5" t="n">
        <v>107</v>
      </c>
      <c r="O71" s="5" t="n">
        <v>27</v>
      </c>
      <c r="P71" s="8">
        <f>IF(AND(M71&lt;&gt;"",M71&gt;0),M71+N71+O71,"")</f>
        <v/>
      </c>
      <c r="Q71" s="11">
        <f>IF(AND(L71&lt;&gt;"",L71&gt;0,P71&lt;&gt;""),P71/L71,"")</f>
        <v/>
      </c>
      <c r="R71" s="16">
        <f>IF(AND(P71&lt;&gt;"",P71&gt;0),(I71+J71+K71)/P71,"")</f>
        <v/>
      </c>
    </row>
    <row r="72" ht="81" customHeight="1">
      <c r="A72" s="5" t="inlineStr">
        <is>
          <t>2026-01-07</t>
        </is>
      </c>
      <c r="B72" s="5" t="inlineStr">
        <is>
          <t>2周</t>
        </is>
      </c>
      <c r="C72" s="5" t="inlineStr">
        <is>
          <t>小红书</t>
        </is>
      </c>
      <c r="D72" s="5" t="n"/>
      <c r="E72" s="5" t="n"/>
      <c r="F72" s="5" t="inlineStr">
        <is>
          <t>https://www.xiaohongshu.com/discovery/item/695e05d5000000002103292e?xsec_token=CBl3p62QBA5Vuh3ZUwNSoeqQbjXpAK1fKG7rJSRi3Kass=&amp;xsec_source=app_share&amp;type=video</t>
        </is>
      </c>
      <c r="G72" s="5" t="inlineStr">
        <is>
          <t>495</t>
        </is>
      </c>
      <c r="H72" s="5" t="inlineStr">
        <is>
          <t>穿搭</t>
        </is>
      </c>
      <c r="I72" s="5" t="n">
        <v>100</v>
      </c>
      <c r="J72" s="5" t="n"/>
      <c r="K72" s="5" t="n">
        <v>93</v>
      </c>
      <c r="L72" s="5" t="n">
        <v>15008</v>
      </c>
      <c r="M72" s="5" t="n">
        <v>1014</v>
      </c>
      <c r="N72" s="5" t="n">
        <v>248</v>
      </c>
      <c r="O72" s="5" t="n">
        <v>34</v>
      </c>
      <c r="P72" s="8">
        <f>IF(AND(M72&lt;&gt;"",M72&gt;0),M72+N72+O72,"")</f>
        <v/>
      </c>
      <c r="Q72" s="11">
        <f>IF(AND(L72&lt;&gt;"",L72&gt;0,P72&lt;&gt;""),P72/L72,"")</f>
        <v/>
      </c>
      <c r="R72" s="16">
        <f>IF(AND(P72&lt;&gt;"",P72&gt;0),(I72+J72+K72)/P72,"")</f>
        <v/>
      </c>
    </row>
    <row r="73" ht="27" customHeight="1">
      <c r="A73" s="5" t="inlineStr">
        <is>
          <t>2026-01-08</t>
        </is>
      </c>
      <c r="B73" s="5" t="inlineStr">
        <is>
          <t>2周</t>
        </is>
      </c>
      <c r="C73" s="5" t="inlineStr">
        <is>
          <t>抖音</t>
        </is>
      </c>
      <c r="D73" s="5" t="n"/>
      <c r="E73" s="5" t="n"/>
      <c r="F73" s="5" t="inlineStr">
        <is>
          <t>https://v.douyin.com/Gkl3t0HX1tQ/</t>
        </is>
      </c>
      <c r="G73" s="5" t="inlineStr">
        <is>
          <t>495</t>
        </is>
      </c>
      <c r="H73" s="5" t="inlineStr">
        <is>
          <t>穿搭</t>
        </is>
      </c>
      <c r="I73" s="5" t="n"/>
      <c r="J73" s="5" t="n"/>
      <c r="K73" s="5" t="n">
        <v>93</v>
      </c>
      <c r="L73" s="5" t="n">
        <v>1268</v>
      </c>
      <c r="M73" s="5" t="n">
        <v>111</v>
      </c>
      <c r="N73" s="5" t="n">
        <v>9</v>
      </c>
      <c r="O73" s="5" t="n">
        <v>8</v>
      </c>
      <c r="P73" s="8">
        <f>IF(AND(M73&lt;&gt;"",M73&gt;0),M73+N73+O73,"")</f>
        <v/>
      </c>
      <c r="Q73" s="11">
        <f>IF(AND(L73&lt;&gt;"",L73&gt;0,P73&lt;&gt;""),P73/L73,"")</f>
        <v/>
      </c>
      <c r="R73" s="16">
        <f>IF(AND(P73&lt;&gt;"",P73&gt;0),(I73+J73+K73)/P73,"")</f>
        <v/>
      </c>
    </row>
    <row r="74" ht="27" customHeight="1">
      <c r="A74" s="5" t="inlineStr">
        <is>
          <t>2026-01-08</t>
        </is>
      </c>
      <c r="B74" s="5" t="inlineStr">
        <is>
          <t>2周</t>
        </is>
      </c>
      <c r="C74" s="5" t="inlineStr">
        <is>
          <t>抖音</t>
        </is>
      </c>
      <c r="D74" s="5" t="n"/>
      <c r="E74" s="5" t="n"/>
      <c r="F74" s="5" t="inlineStr">
        <is>
          <t>https://v.douyin.com/MEHAtB3w8so/</t>
        </is>
      </c>
      <c r="G74" s="5" t="inlineStr">
        <is>
          <t>495</t>
        </is>
      </c>
      <c r="H74" s="5" t="inlineStr">
        <is>
          <t>好物分享</t>
        </is>
      </c>
      <c r="I74" s="5" t="n"/>
      <c r="J74" s="5" t="n"/>
      <c r="K74" s="5" t="n">
        <v>93</v>
      </c>
      <c r="L74" s="5" t="n">
        <v>900</v>
      </c>
      <c r="M74" s="5" t="n">
        <v>15</v>
      </c>
      <c r="N74" s="5" t="n">
        <v>1</v>
      </c>
      <c r="O74" s="5" t="n">
        <v>0</v>
      </c>
      <c r="P74" s="8">
        <f>IF(AND(M74&lt;&gt;"",M74&gt;0),M74+N74+O74,"")</f>
        <v/>
      </c>
      <c r="Q74" s="11">
        <f>IF(AND(L74&lt;&gt;"",L74&gt;0,P74&lt;&gt;""),P74/L74,"")</f>
        <v/>
      </c>
      <c r="R74" s="16">
        <f>IF(AND(P74&lt;&gt;"",P74&gt;0),(I74+J74+K74)/P74,"")</f>
        <v/>
      </c>
    </row>
    <row r="75" ht="67.5" customHeight="1">
      <c r="A75" s="5" t="inlineStr">
        <is>
          <t>2026-01-08</t>
        </is>
      </c>
      <c r="B75" s="5" t="inlineStr">
        <is>
          <t>2周</t>
        </is>
      </c>
      <c r="C75" s="5" t="inlineStr">
        <is>
          <t>小红书</t>
        </is>
      </c>
      <c r="D75" s="5" t="n"/>
      <c r="E75" s="5" t="n"/>
      <c r="F75" s="5" t="inlineStr">
        <is>
          <t>https://www.xiaohongshu.com/discovery/item/695f821b000000001a02027c?xsec_token=CBnjzSCtjZUxaNiDfBPVBC7VBeXCfb3lADEWOVsLG87Bg=&amp;xsec_source=app_share</t>
        </is>
      </c>
      <c r="G75" s="5" t="inlineStr">
        <is>
          <t>1225</t>
        </is>
      </c>
      <c r="H75" s="5" t="inlineStr">
        <is>
          <t>新年好物</t>
        </is>
      </c>
      <c r="I75" s="5" t="n"/>
      <c r="J75" s="5" t="n"/>
      <c r="K75" s="5" t="n">
        <v>55.5</v>
      </c>
      <c r="L75" s="5" t="n">
        <v>1041</v>
      </c>
      <c r="M75" s="5" t="n">
        <v>25</v>
      </c>
      <c r="N75" s="5" t="n">
        <v>7</v>
      </c>
      <c r="O75" s="5" t="n">
        <v>5</v>
      </c>
      <c r="P75" s="8">
        <f>IF(AND(M75&lt;&gt;"",M75&gt;0),M75+N75+O75,"")</f>
        <v/>
      </c>
      <c r="Q75" s="11">
        <f>IF(AND(L75&lt;&gt;"",L75&gt;0,P75&lt;&gt;""),P75/L75,"")</f>
        <v/>
      </c>
      <c r="R75" s="16">
        <f>IF(AND(P75&lt;&gt;"",P75&gt;0),(I75+J75+K75)/P75,"")</f>
        <v/>
      </c>
    </row>
    <row r="76" ht="81" customHeight="1">
      <c r="A76" s="5" t="inlineStr">
        <is>
          <t>2026-01-08</t>
        </is>
      </c>
      <c r="B76" s="5" t="inlineStr">
        <is>
          <t>2周</t>
        </is>
      </c>
      <c r="C76" s="5" t="inlineStr">
        <is>
          <t>小红书</t>
        </is>
      </c>
      <c r="D76" s="5" t="n"/>
      <c r="E76" s="5" t="n"/>
      <c r="F76" s="5" t="inlineStr">
        <is>
          <t>https://www.xiaohongshu.com/discovery/item/695f9cbe000000000a029a22?xsec_token=CBDCAtsIsVEM00efUdA6toSYRTlmH1H_FRPZw6E4Vz7Sg=&amp;xsec_source=app_share&amp;type=video</t>
        </is>
      </c>
      <c r="G76" s="5" t="inlineStr">
        <is>
          <t>495</t>
        </is>
      </c>
      <c r="H76" s="5" t="inlineStr">
        <is>
          <t>好物分享</t>
        </is>
      </c>
      <c r="I76" s="5" t="n"/>
      <c r="J76" s="5" t="n"/>
      <c r="K76" s="5" t="n">
        <v>93</v>
      </c>
      <c r="L76" s="5" t="n">
        <v>766</v>
      </c>
      <c r="M76" s="5" t="n">
        <v>98</v>
      </c>
      <c r="N76" s="5" t="n">
        <v>19</v>
      </c>
      <c r="O76" s="5" t="n">
        <v>7</v>
      </c>
      <c r="P76" s="8">
        <f>IF(AND(M76&lt;&gt;"",M76&gt;0),M76+N76+O76,"")</f>
        <v/>
      </c>
      <c r="Q76" s="11">
        <f>IF(AND(L76&lt;&gt;"",L76&gt;0,P76&lt;&gt;""),P76/L76,"")</f>
        <v/>
      </c>
      <c r="R76" s="16">
        <f>IF(AND(P76&lt;&gt;"",P76&gt;0),(I76+J76+K76)/P76,"")</f>
        <v/>
      </c>
    </row>
    <row r="77" ht="81" customHeight="1">
      <c r="A77" s="5" t="inlineStr">
        <is>
          <t>2026-01-08</t>
        </is>
      </c>
      <c r="B77" s="5" t="inlineStr">
        <is>
          <t>2周</t>
        </is>
      </c>
      <c r="C77" s="5" t="inlineStr">
        <is>
          <t>小红书</t>
        </is>
      </c>
      <c r="D77" s="5" t="n"/>
      <c r="E77" s="5" t="n"/>
      <c r="F77" s="5" t="inlineStr">
        <is>
          <t>https://www.xiaohongshu.com/discovery/item/695ddf2d000000000a0309e7?xsec_token=CBrJlAX0zfRCX1k9A9LE78DHyXZiBToyCapkEkdoqK8-I=&amp;xsec_source=app_share&amp;type=video</t>
        </is>
      </c>
      <c r="G77" s="5" t="inlineStr">
        <is>
          <t>0001A1</t>
        </is>
      </c>
      <c r="H77" s="5" t="inlineStr">
        <is>
          <t>口播</t>
        </is>
      </c>
      <c r="I77" s="5" t="n"/>
      <c r="J77" s="5" t="n"/>
      <c r="K77" s="5" t="n">
        <v>107.5</v>
      </c>
      <c r="L77" s="5" t="n">
        <v>9177</v>
      </c>
      <c r="M77" s="5" t="n">
        <v>374</v>
      </c>
      <c r="N77" s="5" t="n">
        <v>79</v>
      </c>
      <c r="O77" s="5" t="n">
        <v>25</v>
      </c>
      <c r="P77" s="8">
        <f>IF(AND(M77&lt;&gt;"",M77&gt;0),M77+N77+O77,"")</f>
        <v/>
      </c>
      <c r="Q77" s="11">
        <f>IF(AND(L77&lt;&gt;"",L77&gt;0,P77&lt;&gt;""),P77/L77,"")</f>
        <v/>
      </c>
      <c r="R77" s="16">
        <f>IF(AND(P77&lt;&gt;"",P77&gt;0),(I77+J77+K77)/P77,"")</f>
        <v/>
      </c>
    </row>
    <row r="78" ht="81" customHeight="1">
      <c r="A78" s="5" t="inlineStr">
        <is>
          <t>2026-01-08</t>
        </is>
      </c>
      <c r="B78" s="5" t="inlineStr">
        <is>
          <t>2周</t>
        </is>
      </c>
      <c r="C78" s="5" t="inlineStr">
        <is>
          <t>小红书</t>
        </is>
      </c>
      <c r="D78" s="5" t="n"/>
      <c r="E78" s="5" t="n"/>
      <c r="F78" s="5" t="inlineStr">
        <is>
          <t>https://www.xiaohongshu.com/discovery/item/695fb3cc00000000220094d6?xsec_token=CBfuf0GwJ8D1wwfzsfS29jw09Fa-_wa5ZbsoseTPBya4s=&amp;xsec_source=app_share&amp;type=video</t>
        </is>
      </c>
      <c r="G78" s="5" t="inlineStr">
        <is>
          <t>0001A1</t>
        </is>
      </c>
      <c r="H78" s="5" t="inlineStr">
        <is>
          <t>新年好物</t>
        </is>
      </c>
      <c r="I78" s="5" t="n">
        <v>200</v>
      </c>
      <c r="J78" s="5" t="n"/>
      <c r="K78" s="5" t="n">
        <v>107.5</v>
      </c>
      <c r="L78" s="5" t="n">
        <v>101077</v>
      </c>
      <c r="M78" s="5" t="n">
        <v>5452</v>
      </c>
      <c r="N78" s="5" t="n">
        <v>1741</v>
      </c>
      <c r="O78" s="5" t="n">
        <v>36</v>
      </c>
      <c r="P78" s="8">
        <f>IF(AND(M78&lt;&gt;"",M78&gt;0),M78+N78+O78,"")</f>
        <v/>
      </c>
      <c r="Q78" s="11">
        <f>IF(AND(L78&lt;&gt;"",L78&gt;0,P78&lt;&gt;""),P78/L78,"")</f>
        <v/>
      </c>
      <c r="R78" s="16">
        <f>IF(AND(P78&lt;&gt;"",P78&gt;0),(I78+J78+K78)/P78,"")</f>
        <v/>
      </c>
    </row>
    <row r="79">
      <c r="A79" s="5" t="inlineStr">
        <is>
          <t>2026-01-09</t>
        </is>
      </c>
      <c r="B79" s="5" t="inlineStr">
        <is>
          <t>2周</t>
        </is>
      </c>
      <c r="C79" s="5" t="inlineStr">
        <is>
          <t>bilibili</t>
        </is>
      </c>
      <c r="D79" s="5" t="n"/>
      <c r="E79" s="5" t="n"/>
      <c r="F79" s="5" t="inlineStr">
        <is>
          <t>https://b23.tv/opPYYZr</t>
        </is>
      </c>
      <c r="G79" s="5" t="inlineStr">
        <is>
          <t>495</t>
        </is>
      </c>
      <c r="H79" s="5" t="inlineStr">
        <is>
          <t>好物分享</t>
        </is>
      </c>
      <c r="I79" s="5" t="n"/>
      <c r="J79" s="5" t="n"/>
      <c r="K79" s="5" t="n">
        <v>93</v>
      </c>
      <c r="L79" s="5" t="n">
        <v>9242</v>
      </c>
      <c r="M79" s="5" t="n">
        <v>713</v>
      </c>
      <c r="N79" s="5" t="n">
        <v>835</v>
      </c>
      <c r="O79" s="5" t="n">
        <v>6</v>
      </c>
      <c r="P79" s="8">
        <f>IF(AND(M79&lt;&gt;"",M79&gt;0),M79+N79+O79,"")</f>
        <v/>
      </c>
      <c r="Q79" s="11">
        <f>IF(AND(L79&lt;&gt;"",L79&gt;0,P79&lt;&gt;""),P79/L79,"")</f>
        <v/>
      </c>
      <c r="R79" s="16">
        <f>IF(AND(P79&lt;&gt;"",P79&gt;0),(I79+J79+K79)/P79,"")</f>
        <v/>
      </c>
    </row>
    <row r="80" ht="27" customHeight="1">
      <c r="A80" s="5" t="inlineStr">
        <is>
          <t>2026-01-09</t>
        </is>
      </c>
      <c r="B80" s="5" t="inlineStr">
        <is>
          <t>2周</t>
        </is>
      </c>
      <c r="C80" s="5" t="inlineStr">
        <is>
          <t>抖音</t>
        </is>
      </c>
      <c r="D80" s="5" t="n"/>
      <c r="E80" s="5" t="n"/>
      <c r="F80" s="5" t="inlineStr">
        <is>
          <t>https://v.douyin.com/Isix0CnHE14/</t>
        </is>
      </c>
      <c r="G80" s="5" t="inlineStr">
        <is>
          <t>0001A1</t>
        </is>
      </c>
      <c r="H80" s="5" t="inlineStr">
        <is>
          <t>文严文</t>
        </is>
      </c>
      <c r="I80" s="5" t="n"/>
      <c r="J80" s="5" t="n"/>
      <c r="K80" s="5" t="n">
        <v>107.5</v>
      </c>
      <c r="L80" s="5" t="n">
        <v>9185</v>
      </c>
      <c r="M80" s="5" t="n">
        <v>1205</v>
      </c>
      <c r="N80" s="5" t="n">
        <v>44</v>
      </c>
      <c r="O80" s="5" t="n">
        <v>25</v>
      </c>
      <c r="P80" s="8">
        <f>IF(AND(M80&lt;&gt;"",M80&gt;0),M80+N80+O80,"")</f>
        <v/>
      </c>
      <c r="Q80" s="11">
        <f>IF(AND(L80&lt;&gt;"",L80&gt;0,P80&lt;&gt;""),P80/L80,"")</f>
        <v/>
      </c>
      <c r="R80" s="16">
        <f>IF(AND(P80&lt;&gt;"",P80&gt;0),(I80+J80+K80)/P80,"")</f>
        <v/>
      </c>
    </row>
    <row r="81" ht="27" customHeight="1">
      <c r="A81" s="5" t="inlineStr">
        <is>
          <t>2026-01-09</t>
        </is>
      </c>
      <c r="B81" s="5" t="inlineStr">
        <is>
          <t>2周</t>
        </is>
      </c>
      <c r="C81" s="5" t="inlineStr">
        <is>
          <t>抖音</t>
        </is>
      </c>
      <c r="D81" s="5" t="n"/>
      <c r="E81" s="5" t="n"/>
      <c r="F81" s="5" t="inlineStr">
        <is>
          <t>https://v.douyin.com/3anBUVPLECw/</t>
        </is>
      </c>
      <c r="G81" s="5" t="inlineStr">
        <is>
          <t>489Y</t>
        </is>
      </c>
      <c r="H81" s="5" t="inlineStr">
        <is>
          <t>赵露思</t>
        </is>
      </c>
      <c r="I81" s="5" t="n"/>
      <c r="J81" s="5" t="n"/>
      <c r="K81" s="5" t="n">
        <v>53.5</v>
      </c>
      <c r="L81" s="5" t="n">
        <v>2625</v>
      </c>
      <c r="M81" s="5" t="n">
        <v>182</v>
      </c>
      <c r="N81" s="5" t="n">
        <v>5</v>
      </c>
      <c r="O81" s="5" t="n">
        <v>8</v>
      </c>
      <c r="P81" s="8">
        <f>IF(AND(M81&lt;&gt;"",M81&gt;0),M81+N81+O81,"")</f>
        <v/>
      </c>
      <c r="Q81" s="11">
        <f>IF(AND(L81&lt;&gt;"",L81&gt;0,P81&lt;&gt;""),P81/L81,"")</f>
        <v/>
      </c>
      <c r="R81" s="16">
        <f>IF(AND(P81&lt;&gt;"",P81&gt;0),(I81+J81+K81)/P81,"")</f>
        <v/>
      </c>
    </row>
    <row r="82" ht="27" customHeight="1">
      <c r="A82" s="5" t="inlineStr">
        <is>
          <t>2026-01-09</t>
        </is>
      </c>
      <c r="B82" s="5" t="inlineStr">
        <is>
          <t>2周</t>
        </is>
      </c>
      <c r="C82" s="5" t="inlineStr">
        <is>
          <t>抖音</t>
        </is>
      </c>
      <c r="D82" s="5" t="n"/>
      <c r="E82" s="5" t="n"/>
      <c r="F82" s="5" t="inlineStr">
        <is>
          <t>https://v.douyin.com/5er2OlcWLmU/</t>
        </is>
      </c>
      <c r="G82" s="5" t="inlineStr">
        <is>
          <t>0001A1</t>
        </is>
      </c>
      <c r="H82" s="5" t="inlineStr">
        <is>
          <t>新年好物</t>
        </is>
      </c>
      <c r="I82" s="5" t="n"/>
      <c r="J82" s="5" t="n"/>
      <c r="K82" s="5" t="n">
        <v>107.5</v>
      </c>
      <c r="L82" s="5" t="n">
        <v>11000</v>
      </c>
      <c r="M82" s="5" t="n">
        <v>1104</v>
      </c>
      <c r="N82" s="5" t="n">
        <v>32</v>
      </c>
      <c r="O82" s="5" t="n">
        <v>13</v>
      </c>
      <c r="P82" s="8">
        <f>IF(AND(M82&lt;&gt;"",M82&gt;0),M82+N82+O82,"")</f>
        <v/>
      </c>
      <c r="Q82" s="11">
        <f>IF(AND(L82&lt;&gt;"",L82&gt;0,P82&lt;&gt;""),P82/L82,"")</f>
        <v/>
      </c>
      <c r="R82" s="16">
        <f>IF(AND(P82&lt;&gt;"",P82&gt;0),(I82+J82+K82)/P82,"")</f>
        <v/>
      </c>
    </row>
    <row r="83" ht="81" customHeight="1">
      <c r="A83" s="5" t="inlineStr">
        <is>
          <t>2026-01-09</t>
        </is>
      </c>
      <c r="B83" s="5" t="inlineStr">
        <is>
          <t>2周</t>
        </is>
      </c>
      <c r="C83" s="5" t="inlineStr">
        <is>
          <t>小红书</t>
        </is>
      </c>
      <c r="D83" s="5" t="n"/>
      <c r="E83" s="5" t="n"/>
      <c r="F83" s="5" t="inlineStr">
        <is>
          <t>https://www.xiaohongshu.com/discovery/item/695ff9f8000000000a02c709?xsec_token=CBMQp-_bPQygpnLYIkeMtSwqD_nrkO3Ofm7EiVwoizPaA=&amp;xsec_source=app_share&amp;type=video</t>
        </is>
      </c>
      <c r="G83" s="5" t="inlineStr">
        <is>
          <t>0001A1</t>
        </is>
      </c>
      <c r="H83" s="5" t="inlineStr">
        <is>
          <t>口播</t>
        </is>
      </c>
      <c r="I83" s="5" t="n">
        <v>200</v>
      </c>
      <c r="J83" s="5" t="n"/>
      <c r="K83" s="5" t="n">
        <v>107.5</v>
      </c>
      <c r="L83" s="5" t="n">
        <v>6913</v>
      </c>
      <c r="M83" s="5" t="n">
        <v>197</v>
      </c>
      <c r="N83" s="5" t="n">
        <v>83</v>
      </c>
      <c r="O83" s="5" t="n">
        <v>33</v>
      </c>
      <c r="P83" s="8">
        <f>IF(AND(M83&lt;&gt;"",M83&gt;0),M83+N83+O83,"")</f>
        <v/>
      </c>
      <c r="Q83" s="11">
        <f>IF(AND(L83&lt;&gt;"",L83&gt;0,P83&lt;&gt;""),P83/L83,"")</f>
        <v/>
      </c>
      <c r="R83" s="16">
        <f>IF(AND(P83&lt;&gt;"",P83&gt;0),(I83+J83+K83)/P83,"")</f>
        <v/>
      </c>
    </row>
    <row r="84" ht="81" customHeight="1">
      <c r="A84" s="5" t="inlineStr">
        <is>
          <t>2026-01-09</t>
        </is>
      </c>
      <c r="B84" s="5" t="inlineStr">
        <is>
          <t>2周</t>
        </is>
      </c>
      <c r="C84" s="5" t="inlineStr">
        <is>
          <t>小红书</t>
        </is>
      </c>
      <c r="D84" s="5" t="n"/>
      <c r="E84" s="5" t="n"/>
      <c r="F84" s="5" t="inlineStr">
        <is>
          <t>https://www.xiaohongshu.com/discovery/item/6960cd6a0000000021030426?xsec_token=CBrtjIooTdO1vzsK6B5pKdGpstnagF80JmldLt4g3pZF8=&amp;xsec_source=app_share&amp;type=video</t>
        </is>
      </c>
      <c r="G84" s="5" t="inlineStr">
        <is>
          <t>0001A1</t>
        </is>
      </c>
      <c r="H84" s="5" t="inlineStr">
        <is>
          <t>新年好物</t>
        </is>
      </c>
      <c r="I84" s="5" t="n">
        <v>160</v>
      </c>
      <c r="J84" s="5" t="n"/>
      <c r="K84" s="5" t="n">
        <v>107.5</v>
      </c>
      <c r="L84" s="5" t="n">
        <v>930</v>
      </c>
      <c r="M84" s="5" t="n">
        <v>185</v>
      </c>
      <c r="N84" s="5" t="n">
        <v>42</v>
      </c>
      <c r="O84" s="5" t="n">
        <v>15</v>
      </c>
      <c r="P84" s="8">
        <f>IF(AND(M84&lt;&gt;"",M84&gt;0),M84+N84+O84,"")</f>
        <v/>
      </c>
      <c r="Q84" s="11">
        <f>IF(AND(L84&lt;&gt;"",L84&gt;0,P84&lt;&gt;""),P84/L84,"")</f>
        <v/>
      </c>
      <c r="R84" s="16">
        <f>IF(AND(P84&lt;&gt;"",P84&gt;0),(I84+J84+K84)/P84,"")</f>
        <v/>
      </c>
    </row>
    <row r="85" ht="81" customHeight="1">
      <c r="A85" s="5" t="inlineStr">
        <is>
          <t>2026-01-09</t>
        </is>
      </c>
      <c r="B85" s="5" t="inlineStr">
        <is>
          <t>2周</t>
        </is>
      </c>
      <c r="C85" s="5" t="inlineStr">
        <is>
          <t>小红书</t>
        </is>
      </c>
      <c r="D85" s="5" t="n"/>
      <c r="E85" s="5" t="n"/>
      <c r="F85" s="5" t="inlineStr">
        <is>
          <t>https://www.xiaohongshu.com/discovery/item/6960db01000000001a01ebac?xsec_token=CB0SFGO9pis6r9ufRVkv9ZJiKUM0n-cjZwGrHtXZnjSfc=&amp;xsec_source=app_share&amp;type=video</t>
        </is>
      </c>
      <c r="G85" s="5" t="inlineStr">
        <is>
          <t>495</t>
        </is>
      </c>
      <c r="H85" s="5" t="inlineStr">
        <is>
          <t>穿搭</t>
        </is>
      </c>
      <c r="I85" s="5" t="n">
        <v>200</v>
      </c>
      <c r="J85" s="5" t="n"/>
      <c r="K85" s="5" t="n">
        <v>93</v>
      </c>
      <c r="L85" s="5" t="n">
        <v>30147</v>
      </c>
      <c r="M85" s="5" t="n">
        <v>2557</v>
      </c>
      <c r="N85" s="5" t="n">
        <v>961</v>
      </c>
      <c r="O85" s="5" t="n">
        <v>55</v>
      </c>
      <c r="P85" s="8">
        <f>IF(AND(M85&lt;&gt;"",M85&gt;0),M85+N85+O85,"")</f>
        <v/>
      </c>
      <c r="Q85" s="11">
        <f>IF(AND(L85&lt;&gt;"",L85&gt;0,P85&lt;&gt;""),P85/L85,"")</f>
        <v/>
      </c>
      <c r="R85" s="16">
        <f>IF(AND(P85&lt;&gt;"",P85&gt;0),(I85+J85+K85)/P85,"")</f>
        <v/>
      </c>
    </row>
    <row r="86" ht="81" customHeight="1">
      <c r="A86" s="5" t="inlineStr">
        <is>
          <t>2026-01-09</t>
        </is>
      </c>
      <c r="B86" s="5" t="inlineStr">
        <is>
          <t>2周</t>
        </is>
      </c>
      <c r="C86" s="5" t="inlineStr">
        <is>
          <t>小红书</t>
        </is>
      </c>
      <c r="D86" s="5" t="n"/>
      <c r="E86" s="5" t="n"/>
      <c r="F86" s="5" t="inlineStr">
        <is>
          <t>https://www.xiaohongshu.com/discovery/item/6960ed220000000021030b02?xsec_token=CB7uHKffN68ZBi_gl8oTgYS3I57A_dgyjzL1cESW85XRc=&amp;xsec_source=app_share&amp;type=video</t>
        </is>
      </c>
      <c r="G86" s="5" t="inlineStr">
        <is>
          <t>495</t>
        </is>
      </c>
      <c r="H86" s="5" t="inlineStr">
        <is>
          <t>口播</t>
        </is>
      </c>
      <c r="I86" s="5" t="n">
        <v>400</v>
      </c>
      <c r="J86" s="5" t="n"/>
      <c r="K86" s="5" t="n">
        <v>93</v>
      </c>
      <c r="L86" s="5" t="n">
        <v>271</v>
      </c>
      <c r="M86" s="5" t="n">
        <v>141</v>
      </c>
      <c r="N86" s="5" t="n">
        <v>79</v>
      </c>
      <c r="O86" s="5" t="n">
        <v>25</v>
      </c>
      <c r="P86" s="8">
        <f>IF(AND(M86&lt;&gt;"",M86&gt;0),M86+N86+O86,"")</f>
        <v/>
      </c>
      <c r="Q86" s="11">
        <f>IF(AND(L86&lt;&gt;"",L86&gt;0,P86&lt;&gt;""),P86/L86,"")</f>
        <v/>
      </c>
      <c r="R86" s="16">
        <f>IF(AND(P86&lt;&gt;"",P86&gt;0),(I86+J86+K86)/P86,"")</f>
        <v/>
      </c>
    </row>
    <row r="87" ht="27" customHeight="1">
      <c r="A87" s="5" t="inlineStr">
        <is>
          <t>2026-01-10</t>
        </is>
      </c>
      <c r="B87" s="5" t="inlineStr">
        <is>
          <t>2周</t>
        </is>
      </c>
      <c r="C87" s="5" t="inlineStr">
        <is>
          <t>抖音</t>
        </is>
      </c>
      <c r="D87" s="5" t="n"/>
      <c r="E87" s="5" t="n"/>
      <c r="F87" s="5" t="inlineStr">
        <is>
          <t>https://v.douyin.com/hw2oNvQTrHc/</t>
        </is>
      </c>
      <c r="G87" s="5" t="inlineStr">
        <is>
          <t>495</t>
        </is>
      </c>
      <c r="H87" s="5" t="inlineStr">
        <is>
          <t>高桥大翔</t>
        </is>
      </c>
      <c r="I87" s="5" t="n"/>
      <c r="J87" s="5" t="n"/>
      <c r="K87" s="5" t="n">
        <v>93</v>
      </c>
      <c r="L87" s="5" t="n">
        <v>3666</v>
      </c>
      <c r="M87" s="5" t="n">
        <v>185</v>
      </c>
      <c r="N87" s="5" t="n">
        <v>8</v>
      </c>
      <c r="O87" s="5" t="n">
        <v>23</v>
      </c>
      <c r="P87" s="8">
        <f>IF(AND(M87&lt;&gt;"",M87&gt;0),M87+N87+O87,"")</f>
        <v/>
      </c>
      <c r="Q87" s="11">
        <f>IF(AND(L87&lt;&gt;"",L87&gt;0,P87&lt;&gt;""),P87/L87,"")</f>
        <v/>
      </c>
      <c r="R87" s="16">
        <f>IF(AND(P87&lt;&gt;"",P87&gt;0),(I87+J87+K87)/P87,"")</f>
        <v/>
      </c>
    </row>
    <row r="88" ht="27" customHeight="1">
      <c r="A88" s="5" t="inlineStr">
        <is>
          <t>2026-01-10</t>
        </is>
      </c>
      <c r="B88" s="5" t="inlineStr">
        <is>
          <t>2周</t>
        </is>
      </c>
      <c r="C88" s="5" t="inlineStr">
        <is>
          <t>抖音</t>
        </is>
      </c>
      <c r="D88" s="5" t="n"/>
      <c r="E88" s="5" t="n"/>
      <c r="F88" s="5" t="inlineStr">
        <is>
          <t>https://v.douyin.com/BnSsK5FXsMg/</t>
        </is>
      </c>
      <c r="G88" s="5" t="inlineStr">
        <is>
          <t>1225</t>
        </is>
      </c>
      <c r="H88" s="5" t="inlineStr">
        <is>
          <t>新年好物</t>
        </is>
      </c>
      <c r="I88" s="5" t="n">
        <v>200</v>
      </c>
      <c r="J88" s="5" t="n"/>
      <c r="K88" s="5" t="n">
        <v>55.5</v>
      </c>
      <c r="L88" s="5" t="n">
        <v>368000</v>
      </c>
      <c r="M88" s="5" t="n">
        <v>13000</v>
      </c>
      <c r="N88" s="5" t="n">
        <v>555</v>
      </c>
      <c r="O88" s="5" t="n">
        <v>139</v>
      </c>
      <c r="P88" s="8">
        <f>IF(AND(M88&lt;&gt;"",M88&gt;0),M88+N88+O88,"")</f>
        <v/>
      </c>
      <c r="Q88" s="11">
        <f>IF(AND(L88&lt;&gt;"",L88&gt;0,P88&lt;&gt;""),P88/L88,"")</f>
        <v/>
      </c>
      <c r="R88" s="16">
        <f>IF(AND(P88&lt;&gt;"",P88&gt;0),(I88+J88+K88)/P88,"")</f>
        <v/>
      </c>
    </row>
    <row r="89" ht="27" customHeight="1">
      <c r="A89" s="5" t="inlineStr">
        <is>
          <t>2026-01-10</t>
        </is>
      </c>
      <c r="B89" s="5" t="inlineStr">
        <is>
          <t>2周</t>
        </is>
      </c>
      <c r="C89" s="5" t="inlineStr">
        <is>
          <t>抖音</t>
        </is>
      </c>
      <c r="D89" s="5" t="n"/>
      <c r="E89" s="5" t="n"/>
      <c r="F89" s="5" t="inlineStr">
        <is>
          <t>https://v.douyin.com/6PcuDigNKCQ/</t>
        </is>
      </c>
      <c r="G89" s="5" t="inlineStr">
        <is>
          <t>0001A1</t>
        </is>
      </c>
      <c r="H89" s="5" t="inlineStr">
        <is>
          <t>文严文</t>
        </is>
      </c>
      <c r="I89" s="5" t="n"/>
      <c r="J89" s="5" t="n"/>
      <c r="K89" s="5" t="n">
        <v>107.5</v>
      </c>
      <c r="L89" s="5" t="n">
        <v>1400</v>
      </c>
      <c r="M89" s="5" t="n">
        <v>122</v>
      </c>
      <c r="N89" s="5" t="n">
        <v>2</v>
      </c>
      <c r="O89" s="5" t="n">
        <v>4</v>
      </c>
      <c r="P89" s="8">
        <f>IF(AND(M89&lt;&gt;"",M89&gt;0),M89+N89+O89,"")</f>
        <v/>
      </c>
      <c r="Q89" s="11">
        <f>IF(AND(L89&lt;&gt;"",L89&gt;0,P89&lt;&gt;""),P89/L89,"")</f>
        <v/>
      </c>
      <c r="R89" s="16">
        <f>IF(AND(P89&lt;&gt;"",P89&gt;0),(I89+J89+K89)/P89,"")</f>
        <v/>
      </c>
    </row>
    <row r="90" ht="27" customHeight="1">
      <c r="A90" s="5" t="inlineStr">
        <is>
          <t>2026-01-10</t>
        </is>
      </c>
      <c r="B90" s="5" t="inlineStr">
        <is>
          <t>2周</t>
        </is>
      </c>
      <c r="C90" s="5" t="inlineStr">
        <is>
          <t>抖音</t>
        </is>
      </c>
      <c r="D90" s="5" t="n"/>
      <c r="E90" s="5" t="n"/>
      <c r="F90" s="5" t="inlineStr">
        <is>
          <t>https://v.douyin.com/M_OD5Un0s7g/</t>
        </is>
      </c>
      <c r="G90" s="5" t="inlineStr">
        <is>
          <t>0001A1</t>
        </is>
      </c>
      <c r="H90" s="5" t="inlineStr">
        <is>
          <t>文严文</t>
        </is>
      </c>
      <c r="I90" s="5" t="n"/>
      <c r="J90" s="5" t="n"/>
      <c r="K90" s="5" t="n">
        <v>107.5</v>
      </c>
      <c r="L90" s="5" t="n">
        <v>903</v>
      </c>
      <c r="M90" s="5" t="n">
        <v>124</v>
      </c>
      <c r="N90" s="5" t="n">
        <v>4</v>
      </c>
      <c r="O90" s="5" t="n">
        <v>5</v>
      </c>
      <c r="P90" s="8">
        <f>IF(AND(M90&lt;&gt;"",M90&gt;0),M90+N90+O90,"")</f>
        <v/>
      </c>
      <c r="Q90" s="11">
        <f>IF(AND(L90&lt;&gt;"",L90&gt;0,P90&lt;&gt;""),P90/L90,"")</f>
        <v/>
      </c>
      <c r="R90" s="16">
        <f>IF(AND(P90&lt;&gt;"",P90&gt;0),(I90+J90+K90)/P90,"")</f>
        <v/>
      </c>
    </row>
    <row r="91" ht="27" customHeight="1">
      <c r="A91" s="5" t="inlineStr">
        <is>
          <t>2026-01-10</t>
        </is>
      </c>
      <c r="B91" s="5" t="inlineStr">
        <is>
          <t>2周</t>
        </is>
      </c>
      <c r="C91" s="5" t="inlineStr">
        <is>
          <t>抖音</t>
        </is>
      </c>
      <c r="D91" s="5" t="n"/>
      <c r="E91" s="5" t="n"/>
      <c r="F91" s="5" t="inlineStr">
        <is>
          <t>https://v.douyin.com/RoY_ccBE9aE/</t>
        </is>
      </c>
      <c r="G91" s="5" t="inlineStr">
        <is>
          <t>0001A1</t>
        </is>
      </c>
      <c r="H91" s="5" t="inlineStr">
        <is>
          <t>文严文</t>
        </is>
      </c>
      <c r="I91" s="5" t="n"/>
      <c r="J91" s="5" t="n"/>
      <c r="K91" s="5" t="n">
        <v>107.5</v>
      </c>
      <c r="L91" s="5" t="n">
        <v>5864</v>
      </c>
      <c r="M91" s="5" t="n">
        <v>445</v>
      </c>
      <c r="N91" s="5" t="n">
        <v>20</v>
      </c>
      <c r="O91" s="5" t="n">
        <v>25</v>
      </c>
      <c r="P91" s="8">
        <f>IF(AND(M91&lt;&gt;"",M91&gt;0),M91+N91+O91,"")</f>
        <v/>
      </c>
      <c r="Q91" s="11">
        <f>IF(AND(L91&lt;&gt;"",L91&gt;0,P91&lt;&gt;""),P91/L91,"")</f>
        <v/>
      </c>
      <c r="R91" s="16">
        <f>IF(AND(P91&lt;&gt;"",P91&gt;0),(I91+J91+K91)/P91,"")</f>
        <v/>
      </c>
    </row>
    <row r="92" ht="27" customHeight="1">
      <c r="A92" s="5" t="inlineStr">
        <is>
          <t>2026-01-10</t>
        </is>
      </c>
      <c r="B92" s="5" t="inlineStr">
        <is>
          <t>2周</t>
        </is>
      </c>
      <c r="C92" s="5" t="inlineStr">
        <is>
          <t>抖音</t>
        </is>
      </c>
      <c r="D92" s="5" t="n"/>
      <c r="E92" s="5" t="n"/>
      <c r="F92" s="5" t="inlineStr">
        <is>
          <t>https://v.douyin.com/E43biAr3baM/</t>
        </is>
      </c>
      <c r="G92" s="5" t="inlineStr">
        <is>
          <t>1172W</t>
        </is>
      </c>
      <c r="H92" s="5" t="inlineStr">
        <is>
          <t>李煜东</t>
        </is>
      </c>
      <c r="I92" s="5" t="n"/>
      <c r="J92" s="5" t="n"/>
      <c r="K92" s="5" t="n">
        <v>57.5</v>
      </c>
      <c r="L92" s="5" t="n">
        <v>14000</v>
      </c>
      <c r="M92" s="5" t="n">
        <v>595</v>
      </c>
      <c r="N92" s="5" t="n">
        <v>36</v>
      </c>
      <c r="O92" s="5" t="n">
        <v>36</v>
      </c>
      <c r="P92" s="8">
        <f>IF(AND(M92&lt;&gt;"",M92&gt;0),M92+N92+O92,"")</f>
        <v/>
      </c>
      <c r="Q92" s="11">
        <f>IF(AND(L92&lt;&gt;"",L92&gt;0,P92&lt;&gt;""),P92/L92,"")</f>
        <v/>
      </c>
      <c r="R92" s="16">
        <f>IF(AND(P92&lt;&gt;"",P92&gt;0),(I92+J92+K92)/P92,"")</f>
        <v/>
      </c>
    </row>
    <row r="93" ht="27" customHeight="1">
      <c r="A93" s="5" t="inlineStr">
        <is>
          <t>2026-01-10</t>
        </is>
      </c>
      <c r="B93" s="5" t="inlineStr">
        <is>
          <t>2周</t>
        </is>
      </c>
      <c r="C93" s="5" t="inlineStr">
        <is>
          <t>抖音</t>
        </is>
      </c>
      <c r="D93" s="5" t="n"/>
      <c r="E93" s="5" t="n"/>
      <c r="F93" s="5" t="inlineStr">
        <is>
          <t>https://v.douyin.com/lPzZG8Bvi_0/</t>
        </is>
      </c>
      <c r="G93" s="5" t="inlineStr">
        <is>
          <t>495</t>
        </is>
      </c>
      <c r="H93" s="5" t="inlineStr">
        <is>
          <t>穿搭</t>
        </is>
      </c>
      <c r="I93" s="5" t="n"/>
      <c r="J93" s="5" t="n"/>
      <c r="K93" s="5" t="n">
        <v>93</v>
      </c>
      <c r="L93" s="5" t="n">
        <v>14000</v>
      </c>
      <c r="M93" s="5" t="n">
        <v>398</v>
      </c>
      <c r="N93" s="5" t="n">
        <v>10</v>
      </c>
      <c r="O93" s="5" t="n">
        <v>23</v>
      </c>
      <c r="P93" s="8">
        <f>IF(AND(M93&lt;&gt;"",M93&gt;0),M93+N93+O93,"")</f>
        <v/>
      </c>
      <c r="Q93" s="11">
        <f>IF(AND(L93&lt;&gt;"",L93&gt;0,P93&lt;&gt;""),P93/L93,"")</f>
        <v/>
      </c>
      <c r="R93" s="16">
        <f>IF(AND(P93&lt;&gt;"",P93&gt;0),(I93+J93+K93)/P93,"")</f>
        <v/>
      </c>
    </row>
    <row r="94" ht="81" customHeight="1">
      <c r="A94" s="5" t="inlineStr">
        <is>
          <t>2026-01-10</t>
        </is>
      </c>
      <c r="B94" s="5" t="inlineStr">
        <is>
          <t>2周</t>
        </is>
      </c>
      <c r="C94" s="5" t="inlineStr">
        <is>
          <t>小红书</t>
        </is>
      </c>
      <c r="D94" s="5" t="n"/>
      <c r="E94" s="5" t="n"/>
      <c r="F94" s="5" t="inlineStr">
        <is>
          <t>https://www.xiaohongshu.com/discovery/item/6961ebdb00000000220237c3?xsec_token=CB3nu7tsqxMdDeXtMzhh5PG8g6Q3x3NLJ3n4qToJgm1EU=&amp;xsec_source=app_share&amp;type=video</t>
        </is>
      </c>
      <c r="G94" s="5" t="inlineStr">
        <is>
          <t>495</t>
        </is>
      </c>
      <c r="H94" s="5" t="inlineStr">
        <is>
          <t>高桥大翔</t>
        </is>
      </c>
      <c r="I94" s="5" t="n"/>
      <c r="J94" s="5" t="n"/>
      <c r="K94" s="5" t="n">
        <v>93</v>
      </c>
      <c r="L94" s="5" t="n">
        <v>440</v>
      </c>
      <c r="M94" s="5" t="n">
        <v>44</v>
      </c>
      <c r="N94" s="5" t="n">
        <v>5</v>
      </c>
      <c r="O94" s="5" t="n">
        <v>1</v>
      </c>
      <c r="P94" s="8">
        <f>IF(AND(M94&lt;&gt;"",M94&gt;0),M94+N94+O94,"")</f>
        <v/>
      </c>
      <c r="Q94" s="11">
        <f>IF(AND(L94&lt;&gt;"",L94&gt;0,P94&lt;&gt;""),P94/L94,"")</f>
        <v/>
      </c>
      <c r="R94" s="16">
        <f>IF(AND(P94&lt;&gt;"",P94&gt;0),(I94+J94+K94)/P94,"")</f>
        <v/>
      </c>
    </row>
    <row r="95" ht="81" customHeight="1">
      <c r="A95" s="5" t="inlineStr">
        <is>
          <t>2026-01-10</t>
        </is>
      </c>
      <c r="B95" s="5" t="inlineStr">
        <is>
          <t>2周</t>
        </is>
      </c>
      <c r="C95" s="5" t="inlineStr">
        <is>
          <t>小红书</t>
        </is>
      </c>
      <c r="D95" s="5" t="n"/>
      <c r="E95" s="5" t="n"/>
      <c r="F95" s="5" t="inlineStr">
        <is>
          <t>https://www.xiaohongshu.com/discovery/item/6961ecd9000000001a035f7a?xsec_token=CBU2uhBjbYkl8OSJDZOwoYsMBjccypTh7RERQ1bVloyhU=&amp;xsec_source=app_share&amp;type=video</t>
        </is>
      </c>
      <c r="G95" s="5" t="inlineStr">
        <is>
          <t>495</t>
        </is>
      </c>
      <c r="H95" s="5" t="inlineStr">
        <is>
          <t>穿搭</t>
        </is>
      </c>
      <c r="I95" s="5" t="n">
        <v>100</v>
      </c>
      <c r="J95" s="5" t="n"/>
      <c r="K95" s="5" t="n">
        <v>93</v>
      </c>
      <c r="L95" s="5" t="n">
        <v>5709</v>
      </c>
      <c r="M95" s="5" t="n">
        <v>420</v>
      </c>
      <c r="N95" s="5" t="n">
        <v>99</v>
      </c>
      <c r="O95" s="5" t="n">
        <v>16</v>
      </c>
      <c r="P95" s="8">
        <f>IF(AND(M95&lt;&gt;"",M95&gt;0),M95+N95+O95,"")</f>
        <v/>
      </c>
      <c r="Q95" s="11">
        <f>IF(AND(L95&lt;&gt;"",L95&gt;0,P95&lt;&gt;""),P95/L95,"")</f>
        <v/>
      </c>
      <c r="R95" s="16">
        <f>IF(AND(P95&lt;&gt;"",P95&gt;0),(I95+J95+K95)/P95,"")</f>
        <v/>
      </c>
    </row>
    <row r="96" ht="81" customHeight="1">
      <c r="A96" s="5" t="inlineStr">
        <is>
          <t>2026-01-10</t>
        </is>
      </c>
      <c r="B96" s="5" t="inlineStr">
        <is>
          <t>2周</t>
        </is>
      </c>
      <c r="C96" s="5" t="inlineStr">
        <is>
          <t>小红书</t>
        </is>
      </c>
      <c r="D96" s="5" t="n"/>
      <c r="E96" s="5" t="n"/>
      <c r="F96" s="5" t="inlineStr">
        <is>
          <t>https://www.xiaohongshu.com/discovery/item/6962222d000000001a025ec9?xsec_token=CBcKOFMbB7Suc9TwwuaY-co2h8gOH_ZsHrgS1LmsGrKc8=&amp;xsec_source=app_share&amp;type=video</t>
        </is>
      </c>
      <c r="G96" s="5" t="inlineStr">
        <is>
          <t>1225</t>
        </is>
      </c>
      <c r="H96" s="5" t="inlineStr">
        <is>
          <t>新年好物</t>
        </is>
      </c>
      <c r="I96" s="5" t="n">
        <v>200</v>
      </c>
      <c r="J96" s="5" t="n"/>
      <c r="K96" s="5" t="n">
        <v>55.5</v>
      </c>
      <c r="L96" s="5" t="n">
        <v>480</v>
      </c>
      <c r="M96" s="5" t="n">
        <v>67</v>
      </c>
      <c r="N96" s="5" t="n">
        <v>32</v>
      </c>
      <c r="O96" s="5" t="n">
        <v>52</v>
      </c>
      <c r="P96" s="8">
        <f>IF(AND(M96&lt;&gt;"",M96&gt;0),M96+N96+O96,"")</f>
        <v/>
      </c>
      <c r="Q96" s="11">
        <f>IF(AND(L96&lt;&gt;"",L96&gt;0,P96&lt;&gt;""),P96/L96,"")</f>
        <v/>
      </c>
      <c r="R96" s="16">
        <f>IF(AND(P96&lt;&gt;"",P96&gt;0),(I96+J96+K96)/P96,"")</f>
        <v/>
      </c>
    </row>
    <row r="97" ht="27" customHeight="1">
      <c r="A97" s="5" t="inlineStr">
        <is>
          <t>2026-01-11</t>
        </is>
      </c>
      <c r="B97" s="5" t="inlineStr">
        <is>
          <t>2周</t>
        </is>
      </c>
      <c r="C97" s="5" t="inlineStr">
        <is>
          <t>抖音</t>
        </is>
      </c>
      <c r="D97" s="5" t="n"/>
      <c r="E97" s="5" t="n"/>
      <c r="F97" s="5" t="inlineStr">
        <is>
          <t>https://v.douyin.com/I8lYk8zIYh0/</t>
        </is>
      </c>
      <c r="G97" s="5" t="inlineStr">
        <is>
          <t>495</t>
        </is>
      </c>
      <c r="H97" s="5" t="inlineStr">
        <is>
          <t>穿搭</t>
        </is>
      </c>
      <c r="I97" s="5" t="n"/>
      <c r="J97" s="5" t="n"/>
      <c r="K97" s="5" t="n">
        <v>93</v>
      </c>
      <c r="L97" s="5" t="n">
        <v>4000</v>
      </c>
      <c r="M97" s="5" t="n">
        <v>254</v>
      </c>
      <c r="N97" s="5" t="n">
        <v>9</v>
      </c>
      <c r="O97" s="5" t="n">
        <v>18</v>
      </c>
      <c r="P97" s="8">
        <f>IF(AND(M97&lt;&gt;"",M97&gt;0),M97+N97+O97,"")</f>
        <v/>
      </c>
      <c r="Q97" s="11">
        <f>IF(AND(L97&lt;&gt;"",L97&gt;0,P97&lt;&gt;""),P97/L97,"")</f>
        <v/>
      </c>
      <c r="R97" s="16">
        <f>IF(AND(P97&lt;&gt;"",P97&gt;0),(I97+J97+K97)/P97,"")</f>
        <v/>
      </c>
    </row>
    <row r="98" ht="27" customHeight="1">
      <c r="A98" s="5" t="inlineStr">
        <is>
          <t>2026-01-11</t>
        </is>
      </c>
      <c r="B98" s="5" t="inlineStr">
        <is>
          <t>2周</t>
        </is>
      </c>
      <c r="C98" s="5" t="inlineStr">
        <is>
          <t>抖音</t>
        </is>
      </c>
      <c r="D98" s="5" t="n"/>
      <c r="E98" s="5" t="n"/>
      <c r="F98" s="5" t="inlineStr">
        <is>
          <t>https://v.douyin.com/-dkykCn_R8o/ U@l.pD</t>
        </is>
      </c>
      <c r="G98" s="5" t="inlineStr">
        <is>
          <t>495</t>
        </is>
      </c>
      <c r="H98" s="5" t="inlineStr">
        <is>
          <t>口播</t>
        </is>
      </c>
      <c r="I98" s="5" t="n">
        <v>150</v>
      </c>
      <c r="J98" s="5" t="n"/>
      <c r="K98" s="5" t="n">
        <v>93</v>
      </c>
      <c r="L98" s="5" t="n">
        <v>5753</v>
      </c>
      <c r="M98" s="5" t="n">
        <v>167</v>
      </c>
      <c r="N98" s="5" t="n">
        <v>59</v>
      </c>
      <c r="O98" s="5" t="n">
        <v>39</v>
      </c>
      <c r="P98" s="8">
        <f>IF(AND(M98&lt;&gt;"",M98&gt;0),M98+N98+O98,"")</f>
        <v/>
      </c>
      <c r="Q98" s="11">
        <f>IF(AND(L98&lt;&gt;"",L98&gt;0,P98&lt;&gt;""),P98/L98,"")</f>
        <v/>
      </c>
      <c r="R98" s="16">
        <f>IF(AND(P98&lt;&gt;"",P98&gt;0),(I98+J98+K98)/P98,"")</f>
        <v/>
      </c>
    </row>
    <row r="99" ht="27" customHeight="1">
      <c r="A99" s="5" t="inlineStr">
        <is>
          <t>2026-01-11</t>
        </is>
      </c>
      <c r="B99" s="5" t="inlineStr">
        <is>
          <t>2周</t>
        </is>
      </c>
      <c r="C99" s="5" t="inlineStr">
        <is>
          <t>抖音</t>
        </is>
      </c>
      <c r="D99" s="5" t="n"/>
      <c r="E99" s="5" t="n"/>
      <c r="F99" s="5" t="inlineStr">
        <is>
          <t>https://v.douyin.com/s6Tw4D3CZvs/</t>
        </is>
      </c>
      <c r="G99" s="5" t="inlineStr">
        <is>
          <t>1225</t>
        </is>
      </c>
      <c r="H99" s="5" t="inlineStr">
        <is>
          <t>新年好物</t>
        </is>
      </c>
      <c r="I99" s="5" t="n"/>
      <c r="J99" s="5" t="n"/>
      <c r="K99" s="5" t="n">
        <v>55.5</v>
      </c>
      <c r="L99" s="5" t="n">
        <v>29000</v>
      </c>
      <c r="M99" s="5" t="n">
        <v>1298</v>
      </c>
      <c r="N99" s="5" t="n">
        <v>140</v>
      </c>
      <c r="O99" s="5" t="n">
        <v>122</v>
      </c>
      <c r="P99" s="8">
        <f>IF(AND(M99&lt;&gt;"",M99&gt;0),M99+N99+O99,"")</f>
        <v/>
      </c>
      <c r="Q99" s="11">
        <f>IF(AND(L99&lt;&gt;"",L99&gt;0,P99&lt;&gt;""),P99/L99,"")</f>
        <v/>
      </c>
      <c r="R99" s="16">
        <f>IF(AND(P99&lt;&gt;"",P99&gt;0),(I99+J99+K99)/P99,"")</f>
        <v/>
      </c>
    </row>
    <row r="100" ht="27" customHeight="1">
      <c r="A100" s="5" t="inlineStr">
        <is>
          <t>2026-01-11</t>
        </is>
      </c>
      <c r="B100" s="5" t="inlineStr">
        <is>
          <t>2周</t>
        </is>
      </c>
      <c r="C100" s="5" t="inlineStr">
        <is>
          <t>抖音</t>
        </is>
      </c>
      <c r="D100" s="5" t="n"/>
      <c r="E100" s="5" t="n"/>
      <c r="F100" s="5" t="inlineStr">
        <is>
          <t>https://v.douyin.com/35xENcupcmY/</t>
        </is>
      </c>
      <c r="G100" s="5" t="inlineStr">
        <is>
          <t>0001A1</t>
        </is>
      </c>
      <c r="H100" s="5" t="inlineStr">
        <is>
          <t>新年好物</t>
        </is>
      </c>
      <c r="I100" s="5" t="n">
        <v>70</v>
      </c>
      <c r="J100" s="5" t="n"/>
      <c r="K100" s="5" t="n">
        <v>107.5</v>
      </c>
      <c r="L100" s="5" t="n">
        <v>18000</v>
      </c>
      <c r="M100" s="5" t="n">
        <v>376</v>
      </c>
      <c r="N100" s="5" t="n">
        <v>233</v>
      </c>
      <c r="O100" s="5" t="n">
        <v>12</v>
      </c>
      <c r="P100" s="8">
        <f>IF(AND(M100&lt;&gt;"",M100&gt;0),M100+N100+O100,"")</f>
        <v/>
      </c>
      <c r="Q100" s="11">
        <f>IF(AND(L100&lt;&gt;"",L100&gt;0,P100&lt;&gt;""),P100/L100,"")</f>
        <v/>
      </c>
      <c r="R100" s="16">
        <f>IF(AND(P100&lt;&gt;"",P100&gt;0),(I100+J100+K100)/P100,"")</f>
        <v/>
      </c>
    </row>
    <row r="101" ht="54" customHeight="1">
      <c r="A101" s="5" t="inlineStr">
        <is>
          <t>2026-01-11</t>
        </is>
      </c>
      <c r="B101" s="5" t="inlineStr">
        <is>
          <t>2周</t>
        </is>
      </c>
      <c r="C101" s="5" t="inlineStr">
        <is>
          <t>抖音</t>
        </is>
      </c>
      <c r="D101" s="5" t="n"/>
      <c r="E101" s="5" t="n"/>
      <c r="F101" s="5" t="inlineStr">
        <is>
          <t>8.20 k@P.kP GII:/ 12/23 https://v.douyin.com/K6AaN67dtlE/ 复制此链接，打开Dou音搜索，直接观看视频！</t>
        </is>
      </c>
      <c r="G101" s="5" t="inlineStr">
        <is>
          <t>1225</t>
        </is>
      </c>
      <c r="H101" s="5" t="inlineStr">
        <is>
          <t>穆祉丞</t>
        </is>
      </c>
      <c r="I101" s="5" t="n"/>
      <c r="J101" s="5" t="n"/>
      <c r="K101" s="5" t="n">
        <v>55.5</v>
      </c>
      <c r="L101" s="5" t="n">
        <v>3000</v>
      </c>
      <c r="M101" s="5" t="n">
        <v>293</v>
      </c>
      <c r="N101" s="5" t="n">
        <v>2</v>
      </c>
      <c r="O101" s="5" t="n">
        <v>10</v>
      </c>
      <c r="P101" s="8">
        <f>IF(AND(M101&lt;&gt;"",M101&gt;0),M101+N101+O101,"")</f>
        <v/>
      </c>
      <c r="Q101" s="11">
        <f>IF(AND(L101&lt;&gt;"",L101&gt;0,P101&lt;&gt;""),P101/L101,"")</f>
        <v/>
      </c>
      <c r="R101" s="16">
        <f>IF(AND(P101&lt;&gt;"",P101&gt;0),(I101+J101+K101)/P101,"")</f>
        <v/>
      </c>
    </row>
    <row r="102" ht="27" customHeight="1">
      <c r="A102" s="5" t="inlineStr">
        <is>
          <t>2026-01-11</t>
        </is>
      </c>
      <c r="B102" s="5" t="inlineStr">
        <is>
          <t>2周</t>
        </is>
      </c>
      <c r="C102" s="5" t="inlineStr">
        <is>
          <t>抖音</t>
        </is>
      </c>
      <c r="D102" s="5" t="n"/>
      <c r="E102" s="5" t="n"/>
      <c r="F102" s="5" t="inlineStr">
        <is>
          <t>https://v.douyin.com/BRAik0JBIuw/</t>
        </is>
      </c>
      <c r="G102" s="5" t="inlineStr">
        <is>
          <t>495</t>
        </is>
      </c>
      <c r="H102" s="5" t="inlineStr">
        <is>
          <t>穿搭</t>
        </is>
      </c>
      <c r="I102" s="5" t="n">
        <v>150</v>
      </c>
      <c r="J102" s="5" t="n"/>
      <c r="K102" s="5" t="n">
        <v>93</v>
      </c>
      <c r="L102" s="5" t="n">
        <v>250000</v>
      </c>
      <c r="M102" s="5" t="n">
        <v>29000</v>
      </c>
      <c r="N102" s="5" t="n">
        <v>1713</v>
      </c>
      <c r="O102" s="5" t="n">
        <v>226</v>
      </c>
      <c r="P102" s="8">
        <f>IF(AND(M102&lt;&gt;"",M102&gt;0),M102+N102+O102,"")</f>
        <v/>
      </c>
      <c r="Q102" s="11">
        <f>IF(AND(L102&lt;&gt;"",L102&gt;0,P102&lt;&gt;""),P102/L102,"")</f>
        <v/>
      </c>
      <c r="R102" s="16">
        <f>IF(AND(P102&lt;&gt;"",P102&gt;0),(I102+J102+K102)/P102,"")</f>
        <v/>
      </c>
    </row>
    <row r="103" ht="27" customHeight="1">
      <c r="A103" s="5" t="inlineStr">
        <is>
          <t>2026-01-11</t>
        </is>
      </c>
      <c r="B103" s="5" t="inlineStr">
        <is>
          <t>2周</t>
        </is>
      </c>
      <c r="C103" s="5" t="inlineStr">
        <is>
          <t>抖音</t>
        </is>
      </c>
      <c r="D103" s="5" t="n"/>
      <c r="E103" s="5" t="n"/>
      <c r="F103" s="5" t="inlineStr">
        <is>
          <t>https://v.douyin.com/5gvZ5kbSpdg/</t>
        </is>
      </c>
      <c r="G103" s="5" t="inlineStr">
        <is>
          <t>0001A1</t>
        </is>
      </c>
      <c r="H103" s="5" t="inlineStr">
        <is>
          <t>文严文</t>
        </is>
      </c>
      <c r="I103" s="5" t="n"/>
      <c r="J103" s="5" t="n"/>
      <c r="K103" s="5" t="n">
        <v>107.5</v>
      </c>
      <c r="L103" s="5" t="n">
        <v>1100</v>
      </c>
      <c r="M103" s="5" t="n">
        <v>95</v>
      </c>
      <c r="N103" s="5" t="n">
        <v>5</v>
      </c>
      <c r="O103" s="5" t="n">
        <v>13</v>
      </c>
      <c r="P103" s="8">
        <f>IF(AND(M103&lt;&gt;"",M103&gt;0),M103+N103+O103,"")</f>
        <v/>
      </c>
      <c r="Q103" s="11">
        <f>IF(AND(L103&lt;&gt;"",L103&gt;0,P103&lt;&gt;""),P103/L103,"")</f>
        <v/>
      </c>
      <c r="R103" s="16">
        <f>IF(AND(P103&lt;&gt;"",P103&gt;0),(I103+J103+K103)/P103,"")</f>
        <v/>
      </c>
    </row>
    <row r="104" ht="81" customHeight="1">
      <c r="A104" s="5" t="inlineStr">
        <is>
          <t>2026-01-11</t>
        </is>
      </c>
      <c r="B104" s="5" t="inlineStr">
        <is>
          <t>2周</t>
        </is>
      </c>
      <c r="C104" s="5" t="inlineStr">
        <is>
          <t>小红书</t>
        </is>
      </c>
      <c r="D104" s="5" t="n"/>
      <c r="E104" s="5" t="n"/>
      <c r="F104" s="5" t="inlineStr">
        <is>
          <t>https://www.xiaohongshu.com/discovery/item/6963672c000000000e00dbd3?xsec_token=CBpzaMOuvhZkhaSqE1i1gBK040dJYBSBybLYfWNno9M8M=&amp;xsec_source=app_share&amp;type=video</t>
        </is>
      </c>
      <c r="G104" s="5" t="inlineStr">
        <is>
          <t>0001A1</t>
        </is>
      </c>
      <c r="H104" s="5" t="inlineStr">
        <is>
          <t>文严文</t>
        </is>
      </c>
      <c r="I104" s="5" t="n"/>
      <c r="J104" s="5" t="n"/>
      <c r="K104" s="5" t="n">
        <v>107.5</v>
      </c>
      <c r="L104" s="5" t="n">
        <v>1329</v>
      </c>
      <c r="M104" s="5" t="n">
        <v>66</v>
      </c>
      <c r="N104" s="5" t="n">
        <v>3</v>
      </c>
      <c r="O104" s="5" t="n">
        <v>21</v>
      </c>
      <c r="P104" s="8">
        <f>IF(AND(M104&lt;&gt;"",M104&gt;0),M104+N104+O104,"")</f>
        <v/>
      </c>
      <c r="Q104" s="11">
        <f>IF(AND(L104&lt;&gt;"",L104&gt;0,P104&lt;&gt;""),P104/L104,"")</f>
        <v/>
      </c>
      <c r="R104" s="16">
        <f>IF(AND(P104&lt;&gt;"",P104&gt;0),(I104+J104+K104)/P104,"")</f>
        <v/>
      </c>
    </row>
    <row r="105" ht="94.5" customHeight="1">
      <c r="A105" s="5" t="inlineStr">
        <is>
          <t>2026-01-11</t>
        </is>
      </c>
      <c r="B105" s="5" t="inlineStr">
        <is>
          <t>2周</t>
        </is>
      </c>
      <c r="C105" s="5" t="inlineStr">
        <is>
          <t>小红书</t>
        </is>
      </c>
      <c r="D105" s="5" t="n"/>
      <c r="E105" s="5" t="n"/>
      <c r="F105" s="5" t="inlineStr">
        <is>
          <t>https://www.xiaohongshu.com/discovery/item/6963791d000000002102a60b?xsec_token=CBuHRldN_-MV0zxqpA6aoZsR8ErM37PGI7LIHcqJnNX-Q=&amp;xsec_source=app_share&amp;type=video</t>
        </is>
      </c>
      <c r="G105" s="5" t="inlineStr">
        <is>
          <t>1225</t>
        </is>
      </c>
      <c r="H105" s="5" t="inlineStr">
        <is>
          <t>新年好物</t>
        </is>
      </c>
      <c r="I105" s="5" t="n"/>
      <c r="J105" s="5" t="n"/>
      <c r="K105" s="5" t="n">
        <v>55.5</v>
      </c>
      <c r="L105" s="5" t="n">
        <v>21804</v>
      </c>
      <c r="M105" s="5" t="n">
        <v>1063</v>
      </c>
      <c r="N105" s="5" t="n">
        <v>272</v>
      </c>
      <c r="O105" s="5" t="n">
        <v>49</v>
      </c>
      <c r="P105" s="8">
        <f>IF(AND(M105&lt;&gt;"",M105&gt;0),M105+N105+O105,"")</f>
        <v/>
      </c>
      <c r="Q105" s="11">
        <f>IF(AND(L105&lt;&gt;"",L105&gt;0,P105&lt;&gt;""),P105/L105,"")</f>
        <v/>
      </c>
      <c r="R105" s="16">
        <f>IF(AND(P105&lt;&gt;"",P105&gt;0),(I105+J105+K105)/P105,"")</f>
        <v/>
      </c>
    </row>
    <row r="106" ht="81" customHeight="1">
      <c r="A106" s="5" t="inlineStr">
        <is>
          <t>2026-01-11</t>
        </is>
      </c>
      <c r="B106" s="5" t="inlineStr">
        <is>
          <t>2周</t>
        </is>
      </c>
      <c r="C106" s="5" t="inlineStr">
        <is>
          <t>小红书</t>
        </is>
      </c>
      <c r="D106" s="5" t="n"/>
      <c r="E106" s="5" t="n"/>
      <c r="F106" s="5" t="inlineStr">
        <is>
          <t>https://www.xiaohongshu.com/discovery/item/6963663c000000000d008039?xsec_token=CBgTYk2wo3KHhEFVNUyAegXqA7euorCc9ismGggtH_CPM=&amp;xsec_source=app_share&amp;type=video</t>
        </is>
      </c>
      <c r="G106" s="5" t="inlineStr">
        <is>
          <t>495</t>
        </is>
      </c>
      <c r="H106" s="5" t="inlineStr">
        <is>
          <t>口播</t>
        </is>
      </c>
      <c r="I106" s="5" t="n"/>
      <c r="J106" s="5" t="n"/>
      <c r="K106" s="5" t="n">
        <v>93</v>
      </c>
      <c r="L106" s="5" t="n">
        <v>2258</v>
      </c>
      <c r="M106" s="5" t="n">
        <v>58</v>
      </c>
      <c r="N106" s="5" t="n">
        <v>31</v>
      </c>
      <c r="O106" s="5" t="n">
        <v>13</v>
      </c>
      <c r="P106" s="8">
        <f>IF(AND(M106&lt;&gt;"",M106&gt;0),M106+N106+O106,"")</f>
        <v/>
      </c>
      <c r="Q106" s="11">
        <f>IF(AND(L106&lt;&gt;"",L106&gt;0,P106&lt;&gt;""),P106/L106,"")</f>
        <v/>
      </c>
      <c r="R106" s="16">
        <f>IF(AND(P106&lt;&gt;"",P106&gt;0),(I106+J106+K106)/P106,"")</f>
        <v/>
      </c>
    </row>
    <row r="107" ht="27" customHeight="1">
      <c r="A107" s="5" t="inlineStr">
        <is>
          <t>2026-01-12</t>
        </is>
      </c>
      <c r="B107" s="5" t="inlineStr">
        <is>
          <t>3周</t>
        </is>
      </c>
      <c r="C107" s="5" t="inlineStr">
        <is>
          <t>抖音</t>
        </is>
      </c>
      <c r="D107" s="5" t="n"/>
      <c r="E107" s="5" t="n"/>
      <c r="F107" s="5" t="inlineStr">
        <is>
          <t>https://v.douyin.com/E26cXA0pses/</t>
        </is>
      </c>
      <c r="G107" s="5" t="inlineStr">
        <is>
          <t>0001A1</t>
        </is>
      </c>
      <c r="H107" s="5" t="inlineStr">
        <is>
          <t>穿搭</t>
        </is>
      </c>
      <c r="I107" s="5" t="n"/>
      <c r="J107" s="5" t="n"/>
      <c r="K107" s="5" t="n">
        <v>107.5</v>
      </c>
      <c r="L107" s="5" t="n">
        <v>10000</v>
      </c>
      <c r="M107" s="5" t="n">
        <v>218</v>
      </c>
      <c r="N107" s="5" t="n">
        <v>18</v>
      </c>
      <c r="O107" s="5" t="n">
        <v>23</v>
      </c>
      <c r="P107" s="8">
        <f>IF(AND(M107&lt;&gt;"",M107&gt;0),M107+N107+O107,"")</f>
        <v/>
      </c>
      <c r="Q107" s="11">
        <f>IF(AND(L107&lt;&gt;"",L107&gt;0,P107&lt;&gt;""),P107/L107,"")</f>
        <v/>
      </c>
      <c r="R107" s="16">
        <f>IF(AND(P107&lt;&gt;"",P107&gt;0),(I107+J107+K107)/P107,"")</f>
        <v/>
      </c>
    </row>
    <row r="108" ht="27" customHeight="1">
      <c r="A108" s="5" t="inlineStr">
        <is>
          <t>2026-01-12</t>
        </is>
      </c>
      <c r="B108" s="5" t="inlineStr">
        <is>
          <t>3周</t>
        </is>
      </c>
      <c r="C108" s="5" t="inlineStr">
        <is>
          <t>抖音</t>
        </is>
      </c>
      <c r="D108" s="5" t="n"/>
      <c r="E108" s="5" t="n"/>
      <c r="F108" s="5" t="inlineStr">
        <is>
          <t>https://v.douyin.com/FeGPJjQalSo/</t>
        </is>
      </c>
      <c r="G108" s="5" t="inlineStr">
        <is>
          <t>495</t>
        </is>
      </c>
      <c r="H108" s="5" t="inlineStr">
        <is>
          <t>口播</t>
        </is>
      </c>
      <c r="I108" s="5" t="n">
        <v>100</v>
      </c>
      <c r="J108" s="5" t="n"/>
      <c r="K108" s="5" t="n">
        <v>93</v>
      </c>
      <c r="L108" s="5" t="n">
        <v>5185</v>
      </c>
      <c r="M108" s="5" t="n">
        <v>136</v>
      </c>
      <c r="N108" s="5" t="n">
        <v>17</v>
      </c>
      <c r="O108" s="5" t="n">
        <v>86</v>
      </c>
      <c r="P108" s="8">
        <f>IF(AND(M108&lt;&gt;"",M108&gt;0),M108+N108+O108,"")</f>
        <v/>
      </c>
      <c r="Q108" s="11">
        <f>IF(AND(L108&lt;&gt;"",L108&gt;0,P108&lt;&gt;""),P108/L108,"")</f>
        <v/>
      </c>
      <c r="R108" s="16">
        <f>IF(AND(P108&lt;&gt;"",P108&gt;0),(I108+J108+K108)/P108,"")</f>
        <v/>
      </c>
    </row>
    <row r="109" ht="27" customHeight="1">
      <c r="A109" s="5" t="inlineStr">
        <is>
          <t>2026-01-12</t>
        </is>
      </c>
      <c r="B109" s="5" t="inlineStr">
        <is>
          <t>3周</t>
        </is>
      </c>
      <c r="C109" s="5" t="inlineStr">
        <is>
          <t>抖音</t>
        </is>
      </c>
      <c r="D109" s="5" t="n"/>
      <c r="E109" s="5" t="n"/>
      <c r="F109" s="5" t="inlineStr">
        <is>
          <t>https://v.douyin.com/TCmHydbVB4Y/</t>
        </is>
      </c>
      <c r="G109" s="5" t="inlineStr">
        <is>
          <t>495</t>
        </is>
      </c>
      <c r="H109" s="5" t="inlineStr">
        <is>
          <t>穿搭</t>
        </is>
      </c>
      <c r="I109" s="5" t="n"/>
      <c r="J109" s="5" t="n"/>
      <c r="K109" s="5" t="n">
        <v>93</v>
      </c>
      <c r="L109" s="5" t="n">
        <v>10000</v>
      </c>
      <c r="M109" s="5" t="n">
        <v>1641</v>
      </c>
      <c r="N109" s="5" t="n">
        <v>320</v>
      </c>
      <c r="O109" s="5" t="n">
        <v>17</v>
      </c>
      <c r="P109" s="8">
        <f>IF(AND(M109&lt;&gt;"",M109&gt;0),M109+N109+O109,"")</f>
        <v/>
      </c>
      <c r="Q109" s="11">
        <f>IF(AND(L109&lt;&gt;"",L109&gt;0,P109&lt;&gt;""),P109/L109,"")</f>
        <v/>
      </c>
      <c r="R109" s="16">
        <f>IF(AND(P109&lt;&gt;"",P109&gt;0),(I109+J109+K109)/P109,"")</f>
        <v/>
      </c>
    </row>
    <row r="110" ht="27" customHeight="1">
      <c r="A110" s="5" t="inlineStr">
        <is>
          <t>2026-01-12</t>
        </is>
      </c>
      <c r="B110" s="5" t="inlineStr">
        <is>
          <t>3周</t>
        </is>
      </c>
      <c r="C110" s="5" t="inlineStr">
        <is>
          <t>抖音</t>
        </is>
      </c>
      <c r="D110" s="5" t="n"/>
      <c r="E110" s="5" t="n"/>
      <c r="F110" s="5" t="inlineStr">
        <is>
          <t>https://v.douyin.com/k6JCThhIuRg/</t>
        </is>
      </c>
      <c r="G110" s="5" t="inlineStr">
        <is>
          <t>495</t>
        </is>
      </c>
      <c r="H110" s="5" t="inlineStr">
        <is>
          <t>口播</t>
        </is>
      </c>
      <c r="I110" s="5" t="n"/>
      <c r="J110" s="5" t="n"/>
      <c r="K110" s="5" t="n">
        <v>93</v>
      </c>
      <c r="L110" s="5" t="n">
        <v>1646</v>
      </c>
      <c r="M110" s="5" t="n">
        <v>49</v>
      </c>
      <c r="N110" s="5" t="n">
        <v>6</v>
      </c>
      <c r="O110" s="5" t="n">
        <v>5</v>
      </c>
      <c r="P110" s="8">
        <f>IF(AND(M110&lt;&gt;"",M110&gt;0),M110+N110+O110,"")</f>
        <v/>
      </c>
      <c r="Q110" s="11">
        <f>IF(AND(L110&lt;&gt;"",L110&gt;0,P110&lt;&gt;""),P110/L110,"")</f>
        <v/>
      </c>
      <c r="R110" s="16">
        <f>IF(AND(P110&lt;&gt;"",P110&gt;0),(I110+J110+K110)/P110,"")</f>
        <v/>
      </c>
    </row>
    <row r="111" ht="27" customHeight="1">
      <c r="A111" s="5" t="inlineStr">
        <is>
          <t>2026-01-12</t>
        </is>
      </c>
      <c r="B111" s="5" t="inlineStr">
        <is>
          <t>3周</t>
        </is>
      </c>
      <c r="C111" s="5" t="inlineStr">
        <is>
          <t>抖音</t>
        </is>
      </c>
      <c r="D111" s="5" t="n"/>
      <c r="E111" s="5" t="n"/>
      <c r="F111" s="5" t="inlineStr">
        <is>
          <t>https://v.douyin.com/lS9BlzvrIdI/</t>
        </is>
      </c>
      <c r="G111" s="5" t="inlineStr">
        <is>
          <t>489Y</t>
        </is>
      </c>
      <c r="H111" s="5" t="inlineStr">
        <is>
          <t>赵露思</t>
        </is>
      </c>
      <c r="I111" s="5" t="n"/>
      <c r="J111" s="5" t="n"/>
      <c r="K111" s="5" t="n">
        <v>53.5</v>
      </c>
      <c r="L111" s="5" t="n">
        <v>6511</v>
      </c>
      <c r="M111" s="5" t="n">
        <v>224</v>
      </c>
      <c r="N111" s="5" t="n">
        <v>3</v>
      </c>
      <c r="O111" s="5" t="n">
        <v>55</v>
      </c>
      <c r="P111" s="8">
        <f>IF(AND(M111&lt;&gt;"",M111&gt;0),M111+N111+O111,"")</f>
        <v/>
      </c>
      <c r="Q111" s="11">
        <f>IF(AND(L111&lt;&gt;"",L111&gt;0,P111&lt;&gt;""),P111/L111,"")</f>
        <v/>
      </c>
      <c r="R111" s="16">
        <f>IF(AND(P111&lt;&gt;"",P111&gt;0),(I111+J111+K111)/P111,"")</f>
        <v/>
      </c>
    </row>
    <row r="112" ht="81" customHeight="1">
      <c r="A112" s="5" t="inlineStr">
        <is>
          <t>2026-01-12</t>
        </is>
      </c>
      <c r="B112" s="5" t="inlineStr">
        <is>
          <t>3周</t>
        </is>
      </c>
      <c r="C112" s="5" t="inlineStr">
        <is>
          <t>小红书</t>
        </is>
      </c>
      <c r="D112" s="5" t="n"/>
      <c r="E112" s="5" t="n"/>
      <c r="F112" s="5" t="inlineStr">
        <is>
          <t>https://www.xiaohongshu.com/discovery/item/69648088000000002202f276?xsec_token=CB-_HUqgFm331oGocGdznupJ60XMnt8WWZ_AtG1n_xu5s=&amp;xsec_source=app_share&amp;type=video</t>
        </is>
      </c>
      <c r="G112" s="5" t="inlineStr">
        <is>
          <t>495</t>
        </is>
      </c>
      <c r="H112" s="5" t="inlineStr">
        <is>
          <t>口播</t>
        </is>
      </c>
      <c r="I112" s="5" t="n"/>
      <c r="J112" s="5" t="n"/>
      <c r="K112" s="5" t="n">
        <v>93</v>
      </c>
      <c r="L112" s="5" t="n">
        <v>2432</v>
      </c>
      <c r="M112" s="5" t="n">
        <v>159</v>
      </c>
      <c r="N112" s="5" t="n">
        <v>14</v>
      </c>
      <c r="O112" s="5" t="n">
        <v>11</v>
      </c>
      <c r="P112" s="8">
        <f>IF(AND(M112&lt;&gt;"",M112&gt;0),M112+N112+O112,"")</f>
        <v/>
      </c>
      <c r="Q112" s="11">
        <f>IF(AND(L112&lt;&gt;"",L112&gt;0,P112&lt;&gt;""),P112/L112,"")</f>
        <v/>
      </c>
      <c r="R112" s="16">
        <f>IF(AND(P112&lt;&gt;"",P112&gt;0),(I112+J112+K112)/P112,"")</f>
        <v/>
      </c>
    </row>
    <row r="113" ht="81" customHeight="1">
      <c r="A113" s="5" t="inlineStr">
        <is>
          <t>2026-01-12</t>
        </is>
      </c>
      <c r="B113" s="5" t="inlineStr">
        <is>
          <t>3周</t>
        </is>
      </c>
      <c r="C113" s="5" t="inlineStr">
        <is>
          <t>小红书</t>
        </is>
      </c>
      <c r="D113" s="5" t="n"/>
      <c r="E113" s="5" t="n"/>
      <c r="F113" s="5" t="inlineStr">
        <is>
          <t>https://www.xiaohongshu.com/discovery/item/6964bd55000000000a02b6ec?xsec_token=CBKPY5lnQxFVLoSOzTrGn9MEtM5g0ptO86bJWsL76UcsM=&amp;xsec_source=app_share&amp;type=video</t>
        </is>
      </c>
      <c r="G113" s="5" t="inlineStr">
        <is>
          <t>495</t>
        </is>
      </c>
      <c r="H113" s="5" t="inlineStr">
        <is>
          <t>口播</t>
        </is>
      </c>
      <c r="I113" s="5" t="n">
        <v>550</v>
      </c>
      <c r="J113" s="5" t="n"/>
      <c r="K113" s="5" t="n">
        <v>93</v>
      </c>
      <c r="L113" s="5" t="n">
        <v>7099</v>
      </c>
      <c r="M113" s="5" t="n">
        <v>389</v>
      </c>
      <c r="N113" s="5" t="n">
        <v>185</v>
      </c>
      <c r="O113" s="5" t="n">
        <v>19</v>
      </c>
      <c r="P113" s="8">
        <f>IF(AND(M113&lt;&gt;"",M113&gt;0),M113+N113+O113,"")</f>
        <v/>
      </c>
      <c r="Q113" s="11">
        <f>IF(AND(L113&lt;&gt;"",L113&gt;0,P113&lt;&gt;""),P113/L113,"")</f>
        <v/>
      </c>
      <c r="R113" s="16">
        <f>IF(AND(P113&lt;&gt;"",P113&gt;0),(I113+J113+K113)/P113,"")</f>
        <v/>
      </c>
    </row>
    <row r="114" ht="81" customHeight="1">
      <c r="A114" s="5" t="inlineStr">
        <is>
          <t>2026-01-12</t>
        </is>
      </c>
      <c r="B114" s="5" t="inlineStr">
        <is>
          <t>3周</t>
        </is>
      </c>
      <c r="C114" s="5" t="inlineStr">
        <is>
          <t>小红书</t>
        </is>
      </c>
      <c r="D114" s="5" t="n"/>
      <c r="E114" s="5" t="n"/>
      <c r="F114" s="5" t="inlineStr">
        <is>
          <t>https://www.xiaohongshu.com/discovery/item/696499c80000000009038155?xsec_token=CB2W8va743VslQhgV0TnSBcJ1fV_bvE5K44YAeQmaoUlE=&amp;xsec_source=app_share&amp;type=video</t>
        </is>
      </c>
      <c r="G114" s="5" t="inlineStr">
        <is>
          <t>0001A1</t>
        </is>
      </c>
      <c r="H114" s="5" t="inlineStr">
        <is>
          <t>口播</t>
        </is>
      </c>
      <c r="I114" s="5" t="n"/>
      <c r="J114" s="5" t="n"/>
      <c r="K114" s="5" t="n">
        <v>107.5</v>
      </c>
      <c r="L114" s="5" t="n">
        <v>1056</v>
      </c>
      <c r="M114" s="5" t="n">
        <v>154</v>
      </c>
      <c r="N114" s="5" t="n">
        <v>39</v>
      </c>
      <c r="O114" s="5" t="n">
        <v>24</v>
      </c>
      <c r="P114" s="8">
        <f>IF(AND(M114&lt;&gt;"",M114&gt;0),M114+N114+O114,"")</f>
        <v/>
      </c>
      <c r="Q114" s="11">
        <f>IF(AND(L114&lt;&gt;"",L114&gt;0,P114&lt;&gt;""),P114/L114,"")</f>
        <v/>
      </c>
      <c r="R114" s="16">
        <f>IF(AND(P114&lt;&gt;"",P114&gt;0),(I114+J114+K114)/P114,"")</f>
        <v/>
      </c>
    </row>
    <row r="115" ht="81" customHeight="1">
      <c r="A115" s="5" t="inlineStr">
        <is>
          <t>2026-01-12</t>
        </is>
      </c>
      <c r="B115" s="5" t="inlineStr">
        <is>
          <t>3周</t>
        </is>
      </c>
      <c r="C115" s="5" t="inlineStr">
        <is>
          <t>小红书</t>
        </is>
      </c>
      <c r="D115" s="5" t="n"/>
      <c r="E115" s="5" t="n"/>
      <c r="F115" s="5" t="inlineStr">
        <is>
          <t>https://www.xiaohongshu.com/discovery/item/6964d2c4000000001a030e7e?xsec_token=CB2W8va743VslQhgV0TnSBcK65B5rVhM95isd5k_yyecI=&amp;xsec_source=app_share&amp;type=video</t>
        </is>
      </c>
      <c r="G115" s="5" t="inlineStr">
        <is>
          <t>1225</t>
        </is>
      </c>
      <c r="H115" s="5" t="inlineStr">
        <is>
          <t>新年好物</t>
        </is>
      </c>
      <c r="I115" s="5" t="n"/>
      <c r="J115" s="5" t="n"/>
      <c r="K115" s="5" t="n">
        <v>55.5</v>
      </c>
      <c r="L115" s="5" t="n">
        <v>20415</v>
      </c>
      <c r="M115" s="5" t="n">
        <v>1694</v>
      </c>
      <c r="N115" s="5" t="n">
        <v>290</v>
      </c>
      <c r="O115" s="5" t="n">
        <v>50</v>
      </c>
      <c r="P115" s="8">
        <f>IF(AND(M115&lt;&gt;"",M115&gt;0),M115+N115+O115,"")</f>
        <v/>
      </c>
      <c r="Q115" s="11">
        <f>IF(AND(L115&lt;&gt;"",L115&gt;0,P115&lt;&gt;""),P115/L115,"")</f>
        <v/>
      </c>
      <c r="R115" s="16">
        <f>IF(AND(P115&lt;&gt;"",P115&gt;0),(I115+J115+K115)/P115,"")</f>
        <v/>
      </c>
    </row>
    <row r="116" ht="67.5" customHeight="1">
      <c r="A116" s="5" t="inlineStr">
        <is>
          <t>2026-01-12</t>
        </is>
      </c>
      <c r="B116" s="5" t="inlineStr">
        <is>
          <t>3周</t>
        </is>
      </c>
      <c r="C116" s="5" t="inlineStr">
        <is>
          <t>小红书</t>
        </is>
      </c>
      <c r="D116" s="5" t="n"/>
      <c r="E116" s="5" t="n"/>
      <c r="F116" s="5" t="inlineStr">
        <is>
          <t>https://www.xiaohongshu.com/discovery/item/6964b774000000002203ae27?xsec_token=CBMwRYBQK0SuDze0nBJCcokohPkgfsPe9GU218fUFVDSY=&amp;xsec_source=app_share</t>
        </is>
      </c>
      <c r="G116" s="5" t="inlineStr">
        <is>
          <t>1225</t>
        </is>
      </c>
      <c r="H116" s="5" t="inlineStr">
        <is>
          <t>新年好物</t>
        </is>
      </c>
      <c r="I116" s="5" t="n"/>
      <c r="J116" s="5" t="n"/>
      <c r="K116" s="5" t="n">
        <v>55.5</v>
      </c>
      <c r="L116" s="5" t="n">
        <v>3382</v>
      </c>
      <c r="M116" s="5" t="n">
        <v>209</v>
      </c>
      <c r="N116" s="5" t="n">
        <v>13</v>
      </c>
      <c r="O116" s="5" t="n">
        <v>10</v>
      </c>
      <c r="P116" s="8">
        <f>IF(AND(M116&lt;&gt;"",M116&gt;0),M116+N116+O116,"")</f>
        <v/>
      </c>
      <c r="Q116" s="11">
        <f>IF(AND(L116&lt;&gt;"",L116&gt;0,P116&lt;&gt;""),P116/L116,"")</f>
        <v/>
      </c>
      <c r="R116" s="16">
        <f>IF(AND(P116&lt;&gt;"",P116&gt;0),(I116+J116+K116)/P116,"")</f>
        <v/>
      </c>
    </row>
    <row r="117" ht="81" customHeight="1">
      <c r="A117" s="5" t="inlineStr">
        <is>
          <t>2026-01-12</t>
        </is>
      </c>
      <c r="B117" s="5" t="inlineStr">
        <is>
          <t>3周</t>
        </is>
      </c>
      <c r="C117" s="5" t="inlineStr">
        <is>
          <t>小红书</t>
        </is>
      </c>
      <c r="D117" s="5" t="n"/>
      <c r="E117" s="5" t="n"/>
      <c r="F117" s="5" t="inlineStr">
        <is>
          <t>https://www.xiaohongshu.com/discovery/item/69650fc200000000220219b6?xsec_token=CBsKz0L-ccQUC4L6ViFUpYr1HKKzKR6S8ZPEGGvTKSfso=&amp;xsec_source=app_share&amp;type=video</t>
        </is>
      </c>
      <c r="G117" s="5" t="inlineStr">
        <is>
          <t>0001A1</t>
        </is>
      </c>
      <c r="H117" s="5" t="inlineStr">
        <is>
          <t>口播</t>
        </is>
      </c>
      <c r="I117" s="5" t="n"/>
      <c r="J117" s="5" t="n"/>
      <c r="K117" s="5" t="n">
        <v>107.5</v>
      </c>
      <c r="L117" s="5" t="n">
        <v>19841</v>
      </c>
      <c r="M117" s="5" t="n">
        <v>2045</v>
      </c>
      <c r="N117" s="5" t="n">
        <v>418</v>
      </c>
      <c r="O117" s="5" t="n">
        <v>39</v>
      </c>
      <c r="P117" s="8">
        <f>IF(AND(M117&lt;&gt;"",M117&gt;0),M117+N117+O117,"")</f>
        <v/>
      </c>
      <c r="Q117" s="11">
        <f>IF(AND(L117&lt;&gt;"",L117&gt;0,P117&lt;&gt;""),P117/L117,"")</f>
        <v/>
      </c>
      <c r="R117" s="16">
        <f>IF(AND(P117&lt;&gt;"",P117&gt;0),(I117+J117+K117)/P117,"")</f>
        <v/>
      </c>
    </row>
    <row r="118" ht="27" customHeight="1">
      <c r="A118" s="5" t="inlineStr">
        <is>
          <t>2026-01-13</t>
        </is>
      </c>
      <c r="B118" s="5" t="inlineStr">
        <is>
          <t>3周</t>
        </is>
      </c>
      <c r="C118" s="5" t="inlineStr">
        <is>
          <t>抖音</t>
        </is>
      </c>
      <c r="D118" s="5" t="n"/>
      <c r="E118" s="5" t="n"/>
      <c r="F118" s="5" t="inlineStr">
        <is>
          <t>https://v.douyin.com/yqBWta0XJew/</t>
        </is>
      </c>
      <c r="G118" s="5" t="inlineStr">
        <is>
          <t>495</t>
        </is>
      </c>
      <c r="H118" s="5" t="inlineStr">
        <is>
          <t>好物分享</t>
        </is>
      </c>
      <c r="I118" s="5" t="n"/>
      <c r="J118" s="5" t="n"/>
      <c r="K118" s="5" t="n">
        <v>93</v>
      </c>
      <c r="L118" s="5" t="n">
        <v>9900</v>
      </c>
      <c r="M118" s="5" t="n">
        <v>341</v>
      </c>
      <c r="N118" s="5" t="n">
        <v>172</v>
      </c>
      <c r="O118" s="5" t="n">
        <v>8</v>
      </c>
      <c r="P118" s="8">
        <f>IF(AND(M118&lt;&gt;"",M118&gt;0),M118+N118+O118,"")</f>
        <v/>
      </c>
      <c r="Q118" s="11">
        <f>IF(AND(L118&lt;&gt;"",L118&gt;0,P118&lt;&gt;""),P118/L118,"")</f>
        <v/>
      </c>
      <c r="R118" s="16">
        <f>IF(AND(P118&lt;&gt;"",P118&gt;0),(I118+J118+K118)/P118,"")</f>
        <v/>
      </c>
    </row>
    <row r="119" ht="27" customHeight="1">
      <c r="A119" s="5" t="inlineStr">
        <is>
          <t>2026-01-13</t>
        </is>
      </c>
      <c r="B119" s="5" t="inlineStr">
        <is>
          <t>3周</t>
        </is>
      </c>
      <c r="C119" s="5" t="inlineStr">
        <is>
          <t>抖音</t>
        </is>
      </c>
      <c r="D119" s="5" t="n"/>
      <c r="E119" s="5" t="n"/>
      <c r="F119" s="5" t="inlineStr">
        <is>
          <t>https://v.douyin.com/BWdwboSRUSQ/</t>
        </is>
      </c>
      <c r="G119" s="5" t="inlineStr">
        <is>
          <t>1217W</t>
        </is>
      </c>
      <c r="H119" s="5" t="inlineStr">
        <is>
          <t>学生</t>
        </is>
      </c>
      <c r="I119" s="5" t="n"/>
      <c r="J119" s="5" t="n"/>
      <c r="K119" s="5" t="n">
        <v>54</v>
      </c>
      <c r="L119" s="5" t="n">
        <v>42000</v>
      </c>
      <c r="M119" s="5" t="n">
        <v>1432</v>
      </c>
      <c r="N119" s="5" t="n">
        <v>53</v>
      </c>
      <c r="O119" s="5" t="n">
        <v>56</v>
      </c>
      <c r="P119" s="8">
        <f>IF(AND(M119&lt;&gt;"",M119&gt;0),M119+N119+O119,"")</f>
        <v/>
      </c>
      <c r="Q119" s="11">
        <f>IF(AND(L119&lt;&gt;"",L119&gt;0,P119&lt;&gt;""),P119/L119,"")</f>
        <v/>
      </c>
      <c r="R119" s="16">
        <f>IF(AND(P119&lt;&gt;"",P119&gt;0),(I119+J119+K119)/P119,"")</f>
        <v/>
      </c>
    </row>
    <row r="120" ht="27" customHeight="1">
      <c r="A120" s="5" t="inlineStr">
        <is>
          <t>2026-01-14</t>
        </is>
      </c>
      <c r="B120" s="5" t="inlineStr">
        <is>
          <t>3周</t>
        </is>
      </c>
      <c r="C120" s="5" t="inlineStr">
        <is>
          <t>抖音</t>
        </is>
      </c>
      <c r="D120" s="5" t="n"/>
      <c r="E120" s="5" t="n"/>
      <c r="F120" s="5" t="inlineStr">
        <is>
          <t>https://v.douyin.com/M5o8gwlHSCw/</t>
        </is>
      </c>
      <c r="G120" s="5" t="inlineStr">
        <is>
          <t>495</t>
        </is>
      </c>
      <c r="H120" s="5" t="inlineStr">
        <is>
          <t>好物分享</t>
        </is>
      </c>
      <c r="I120" s="5" t="n"/>
      <c r="J120" s="5" t="n"/>
      <c r="K120" s="5" t="n">
        <v>93</v>
      </c>
      <c r="L120" s="5" t="n">
        <v>30000</v>
      </c>
      <c r="M120" s="5" t="n">
        <v>1114</v>
      </c>
      <c r="N120" s="5" t="n">
        <v>697</v>
      </c>
      <c r="O120" s="5" t="n">
        <v>5</v>
      </c>
      <c r="P120" s="8">
        <f>IF(AND(M120&lt;&gt;"",M120&gt;0),M120+N120+O120,"")</f>
        <v/>
      </c>
      <c r="Q120" s="11">
        <f>IF(AND(L120&lt;&gt;"",L120&gt;0,P120&lt;&gt;""),P120/L120,"")</f>
        <v/>
      </c>
      <c r="R120" s="16">
        <f>IF(AND(P120&lt;&gt;"",P120&gt;0),(I120+J120+K120)/P120,"")</f>
        <v/>
      </c>
    </row>
    <row r="121" ht="27" customHeight="1">
      <c r="A121" s="5" t="inlineStr">
        <is>
          <t>2026-01-14</t>
        </is>
      </c>
      <c r="B121" s="5" t="inlineStr">
        <is>
          <t>3周</t>
        </is>
      </c>
      <c r="C121" s="5" t="inlineStr">
        <is>
          <t>抖音</t>
        </is>
      </c>
      <c r="D121" s="5" t="n"/>
      <c r="E121" s="5" t="n"/>
      <c r="F121" s="5" t="inlineStr">
        <is>
          <t>https://v.douyin.com/2t5ZJYhQvMU/ m@d.NW</t>
        </is>
      </c>
      <c r="G121" s="5" t="inlineStr">
        <is>
          <t>495</t>
        </is>
      </c>
      <c r="H121" s="5" t="inlineStr">
        <is>
          <t>穿搭</t>
        </is>
      </c>
      <c r="I121" s="5" t="n"/>
      <c r="J121" s="5" t="n"/>
      <c r="K121" s="5" t="n">
        <v>93</v>
      </c>
      <c r="L121" s="5" t="n">
        <v>100000</v>
      </c>
      <c r="M121" s="5" t="n">
        <v>2150</v>
      </c>
      <c r="N121" s="5" t="n">
        <v>305</v>
      </c>
      <c r="O121" s="5" t="n">
        <v>33</v>
      </c>
      <c r="P121" s="8">
        <f>IF(AND(M121&lt;&gt;"",M121&gt;0),M121+N121+O121,"")</f>
        <v/>
      </c>
      <c r="Q121" s="11">
        <f>IF(AND(L121&lt;&gt;"",L121&gt;0,P121&lt;&gt;""),P121/L121,"")</f>
        <v/>
      </c>
      <c r="R121" s="16">
        <f>IF(AND(P121&lt;&gt;"",P121&gt;0),(I121+J121+K121)/P121,"")</f>
        <v/>
      </c>
    </row>
    <row r="122" ht="27" customHeight="1">
      <c r="A122" s="5" t="inlineStr">
        <is>
          <t>2026-01-14</t>
        </is>
      </c>
      <c r="B122" s="5" t="inlineStr">
        <is>
          <t>3周</t>
        </is>
      </c>
      <c r="C122" s="5" t="inlineStr">
        <is>
          <t>抖音</t>
        </is>
      </c>
      <c r="D122" s="5" t="n"/>
      <c r="E122" s="5" t="n"/>
      <c r="F122" s="5" t="inlineStr">
        <is>
          <t>https://v.douyin.com/06X1udNZwhA/</t>
        </is>
      </c>
      <c r="G122" s="5" t="inlineStr">
        <is>
          <t>495</t>
        </is>
      </c>
      <c r="H122" s="5" t="inlineStr">
        <is>
          <t>穿搭</t>
        </is>
      </c>
      <c r="I122" s="5" t="n">
        <v>150</v>
      </c>
      <c r="J122" s="5" t="n"/>
      <c r="K122" s="5" t="n">
        <v>93</v>
      </c>
      <c r="L122" s="5" t="n">
        <v>17000</v>
      </c>
      <c r="M122" s="5" t="n">
        <v>825</v>
      </c>
      <c r="N122" s="5" t="n">
        <v>83</v>
      </c>
      <c r="O122" s="5" t="n">
        <v>23</v>
      </c>
      <c r="P122" s="8">
        <f>IF(AND(M122&lt;&gt;"",M122&gt;0),M122+N122+O122,"")</f>
        <v/>
      </c>
      <c r="Q122" s="11">
        <f>IF(AND(L122&lt;&gt;"",L122&gt;0,P122&lt;&gt;""),P122/L122,"")</f>
        <v/>
      </c>
      <c r="R122" s="16">
        <f>IF(AND(P122&lt;&gt;"",P122&gt;0),(I122+J122+K122)/P122,"")</f>
        <v/>
      </c>
    </row>
    <row r="123">
      <c r="A123" s="5" t="inlineStr">
        <is>
          <t>2026-01-14</t>
        </is>
      </c>
      <c r="B123" s="5" t="inlineStr">
        <is>
          <t>3周</t>
        </is>
      </c>
      <c r="C123" s="5" t="inlineStr">
        <is>
          <t>得物</t>
        </is>
      </c>
      <c r="D123" s="5" t="n"/>
      <c r="E123" s="5" t="n"/>
      <c r="F123" s="5" t="inlineStr">
        <is>
          <t>https://dw4.co/t/A/1u5vuRLYv</t>
        </is>
      </c>
      <c r="G123" s="5" t="inlineStr">
        <is>
          <t>1225</t>
        </is>
      </c>
      <c r="H123" s="5" t="inlineStr">
        <is>
          <t>新年好物</t>
        </is>
      </c>
      <c r="I123" s="5" t="n"/>
      <c r="J123" s="5" t="n"/>
      <c r="K123" s="5" t="n">
        <v>55.5</v>
      </c>
      <c r="L123" s="5" t="n">
        <v>350</v>
      </c>
      <c r="M123" s="5" t="n">
        <v>6</v>
      </c>
      <c r="N123" s="5" t="n">
        <v>4</v>
      </c>
      <c r="O123" s="5" t="n">
        <v>0</v>
      </c>
      <c r="P123" s="8">
        <f>IF(AND(M123&lt;&gt;"",M123&gt;0),M123+N123+O123,"")</f>
        <v/>
      </c>
      <c r="Q123" s="11">
        <f>IF(AND(L123&lt;&gt;"",L123&gt;0,P123&lt;&gt;""),P123/L123,"")</f>
        <v/>
      </c>
      <c r="R123" s="16">
        <f>IF(AND(P123&lt;&gt;"",P123&gt;0),(I123+J123+K123)/P123,"")</f>
        <v/>
      </c>
    </row>
    <row r="124" ht="27" customHeight="1">
      <c r="A124" s="5" t="inlineStr">
        <is>
          <t>2026-01-14</t>
        </is>
      </c>
      <c r="B124" s="5" t="inlineStr">
        <is>
          <t>3周</t>
        </is>
      </c>
      <c r="C124" s="5" t="inlineStr">
        <is>
          <t>抖音</t>
        </is>
      </c>
      <c r="D124" s="5" t="n"/>
      <c r="E124" s="5" t="n"/>
      <c r="F124" s="5" t="inlineStr">
        <is>
          <t>https://v.douyin.com/Dq9pxBlkPKg/</t>
        </is>
      </c>
      <c r="G124" s="5" t="inlineStr">
        <is>
          <t>1225</t>
        </is>
      </c>
      <c r="H124" s="5" t="inlineStr">
        <is>
          <t>学生</t>
        </is>
      </c>
      <c r="I124" s="5" t="n">
        <v>100</v>
      </c>
      <c r="J124" s="5" t="n"/>
      <c r="K124" s="5" t="n">
        <v>55.5</v>
      </c>
      <c r="L124" s="5" t="n">
        <v>2449</v>
      </c>
      <c r="M124" s="5" t="n">
        <v>159</v>
      </c>
      <c r="N124" s="5" t="n">
        <v>4</v>
      </c>
      <c r="O124" s="5" t="n">
        <v>13</v>
      </c>
      <c r="P124" s="8">
        <f>IF(AND(M124&lt;&gt;"",M124&gt;0),M124+N124+O124,"")</f>
        <v/>
      </c>
      <c r="Q124" s="11">
        <f>IF(AND(L124&lt;&gt;"",L124&gt;0,P124&lt;&gt;""),P124/L124,"")</f>
        <v/>
      </c>
      <c r="R124" s="16">
        <f>IF(AND(P124&lt;&gt;"",P124&gt;0),(I124+J124+K124)/P124,"")</f>
        <v/>
      </c>
    </row>
    <row r="125" ht="81" customHeight="1">
      <c r="A125" s="5" t="inlineStr">
        <is>
          <t>2026-01-14</t>
        </is>
      </c>
      <c r="B125" s="5" t="inlineStr">
        <is>
          <t>3周</t>
        </is>
      </c>
      <c r="C125" s="5" t="inlineStr">
        <is>
          <t>小红书</t>
        </is>
      </c>
      <c r="D125" s="5" t="n"/>
      <c r="E125" s="5" t="n"/>
      <c r="F125" s="5" t="inlineStr">
        <is>
          <t>https://www.xiaohongshu.com/discovery/item/69673235000000000e03d70a?xsec_token=CBhxsRnQzcTxv0XGoNw8TX0JMr2FoP0uAbh2apdzya6Zg=&amp;xsec_source=app_share&amp;type=video</t>
        </is>
      </c>
      <c r="G125" s="5" t="inlineStr">
        <is>
          <t>495</t>
        </is>
      </c>
      <c r="H125" s="5" t="inlineStr">
        <is>
          <t>穿搭</t>
        </is>
      </c>
      <c r="I125" s="5" t="n"/>
      <c r="J125" s="5" t="n"/>
      <c r="K125" s="5" t="n">
        <v>93</v>
      </c>
      <c r="L125" s="5" t="n">
        <v>617</v>
      </c>
      <c r="M125" s="5" t="n">
        <v>163</v>
      </c>
      <c r="N125" s="5" t="n">
        <v>18</v>
      </c>
      <c r="O125" s="5" t="n">
        <v>7</v>
      </c>
      <c r="P125" s="8">
        <f>IF(AND(M125&lt;&gt;"",M125&gt;0),M125+N125+O125,"")</f>
        <v/>
      </c>
      <c r="Q125" s="11">
        <f>IF(AND(L125&lt;&gt;"",L125&gt;0,P125&lt;&gt;""),P125/L125,"")</f>
        <v/>
      </c>
      <c r="R125" s="16">
        <f>IF(AND(P125&lt;&gt;"",P125&gt;0),(I125+J125+K125)/P125,"")</f>
        <v/>
      </c>
    </row>
    <row r="126" ht="81" customHeight="1">
      <c r="A126" s="5" t="inlineStr">
        <is>
          <t>2026-01-14</t>
        </is>
      </c>
      <c r="B126" s="5" t="inlineStr">
        <is>
          <t>3周</t>
        </is>
      </c>
      <c r="C126" s="5" t="inlineStr">
        <is>
          <t>小红书</t>
        </is>
      </c>
      <c r="D126" s="5" t="n"/>
      <c r="E126" s="5" t="n"/>
      <c r="F126" s="5" t="inlineStr">
        <is>
          <t>https://www.xiaohongshu.com/discovery/item/696760410000000021030b53?xsec_token=CBfIuL8Nt7tKLHqqzgOVx_GIpd8xPSLM-L4k7AJcuxsAw=&amp;xsec_source=app_share&amp;type=video</t>
        </is>
      </c>
      <c r="G126" s="5" t="inlineStr">
        <is>
          <t>495</t>
        </is>
      </c>
      <c r="H126" s="5" t="inlineStr">
        <is>
          <t>穿搭</t>
        </is>
      </c>
      <c r="I126" s="5" t="n"/>
      <c r="J126" s="5" t="n"/>
      <c r="K126" s="5" t="n">
        <v>93</v>
      </c>
      <c r="L126" s="5" t="n">
        <v>777</v>
      </c>
      <c r="M126" s="5" t="n">
        <v>39</v>
      </c>
      <c r="N126" s="5" t="n">
        <v>10</v>
      </c>
      <c r="O126" s="5" t="n">
        <v>9</v>
      </c>
      <c r="P126" s="8">
        <f>IF(AND(M126&lt;&gt;"",M126&gt;0),M126+N126+O126,"")</f>
        <v/>
      </c>
      <c r="Q126" s="11">
        <f>IF(AND(L126&lt;&gt;"",L126&gt;0,P126&lt;&gt;""),P126/L126,"")</f>
        <v/>
      </c>
      <c r="R126" s="16">
        <f>IF(AND(P126&lt;&gt;"",P126&gt;0),(I126+J126+K126)/P126,"")</f>
        <v/>
      </c>
    </row>
    <row r="127" ht="81" customHeight="1">
      <c r="A127" s="5" t="inlineStr">
        <is>
          <t>2026-01-14</t>
        </is>
      </c>
      <c r="B127" s="5" t="inlineStr">
        <is>
          <t>3周</t>
        </is>
      </c>
      <c r="C127" s="5" t="inlineStr">
        <is>
          <t>小红书</t>
        </is>
      </c>
      <c r="D127" s="5" t="n"/>
      <c r="E127" s="5" t="n"/>
      <c r="F127" s="5" t="inlineStr">
        <is>
          <t>https://www.xiaohongshu.com/discovery/item/69677ffd000000000e00e374?xsec_token=CBR70Nmcst88duC6a3d-xHAr5JLvxVsjjYGe3yrOIdN1k=&amp;xsec_source=app_share</t>
        </is>
      </c>
      <c r="G127" s="5" t="inlineStr">
        <is>
          <t>495</t>
        </is>
      </c>
      <c r="H127" s="5" t="inlineStr">
        <is>
          <t>新年好物</t>
        </is>
      </c>
      <c r="I127" s="5" t="n"/>
      <c r="J127" s="5" t="n"/>
      <c r="K127" s="5" t="n">
        <v>93</v>
      </c>
      <c r="L127" s="5" t="n">
        <v>1865</v>
      </c>
      <c r="M127" s="5" t="n">
        <v>238</v>
      </c>
      <c r="N127" s="5" t="n">
        <v>97</v>
      </c>
      <c r="O127" s="5" t="n">
        <v>44</v>
      </c>
      <c r="P127" s="8">
        <f>IF(AND(M127&lt;&gt;"",M127&gt;0),M127+N127+O127,"")</f>
        <v/>
      </c>
      <c r="Q127" s="11">
        <f>IF(AND(L127&lt;&gt;"",L127&gt;0,P127&lt;&gt;""),P127/L127,"")</f>
        <v/>
      </c>
      <c r="R127" s="16">
        <f>IF(AND(P127&lt;&gt;"",P127&gt;0),(I127+J127+K127)/P127,"")</f>
        <v/>
      </c>
    </row>
    <row r="128" ht="27" customHeight="1">
      <c r="A128" s="5" t="inlineStr">
        <is>
          <t>2026-01-15</t>
        </is>
      </c>
      <c r="B128" s="5" t="inlineStr">
        <is>
          <t>3周</t>
        </is>
      </c>
      <c r="C128" s="5" t="inlineStr">
        <is>
          <t>抖音</t>
        </is>
      </c>
      <c r="D128" s="5" t="n"/>
      <c r="E128" s="5" t="n"/>
      <c r="F128" s="5" t="inlineStr">
        <is>
          <t>https://v.douyin.com/Flkv7-3oMJA/</t>
        </is>
      </c>
      <c r="G128" s="5" t="inlineStr">
        <is>
          <t>0001A1</t>
        </is>
      </c>
      <c r="H128" s="5" t="inlineStr">
        <is>
          <t>穿搭</t>
        </is>
      </c>
      <c r="I128" s="5" t="n"/>
      <c r="J128" s="5" t="n"/>
      <c r="K128" s="5" t="n">
        <v>107.5</v>
      </c>
      <c r="L128" s="5" t="n">
        <v>9500</v>
      </c>
      <c r="M128" s="5" t="n">
        <v>700</v>
      </c>
      <c r="N128" s="5" t="n">
        <v>34</v>
      </c>
      <c r="O128" s="5" t="n">
        <v>16</v>
      </c>
      <c r="P128" s="8">
        <f>IF(AND(M128&lt;&gt;"",M128&gt;0),M128+N128+O128,"")</f>
        <v/>
      </c>
      <c r="Q128" s="11">
        <f>IF(AND(L128&lt;&gt;"",L128&gt;0,P128&lt;&gt;""),P128/L128,"")</f>
        <v/>
      </c>
      <c r="R128" s="16">
        <f>IF(AND(P128&lt;&gt;"",P128&gt;0),(I128+J128+K128)/P128,"")</f>
        <v/>
      </c>
    </row>
    <row r="129" ht="81" customHeight="1">
      <c r="A129" s="5" t="inlineStr">
        <is>
          <t>2026-01-15</t>
        </is>
      </c>
      <c r="B129" s="5" t="inlineStr">
        <is>
          <t>3周</t>
        </is>
      </c>
      <c r="C129" s="5" t="inlineStr">
        <is>
          <t>小红书</t>
        </is>
      </c>
      <c r="D129" s="5" t="n"/>
      <c r="E129" s="5" t="n"/>
      <c r="F129" s="5" t="inlineStr">
        <is>
          <t>https://www.xiaohongshu.com/discovery/item/6968759a000000001a033c93?xsec_token=CB57vPMDw7oJUUw7dt9baF94TYi9DlAfRAvDSaXPNF71E=&amp;xsec_source=app_share&amp;type=video</t>
        </is>
      </c>
      <c r="G129" s="5" t="inlineStr">
        <is>
          <t>495</t>
        </is>
      </c>
      <c r="H129" s="5" t="inlineStr">
        <is>
          <t>穿搭</t>
        </is>
      </c>
      <c r="I129" s="5" t="n"/>
      <c r="J129" s="5" t="n"/>
      <c r="K129" s="5" t="n">
        <v>93</v>
      </c>
      <c r="L129" s="5" t="n">
        <v>403</v>
      </c>
      <c r="M129" s="5" t="n">
        <v>30</v>
      </c>
      <c r="N129" s="5" t="n">
        <v>3</v>
      </c>
      <c r="O129" s="5" t="n">
        <v>0</v>
      </c>
      <c r="P129" s="8">
        <f>IF(AND(M129&lt;&gt;"",M129&gt;0),M129+N129+O129,"")</f>
        <v/>
      </c>
      <c r="Q129" s="11">
        <f>IF(AND(L129&lt;&gt;"",L129&gt;0,P129&lt;&gt;""),P129/L129,"")</f>
        <v/>
      </c>
      <c r="R129" s="16">
        <f>IF(AND(P129&lt;&gt;"",P129&gt;0),(I129+J129+K129)/P129,"")</f>
        <v/>
      </c>
    </row>
    <row r="130" ht="81" customHeight="1">
      <c r="A130" s="5" t="inlineStr">
        <is>
          <t>2026-01-15</t>
        </is>
      </c>
      <c r="B130" s="5" t="inlineStr">
        <is>
          <t>3周</t>
        </is>
      </c>
      <c r="C130" s="5" t="inlineStr">
        <is>
          <t>小红书</t>
        </is>
      </c>
      <c r="D130" s="5" t="n"/>
      <c r="E130" s="5" t="n"/>
      <c r="F130" s="5" t="inlineStr">
        <is>
          <t>https://www.xiaohongshu.com/discovery/item/6968ce190000000022008135?xsec_token=CBqy8-Rqsp2RKKTAyIEdOOFUTzL0n-VicmFphar_huUoQ=&amp;xsec_source=app_share&amp;type=video</t>
        </is>
      </c>
      <c r="G130" s="5" t="inlineStr">
        <is>
          <t>495</t>
        </is>
      </c>
      <c r="H130" s="5" t="inlineStr">
        <is>
          <t>穿搭</t>
        </is>
      </c>
      <c r="I130" s="5" t="n">
        <v>650</v>
      </c>
      <c r="J130" s="5" t="n"/>
      <c r="K130" s="5" t="n">
        <v>93</v>
      </c>
      <c r="L130" s="5" t="n">
        <v>19646</v>
      </c>
      <c r="M130" s="5" t="n">
        <v>1415</v>
      </c>
      <c r="N130" s="5" t="n">
        <v>398</v>
      </c>
      <c r="O130" s="5" t="n">
        <v>46</v>
      </c>
      <c r="P130" s="8">
        <f>IF(AND(M130&lt;&gt;"",M130&gt;0),M130+N130+O130,"")</f>
        <v/>
      </c>
      <c r="Q130" s="11">
        <f>IF(AND(L130&lt;&gt;"",L130&gt;0,P130&lt;&gt;""),P130/L130,"")</f>
        <v/>
      </c>
      <c r="R130" s="16">
        <f>IF(AND(P130&lt;&gt;"",P130&gt;0),(I130+J130+K130)/P130,"")</f>
        <v/>
      </c>
    </row>
    <row r="131" ht="27" customHeight="1">
      <c r="A131" s="5" t="inlineStr">
        <is>
          <t>2026-01-16</t>
        </is>
      </c>
      <c r="B131" s="5" t="inlineStr">
        <is>
          <t>3周</t>
        </is>
      </c>
      <c r="C131" s="5" t="inlineStr">
        <is>
          <t>抖音</t>
        </is>
      </c>
      <c r="D131" s="5" t="n"/>
      <c r="E131" s="5" t="n"/>
      <c r="F131" s="5" t="inlineStr">
        <is>
          <t>https://v.douyin.com/UzewA3A1uiI/</t>
        </is>
      </c>
      <c r="G131" s="5" t="inlineStr">
        <is>
          <t>1172W</t>
        </is>
      </c>
      <c r="H131" s="5" t="inlineStr">
        <is>
          <t>学生</t>
        </is>
      </c>
      <c r="I131" s="5" t="n"/>
      <c r="J131" s="5" t="n"/>
      <c r="K131" s="5" t="n">
        <v>57.5</v>
      </c>
      <c r="L131" s="5" t="n">
        <v>2624</v>
      </c>
      <c r="M131" s="5" t="n">
        <v>233</v>
      </c>
      <c r="N131" s="5" t="n">
        <v>4</v>
      </c>
      <c r="O131" s="5" t="n">
        <v>23</v>
      </c>
      <c r="P131" s="8">
        <f>IF(AND(M131&lt;&gt;"",M131&gt;0),M131+N131+O131,"")</f>
        <v/>
      </c>
      <c r="Q131" s="11">
        <f>IF(AND(L131&lt;&gt;"",L131&gt;0,P131&lt;&gt;""),P131/L131,"")</f>
        <v/>
      </c>
      <c r="R131" s="16">
        <f>IF(AND(P131&lt;&gt;"",P131&gt;0),(I131+J131+K131)/P131,"")</f>
        <v/>
      </c>
    </row>
    <row r="132" ht="27" customHeight="1">
      <c r="A132" s="5" t="inlineStr">
        <is>
          <t>2026-01-16</t>
        </is>
      </c>
      <c r="B132" s="5" t="inlineStr">
        <is>
          <t>3周</t>
        </is>
      </c>
      <c r="C132" s="5" t="inlineStr">
        <is>
          <t>抖音</t>
        </is>
      </c>
      <c r="D132" s="5" t="n"/>
      <c r="E132" s="5" t="n"/>
      <c r="F132" s="5" t="inlineStr">
        <is>
          <t>https://v.douyin.com/ebTwyLGvzuE/</t>
        </is>
      </c>
      <c r="G132" s="5" t="inlineStr">
        <is>
          <t>1172W</t>
        </is>
      </c>
      <c r="H132" s="5" t="inlineStr">
        <is>
          <t>学生</t>
        </is>
      </c>
      <c r="I132" s="5" t="n"/>
      <c r="J132" s="5" t="n"/>
      <c r="K132" s="5" t="n">
        <v>57.5</v>
      </c>
      <c r="L132" s="5" t="n">
        <v>1429</v>
      </c>
      <c r="M132" s="5" t="n">
        <v>73</v>
      </c>
      <c r="N132" s="5" t="n">
        <v>1</v>
      </c>
      <c r="O132" s="5" t="n">
        <v>2</v>
      </c>
      <c r="P132" s="8">
        <f>IF(AND(M132&lt;&gt;"",M132&gt;0),M132+N132+O132,"")</f>
        <v/>
      </c>
      <c r="Q132" s="11">
        <f>IF(AND(L132&lt;&gt;"",L132&gt;0,P132&lt;&gt;""),P132/L132,"")</f>
        <v/>
      </c>
      <c r="R132" s="16">
        <f>IF(AND(P132&lt;&gt;"",P132&gt;0),(I132+J132+K132)/P132,"")</f>
        <v/>
      </c>
    </row>
    <row r="133" ht="27" customHeight="1">
      <c r="A133" s="5" t="inlineStr">
        <is>
          <t>2026-01-16</t>
        </is>
      </c>
      <c r="B133" s="5" t="inlineStr">
        <is>
          <t>3周</t>
        </is>
      </c>
      <c r="C133" s="5" t="inlineStr">
        <is>
          <t>抖音</t>
        </is>
      </c>
      <c r="D133" s="5" t="n"/>
      <c r="E133" s="5" t="n"/>
      <c r="F133" s="5" t="inlineStr">
        <is>
          <t>https://v.douyin.com/ssyOshQF_E4/</t>
        </is>
      </c>
      <c r="G133" s="5" t="inlineStr">
        <is>
          <t>495</t>
        </is>
      </c>
      <c r="H133" s="5" t="inlineStr">
        <is>
          <t>新年好物</t>
        </is>
      </c>
      <c r="I133" s="5" t="n"/>
      <c r="J133" s="5" t="n"/>
      <c r="K133" s="5" t="n">
        <v>93</v>
      </c>
      <c r="L133" s="5" t="n">
        <v>13000</v>
      </c>
      <c r="M133" s="5" t="n">
        <v>1472</v>
      </c>
      <c r="N133" s="5" t="n">
        <v>185</v>
      </c>
      <c r="O133" s="5" t="n">
        <v>48</v>
      </c>
      <c r="P133" s="8">
        <f>IF(AND(M133&lt;&gt;"",M133&gt;0),M133+N133+O133,"")</f>
        <v/>
      </c>
      <c r="Q133" s="11">
        <f>IF(AND(L133&lt;&gt;"",L133&gt;0,P133&lt;&gt;""),P133/L133,"")</f>
        <v/>
      </c>
      <c r="R133" s="16">
        <f>IF(AND(P133&lt;&gt;"",P133&gt;0),(I133+J133+K133)/P133,"")</f>
        <v/>
      </c>
    </row>
    <row r="134" ht="27" customHeight="1">
      <c r="A134" s="5" t="inlineStr">
        <is>
          <t>2026-01-16</t>
        </is>
      </c>
      <c r="B134" s="5" t="inlineStr">
        <is>
          <t>3周</t>
        </is>
      </c>
      <c r="C134" s="5" t="inlineStr">
        <is>
          <t>抖音</t>
        </is>
      </c>
      <c r="D134" s="5" t="n"/>
      <c r="E134" s="5" t="n"/>
      <c r="F134" s="5" t="inlineStr">
        <is>
          <t>https://v.douyin.com/y92qgvjQ4yE/</t>
        </is>
      </c>
      <c r="G134" s="5" t="inlineStr">
        <is>
          <t>1217W</t>
        </is>
      </c>
      <c r="H134" s="5" t="inlineStr">
        <is>
          <t>学生</t>
        </is>
      </c>
      <c r="I134" s="5" t="n"/>
      <c r="J134" s="5" t="n"/>
      <c r="K134" s="5" t="n">
        <v>54</v>
      </c>
      <c r="L134" s="5" t="n">
        <v>147000</v>
      </c>
      <c r="M134" s="5" t="n">
        <v>4756</v>
      </c>
      <c r="N134" s="5" t="n">
        <v>748</v>
      </c>
      <c r="O134" s="5" t="n">
        <v>50</v>
      </c>
      <c r="P134" s="8">
        <f>IF(AND(M134&lt;&gt;"",M134&gt;0),M134+N134+O134,"")</f>
        <v/>
      </c>
      <c r="Q134" s="11">
        <f>IF(AND(L134&lt;&gt;"",L134&gt;0,P134&lt;&gt;""),P134/L134,"")</f>
        <v/>
      </c>
      <c r="R134" s="16">
        <f>IF(AND(P134&lt;&gt;"",P134&gt;0),(I134+J134+K134)/P134,"")</f>
        <v/>
      </c>
    </row>
    <row r="135" ht="27" customHeight="1">
      <c r="A135" s="5" t="inlineStr">
        <is>
          <t>2026-01-16</t>
        </is>
      </c>
      <c r="B135" s="5" t="inlineStr">
        <is>
          <t>3周</t>
        </is>
      </c>
      <c r="C135" s="5" t="inlineStr">
        <is>
          <t>抖音</t>
        </is>
      </c>
      <c r="D135" s="5" t="n"/>
      <c r="E135" s="5" t="n"/>
      <c r="F135" s="5" t="inlineStr">
        <is>
          <t>https://v.douyin.com/b5tjefxSNX8/</t>
        </is>
      </c>
      <c r="G135" s="5" t="inlineStr">
        <is>
          <t>495</t>
        </is>
      </c>
      <c r="H135" s="5" t="inlineStr">
        <is>
          <t>穿搭</t>
        </is>
      </c>
      <c r="I135" s="5" t="n">
        <v>300</v>
      </c>
      <c r="J135" s="5" t="n"/>
      <c r="K135" s="5" t="n">
        <v>93</v>
      </c>
      <c r="L135" s="5" t="n">
        <v>64000</v>
      </c>
      <c r="M135" s="5" t="n">
        <v>1188</v>
      </c>
      <c r="N135" s="5" t="n">
        <v>401</v>
      </c>
      <c r="O135" s="5" t="n">
        <v>40</v>
      </c>
      <c r="P135" s="8">
        <f>IF(AND(M135&lt;&gt;"",M135&gt;0),M135+N135+O135,"")</f>
        <v/>
      </c>
      <c r="Q135" s="11">
        <f>IF(AND(L135&lt;&gt;"",L135&gt;0,P135&lt;&gt;""),P135/L135,"")</f>
        <v/>
      </c>
      <c r="R135" s="16">
        <f>IF(AND(P135&lt;&gt;"",P135&gt;0),(I135+J135+K135)/P135,"")</f>
        <v/>
      </c>
    </row>
    <row r="136" ht="27" customHeight="1">
      <c r="A136" s="5" t="inlineStr">
        <is>
          <t>2026-01-16</t>
        </is>
      </c>
      <c r="B136" s="5" t="inlineStr">
        <is>
          <t>3周</t>
        </is>
      </c>
      <c r="C136" s="5" t="inlineStr">
        <is>
          <t>抖音</t>
        </is>
      </c>
      <c r="D136" s="5" t="n"/>
      <c r="E136" s="5" t="n"/>
      <c r="F136" s="5" t="inlineStr">
        <is>
          <t>https://v.douyin.com/dY0Vs1jSszY/</t>
        </is>
      </c>
      <c r="G136" s="5" t="inlineStr">
        <is>
          <t>489Y</t>
        </is>
      </c>
      <c r="H136" s="5" t="inlineStr">
        <is>
          <t>赵露思</t>
        </is>
      </c>
      <c r="I136" s="5" t="n"/>
      <c r="J136" s="5" t="n"/>
      <c r="K136" s="5" t="n">
        <v>53.5</v>
      </c>
      <c r="L136" s="5" t="n">
        <v>1299</v>
      </c>
      <c r="M136" s="5" t="n">
        <v>272</v>
      </c>
      <c r="N136" s="5" t="n">
        <v>5</v>
      </c>
      <c r="O136" s="5" t="n">
        <v>10</v>
      </c>
      <c r="P136" s="8">
        <f>IF(AND(M136&lt;&gt;"",M136&gt;0),M136+N136+O136,"")</f>
        <v/>
      </c>
      <c r="Q136" s="11">
        <f>IF(AND(L136&lt;&gt;"",L136&gt;0,P136&lt;&gt;""),P136/L136,"")</f>
        <v/>
      </c>
      <c r="R136" s="16">
        <f>IF(AND(P136&lt;&gt;"",P136&gt;0),(I136+J136+K136)/P136,"")</f>
        <v/>
      </c>
    </row>
    <row r="137" ht="27" customHeight="1">
      <c r="A137" s="5" t="inlineStr">
        <is>
          <t>2026-01-16</t>
        </is>
      </c>
      <c r="B137" s="5" t="inlineStr">
        <is>
          <t>3周</t>
        </is>
      </c>
      <c r="C137" s="5" t="inlineStr">
        <is>
          <t>抖音</t>
        </is>
      </c>
      <c r="D137" s="5" t="n"/>
      <c r="E137" s="5" t="n"/>
      <c r="F137" s="5" t="inlineStr">
        <is>
          <t>https://v.douyin.com/RYOCqS9X-j0/</t>
        </is>
      </c>
      <c r="G137" s="5" t="inlineStr">
        <is>
          <t>0001A1</t>
        </is>
      </c>
      <c r="H137" s="5" t="inlineStr">
        <is>
          <t>口播</t>
        </is>
      </c>
      <c r="I137" s="5" t="n">
        <v>100</v>
      </c>
      <c r="J137" s="5" t="n"/>
      <c r="K137" s="5" t="n">
        <v>107.5</v>
      </c>
      <c r="L137" s="5" t="n">
        <v>6551</v>
      </c>
      <c r="M137" s="5" t="n">
        <v>227</v>
      </c>
      <c r="N137" s="5" t="n">
        <v>28</v>
      </c>
      <c r="O137" s="5" t="n">
        <v>48</v>
      </c>
      <c r="P137" s="8">
        <f>IF(AND(M137&lt;&gt;"",M137&gt;0),M137+N137+O137,"")</f>
        <v/>
      </c>
      <c r="Q137" s="11">
        <f>IF(AND(L137&lt;&gt;"",L137&gt;0,P137&lt;&gt;""),P137/L137,"")</f>
        <v/>
      </c>
      <c r="R137" s="16">
        <f>IF(AND(P137&lt;&gt;"",P137&gt;0),(I137+J137+K137)/P137,"")</f>
        <v/>
      </c>
    </row>
    <row r="138" ht="81" customHeight="1">
      <c r="A138" s="5" t="inlineStr">
        <is>
          <t>2026-01-16</t>
        </is>
      </c>
      <c r="B138" s="5" t="inlineStr">
        <is>
          <t>3周</t>
        </is>
      </c>
      <c r="C138" s="5" t="inlineStr">
        <is>
          <t>小红书</t>
        </is>
      </c>
      <c r="D138" s="5" t="n"/>
      <c r="E138" s="5" t="n"/>
      <c r="F138" s="5" t="inlineStr">
        <is>
          <t>https://www.xiaohongshu.com/discovery/item/6969ea40000000002202380c?xsec_token=CBbK6jWF-sSij9-0rm0YCQkr-wTOD4FX-v1NGE9oltonM=&amp;xsec_source=app_share&amp;type=video</t>
        </is>
      </c>
      <c r="G138" s="5" t="inlineStr">
        <is>
          <t>495</t>
        </is>
      </c>
      <c r="H138" s="5" t="inlineStr">
        <is>
          <t>穿搭</t>
        </is>
      </c>
      <c r="I138" s="5" t="n">
        <v>150</v>
      </c>
      <c r="J138" s="5" t="n"/>
      <c r="K138" s="5" t="n">
        <v>93</v>
      </c>
      <c r="L138" s="5" t="n">
        <v>6141</v>
      </c>
      <c r="M138" s="5" t="n">
        <v>435</v>
      </c>
      <c r="N138" s="5" t="n">
        <v>102</v>
      </c>
      <c r="O138" s="5" t="n">
        <v>18</v>
      </c>
      <c r="P138" s="8">
        <f>IF(AND(M138&lt;&gt;"",M138&gt;0),M138+N138+O138,"")</f>
        <v/>
      </c>
      <c r="Q138" s="11">
        <f>IF(AND(L138&lt;&gt;"",L138&gt;0,P138&lt;&gt;""),P138/L138,"")</f>
        <v/>
      </c>
      <c r="R138" s="16">
        <f>IF(AND(P138&lt;&gt;"",P138&gt;0),(I138+J138+K138)/P138,"")</f>
        <v/>
      </c>
    </row>
    <row r="139" ht="81" customHeight="1">
      <c r="A139" s="5" t="inlineStr">
        <is>
          <t>2026-01-16</t>
        </is>
      </c>
      <c r="B139" s="5" t="inlineStr">
        <is>
          <t>3周</t>
        </is>
      </c>
      <c r="C139" s="5" t="inlineStr">
        <is>
          <t>小红书</t>
        </is>
      </c>
      <c r="D139" s="5" t="n"/>
      <c r="E139" s="5" t="n"/>
      <c r="F139" s="5" t="inlineStr">
        <is>
          <t>https://www.xiaohongshu.com/discovery/item/696a20ff000000000a032c34?xsec_token=CBdLiO6P8STeMjtFk-qddOK-ZljuCHGBPIKmKaeGJNA5M=&amp;xsec_source=app_share&amp;type=video</t>
        </is>
      </c>
      <c r="G139" s="5" t="inlineStr">
        <is>
          <t>0001A1</t>
        </is>
      </c>
      <c r="H139" s="5" t="inlineStr">
        <is>
          <t>秦彻</t>
        </is>
      </c>
      <c r="I139" s="5" t="n"/>
      <c r="J139" s="5" t="n"/>
      <c r="K139" s="5" t="n">
        <v>107.5</v>
      </c>
      <c r="L139" s="5" t="n">
        <v>3464</v>
      </c>
      <c r="M139" s="5" t="n">
        <v>264</v>
      </c>
      <c r="N139" s="5" t="n">
        <v>11</v>
      </c>
      <c r="O139" s="5" t="n">
        <v>16</v>
      </c>
      <c r="P139" s="8">
        <f>IF(AND(M139&lt;&gt;"",M139&gt;0),M139+N139+O139,"")</f>
        <v/>
      </c>
      <c r="Q139" s="11">
        <f>IF(AND(L139&lt;&gt;"",L139&gt;0,P139&lt;&gt;""),P139/L139,"")</f>
        <v/>
      </c>
      <c r="R139" s="16">
        <f>IF(AND(P139&lt;&gt;"",P139&gt;0),(I139+J139+K139)/P139,"")</f>
        <v/>
      </c>
    </row>
    <row r="140" ht="27" customHeight="1">
      <c r="A140" s="5" t="inlineStr">
        <is>
          <t>2026-01-17</t>
        </is>
      </c>
      <c r="B140" s="5" t="inlineStr">
        <is>
          <t>3周</t>
        </is>
      </c>
      <c r="C140" s="5" t="inlineStr">
        <is>
          <t>抖音</t>
        </is>
      </c>
      <c r="D140" s="5" t="n"/>
      <c r="E140" s="5" t="n"/>
      <c r="F140" s="5" t="inlineStr">
        <is>
          <t>https://v.douyin.com/9WqKe9hRHG8/</t>
        </is>
      </c>
      <c r="G140" s="5" t="inlineStr">
        <is>
          <t>1217W</t>
        </is>
      </c>
      <c r="H140" s="5" t="inlineStr">
        <is>
          <t>学生</t>
        </is>
      </c>
      <c r="I140" s="5" t="n">
        <v>111</v>
      </c>
      <c r="J140" s="5" t="n"/>
      <c r="K140" s="5" t="n">
        <v>54</v>
      </c>
      <c r="L140" s="5" t="n">
        <v>5298</v>
      </c>
      <c r="M140" s="5" t="n">
        <v>343</v>
      </c>
      <c r="N140" s="5" t="n">
        <v>6</v>
      </c>
      <c r="O140" s="5" t="n">
        <v>31</v>
      </c>
      <c r="P140" s="8">
        <f>IF(AND(M140&lt;&gt;"",M140&gt;0),M140+N140+O140,"")</f>
        <v/>
      </c>
      <c r="Q140" s="11">
        <f>IF(AND(L140&lt;&gt;"",L140&gt;0,P140&lt;&gt;""),P140/L140,"")</f>
        <v/>
      </c>
      <c r="R140" s="16">
        <f>IF(AND(P140&lt;&gt;"",P140&gt;0),(I140+J140+K140)/P140,"")</f>
        <v/>
      </c>
    </row>
    <row r="141" ht="27" customHeight="1">
      <c r="A141" s="5" t="inlineStr">
        <is>
          <t>2026-01-17</t>
        </is>
      </c>
      <c r="B141" s="5" t="inlineStr">
        <is>
          <t>3周</t>
        </is>
      </c>
      <c r="C141" s="5" t="inlineStr">
        <is>
          <t>抖音</t>
        </is>
      </c>
      <c r="D141" s="5" t="n"/>
      <c r="E141" s="5" t="n"/>
      <c r="F141" s="5" t="inlineStr">
        <is>
          <t>https://v.douyin.com/ueMwPUkvVeA/</t>
        </is>
      </c>
      <c r="G141" s="5" t="inlineStr">
        <is>
          <t>495</t>
        </is>
      </c>
      <c r="H141" s="5" t="inlineStr">
        <is>
          <t>穿搭</t>
        </is>
      </c>
      <c r="I141" s="5" t="n">
        <v>50</v>
      </c>
      <c r="J141" s="5" t="n"/>
      <c r="K141" s="5" t="n">
        <v>93</v>
      </c>
      <c r="L141" s="5" t="n">
        <v>13000</v>
      </c>
      <c r="M141" s="5" t="n">
        <v>1039</v>
      </c>
      <c r="N141" s="5" t="n">
        <v>42</v>
      </c>
      <c r="O141" s="5" t="n">
        <v>19</v>
      </c>
      <c r="P141" s="8">
        <f>IF(AND(M141&lt;&gt;"",M141&gt;0),M141+N141+O141,"")</f>
        <v/>
      </c>
      <c r="Q141" s="11">
        <f>IF(AND(L141&lt;&gt;"",L141&gt;0,P141&lt;&gt;""),P141/L141,"")</f>
        <v/>
      </c>
      <c r="R141" s="16">
        <f>IF(AND(P141&lt;&gt;"",P141&gt;0),(I141+J141+K141)/P141,"")</f>
        <v/>
      </c>
    </row>
    <row r="142" ht="27" customHeight="1">
      <c r="A142" s="5" t="inlineStr">
        <is>
          <t>2026-01-17</t>
        </is>
      </c>
      <c r="B142" s="5" t="inlineStr">
        <is>
          <t>3周</t>
        </is>
      </c>
      <c r="C142" s="5" t="inlineStr">
        <is>
          <t>抖音</t>
        </is>
      </c>
      <c r="D142" s="5" t="n"/>
      <c r="E142" s="5" t="n"/>
      <c r="F142" s="5" t="inlineStr">
        <is>
          <t>https://v.douyin.com/HpSK2gauRxs/</t>
        </is>
      </c>
      <c r="G142" s="5" t="inlineStr">
        <is>
          <t>0001A1</t>
        </is>
      </c>
      <c r="H142" s="5" t="inlineStr">
        <is>
          <t>文严文</t>
        </is>
      </c>
      <c r="I142" s="5" t="n">
        <v>300</v>
      </c>
      <c r="J142" s="5" t="n"/>
      <c r="K142" s="5" t="n">
        <v>107.5</v>
      </c>
      <c r="L142" s="5" t="n">
        <v>35000</v>
      </c>
      <c r="M142" s="5" t="n">
        <v>1935</v>
      </c>
      <c r="N142" s="5" t="n">
        <v>354</v>
      </c>
      <c r="O142" s="5" t="n">
        <v>54</v>
      </c>
      <c r="P142" s="8">
        <f>IF(AND(M142&lt;&gt;"",M142&gt;0),M142+N142+O142,"")</f>
        <v/>
      </c>
      <c r="Q142" s="11">
        <f>IF(AND(L142&lt;&gt;"",L142&gt;0,P142&lt;&gt;""),P142/L142,"")</f>
        <v/>
      </c>
      <c r="R142" s="16">
        <f>IF(AND(P142&lt;&gt;"",P142&gt;0),(I142+J142+K142)/P142,"")</f>
        <v/>
      </c>
    </row>
    <row r="143" ht="27" customHeight="1">
      <c r="A143" s="5" t="inlineStr">
        <is>
          <t>2026-01-17</t>
        </is>
      </c>
      <c r="B143" s="5" t="inlineStr">
        <is>
          <t>3周</t>
        </is>
      </c>
      <c r="C143" s="5" t="inlineStr">
        <is>
          <t>抖音</t>
        </is>
      </c>
      <c r="D143" s="5" t="n"/>
      <c r="E143" s="5" t="n"/>
      <c r="F143" s="5" t="inlineStr">
        <is>
          <t>https://v.douyin.com/Qj0teVpotVM/</t>
        </is>
      </c>
      <c r="G143" s="5" t="inlineStr">
        <is>
          <t>0001A1</t>
        </is>
      </c>
      <c r="H143" s="5" t="inlineStr">
        <is>
          <t>穿搭</t>
        </is>
      </c>
      <c r="I143" s="5" t="n"/>
      <c r="J143" s="5" t="n"/>
      <c r="K143" s="5" t="n">
        <v>107.5</v>
      </c>
      <c r="L143" s="5" t="n">
        <v>13000</v>
      </c>
      <c r="M143" s="5" t="n">
        <v>340</v>
      </c>
      <c r="N143" s="5" t="n">
        <v>43</v>
      </c>
      <c r="O143" s="5" t="n">
        <v>25</v>
      </c>
      <c r="P143" s="8">
        <f>IF(AND(M143&lt;&gt;"",M143&gt;0),M143+N143+O143,"")</f>
        <v/>
      </c>
      <c r="Q143" s="11">
        <f>IF(AND(L143&lt;&gt;"",L143&gt;0,P143&lt;&gt;""),P143/L143,"")</f>
        <v/>
      </c>
      <c r="R143" s="16">
        <f>IF(AND(P143&lt;&gt;"",P143&gt;0),(I143+J143+K143)/P143,"")</f>
        <v/>
      </c>
    </row>
    <row r="144" ht="27" customHeight="1">
      <c r="A144" s="5" t="inlineStr">
        <is>
          <t>2026-01-17</t>
        </is>
      </c>
      <c r="B144" s="5" t="inlineStr">
        <is>
          <t>3周</t>
        </is>
      </c>
      <c r="C144" s="5" t="inlineStr">
        <is>
          <t>抖音</t>
        </is>
      </c>
      <c r="D144" s="5" t="n"/>
      <c r="E144" s="5" t="n"/>
      <c r="F144" s="5" t="inlineStr">
        <is>
          <t>https://v.douyin.com/Xduc1e4uKLk/</t>
        </is>
      </c>
      <c r="G144" s="5" t="inlineStr">
        <is>
          <t>495</t>
        </is>
      </c>
      <c r="H144" s="5" t="inlineStr">
        <is>
          <t>穿搭</t>
        </is>
      </c>
      <c r="I144" s="5" t="n"/>
      <c r="J144" s="5" t="n"/>
      <c r="K144" s="5" t="n">
        <v>93</v>
      </c>
      <c r="L144" s="5" t="n">
        <v>1864000</v>
      </c>
      <c r="M144" s="5" t="n">
        <v>27000</v>
      </c>
      <c r="N144" s="5" t="n">
        <v>8379</v>
      </c>
      <c r="O144" s="5" t="n">
        <v>506</v>
      </c>
      <c r="P144" s="8">
        <f>IF(AND(M144&lt;&gt;"",M144&gt;0),M144+N144+O144,"")</f>
        <v/>
      </c>
      <c r="Q144" s="11">
        <f>IF(AND(L144&lt;&gt;"",L144&gt;0,P144&lt;&gt;""),P144/L144,"")</f>
        <v/>
      </c>
      <c r="R144" s="16">
        <f>IF(AND(P144&lt;&gt;"",P144&gt;0),(I144+J144+K144)/P144,"")</f>
        <v/>
      </c>
    </row>
    <row r="145" ht="27" customHeight="1">
      <c r="A145" s="5" t="inlineStr">
        <is>
          <t>2026-01-17</t>
        </is>
      </c>
      <c r="B145" s="5" t="inlineStr">
        <is>
          <t>3周</t>
        </is>
      </c>
      <c r="C145" s="5" t="inlineStr">
        <is>
          <t>抖音</t>
        </is>
      </c>
      <c r="D145" s="5" t="n"/>
      <c r="E145" s="5" t="n"/>
      <c r="F145" s="5" t="inlineStr">
        <is>
          <t>https://v.douyin.com/EmbxFtETDOY/</t>
        </is>
      </c>
      <c r="G145" s="5" t="inlineStr">
        <is>
          <t>495</t>
        </is>
      </c>
      <c r="H145" s="5" t="inlineStr">
        <is>
          <t>穿搭</t>
        </is>
      </c>
      <c r="I145" s="5" t="n"/>
      <c r="J145" s="5" t="n"/>
      <c r="K145" s="5" t="n">
        <v>93</v>
      </c>
      <c r="L145" s="5" t="n">
        <v>13000</v>
      </c>
      <c r="M145" s="5" t="n">
        <v>585</v>
      </c>
      <c r="N145" s="5" t="n">
        <v>95</v>
      </c>
      <c r="O145" s="5" t="n">
        <v>31</v>
      </c>
      <c r="P145" s="8">
        <f>IF(AND(M145&lt;&gt;"",M145&gt;0),M145+N145+O145,"")</f>
        <v/>
      </c>
      <c r="Q145" s="11">
        <f>IF(AND(L145&lt;&gt;"",L145&gt;0,P145&lt;&gt;""),P145/L145,"")</f>
        <v/>
      </c>
      <c r="R145" s="16">
        <f>IF(AND(P145&lt;&gt;"",P145&gt;0),(I145+J145+K145)/P145,"")</f>
        <v/>
      </c>
    </row>
    <row r="146" ht="81" customHeight="1">
      <c r="A146" s="5" t="inlineStr">
        <is>
          <t>2026-01-17</t>
        </is>
      </c>
      <c r="B146" s="5" t="inlineStr">
        <is>
          <t>3周</t>
        </is>
      </c>
      <c r="C146" s="5" t="inlineStr">
        <is>
          <t>小红书</t>
        </is>
      </c>
      <c r="D146" s="5" t="n"/>
      <c r="E146" s="5" t="n"/>
      <c r="F146" s="5" t="inlineStr">
        <is>
          <t>https://www.xiaohongshu.com/discovery/item/696b0950000000001a025a67?xsec_token=CBwu7SDCzy236M2GWI-ZsnohSIexpJslDUOkVMLo98yko=&amp;xsec_source=app_share&amp;type=video</t>
        </is>
      </c>
      <c r="G146" s="5" t="inlineStr">
        <is>
          <t>0001A1</t>
        </is>
      </c>
      <c r="H146" s="5" t="inlineStr">
        <is>
          <t>口播</t>
        </is>
      </c>
      <c r="I146" s="5" t="n">
        <v>100</v>
      </c>
      <c r="J146" s="5" t="n"/>
      <c r="K146" s="5" t="n">
        <v>107.5</v>
      </c>
      <c r="L146" s="5" t="n">
        <v>4409</v>
      </c>
      <c r="M146" s="5" t="n">
        <v>293</v>
      </c>
      <c r="N146" s="5" t="n">
        <v>85</v>
      </c>
      <c r="O146" s="5" t="n">
        <v>18</v>
      </c>
      <c r="P146" s="8">
        <f>IF(AND(M146&lt;&gt;"",M146&gt;0),M146+N146+O146,"")</f>
        <v/>
      </c>
      <c r="Q146" s="11">
        <f>IF(AND(L146&lt;&gt;"",L146&gt;0,P146&lt;&gt;""),P146/L146,"")</f>
        <v/>
      </c>
      <c r="R146" s="16">
        <f>IF(AND(P146&lt;&gt;"",P146&gt;0),(I146+J146+K146)/P146,"")</f>
        <v/>
      </c>
    </row>
    <row r="147" ht="81" customHeight="1">
      <c r="A147" s="5" t="inlineStr">
        <is>
          <t>2026-01-17</t>
        </is>
      </c>
      <c r="B147" s="5" t="inlineStr">
        <is>
          <t>3周</t>
        </is>
      </c>
      <c r="C147" s="5" t="inlineStr">
        <is>
          <t>小红书</t>
        </is>
      </c>
      <c r="D147" s="5" t="n"/>
      <c r="E147" s="5" t="n"/>
      <c r="F147" s="5" t="inlineStr">
        <is>
          <t>https://www.xiaohongshu.com/discovery/item/696b1c1d000000002200a74e?xsec_token=CB1HfxD-0Yu5734uoxHTQEzAlXtBnj1K7O9mbMNpqPeCg=&amp;xsec_source=app_share&amp;type=video</t>
        </is>
      </c>
      <c r="G147" s="5" t="inlineStr">
        <is>
          <t>495</t>
        </is>
      </c>
      <c r="H147" s="5" t="inlineStr">
        <is>
          <t>穿搭</t>
        </is>
      </c>
      <c r="I147" s="5" t="n"/>
      <c r="J147" s="5" t="n"/>
      <c r="K147" s="5" t="n">
        <v>93</v>
      </c>
      <c r="L147" s="5" t="n">
        <v>16337</v>
      </c>
      <c r="M147" s="5" t="n">
        <v>1107</v>
      </c>
      <c r="N147" s="5" t="n">
        <v>345</v>
      </c>
      <c r="O147" s="5" t="n">
        <v>38</v>
      </c>
      <c r="P147" s="8">
        <f>IF(AND(M147&lt;&gt;"",M147&gt;0),M147+N147+O147,"")</f>
        <v/>
      </c>
      <c r="Q147" s="11">
        <f>IF(AND(L147&lt;&gt;"",L147&gt;0,P147&lt;&gt;""),P147/L147,"")</f>
        <v/>
      </c>
      <c r="R147" s="16">
        <f>IF(AND(P147&lt;&gt;"",P147&gt;0),(I147+J147+K147)/P147,"")</f>
        <v/>
      </c>
    </row>
    <row r="148" ht="67.5" customHeight="1">
      <c r="A148" s="5" t="inlineStr">
        <is>
          <t>2026-01-17</t>
        </is>
      </c>
      <c r="B148" s="5" t="inlineStr">
        <is>
          <t>3周</t>
        </is>
      </c>
      <c r="C148" s="5" t="inlineStr">
        <is>
          <t>小红书</t>
        </is>
      </c>
      <c r="D148" s="5" t="n"/>
      <c r="E148" s="5" t="n"/>
      <c r="F148" s="5" t="inlineStr">
        <is>
          <t>https://www.xiaohongshu.com/discovery/item/696b324f000000000d00a9c9?xsec_token=CB1HfxD-0Yu5734uoxHTQEzJkBQH9syWA77hsrNbh_OWU=&amp;xsec_source=app_share</t>
        </is>
      </c>
      <c r="G148" s="5" t="inlineStr">
        <is>
          <t>0001A1</t>
        </is>
      </c>
      <c r="H148" s="5" t="inlineStr">
        <is>
          <t>穿搭</t>
        </is>
      </c>
      <c r="I148" s="5" t="n"/>
      <c r="J148" s="5" t="n"/>
      <c r="K148" s="5" t="n">
        <v>107.5</v>
      </c>
      <c r="L148" s="5" t="n">
        <v>59</v>
      </c>
      <c r="M148" s="5" t="n">
        <v>5</v>
      </c>
      <c r="N148" s="5" t="n">
        <v>1</v>
      </c>
      <c r="O148" s="5" t="n">
        <v>0</v>
      </c>
      <c r="P148" s="8">
        <f>IF(AND(M148&lt;&gt;"",M148&gt;0),M148+N148+O148,"")</f>
        <v/>
      </c>
      <c r="Q148" s="11">
        <f>IF(AND(L148&lt;&gt;"",L148&gt;0,P148&lt;&gt;""),P148/L148,"")</f>
        <v/>
      </c>
      <c r="R148" s="16">
        <f>IF(AND(P148&lt;&gt;"",P148&gt;0),(I148+J148+K148)/P148,"")</f>
        <v/>
      </c>
    </row>
    <row r="149" ht="67.5" customHeight="1">
      <c r="A149" s="5" t="inlineStr">
        <is>
          <t>2026-01-17</t>
        </is>
      </c>
      <c r="B149" s="5" t="inlineStr">
        <is>
          <t>3周</t>
        </is>
      </c>
      <c r="C149" s="5" t="inlineStr">
        <is>
          <t>小红书</t>
        </is>
      </c>
      <c r="D149" s="5" t="n"/>
      <c r="E149" s="5" t="n"/>
      <c r="F149" s="5" t="inlineStr">
        <is>
          <t>https://www.xiaohongshu.com/discovery/item/696b3a200000000022031267?xsec_token=CB1HfxD-0Yu5734uoxHTQEzMaYAVvAKtl5qT3oBGNgkko=&amp;xsec_source=app_share</t>
        </is>
      </c>
      <c r="G149" s="5" t="inlineStr">
        <is>
          <t>495</t>
        </is>
      </c>
      <c r="H149" s="5" t="inlineStr">
        <is>
          <t>李沛恩江衡</t>
        </is>
      </c>
      <c r="I149" s="5" t="n"/>
      <c r="J149" s="5" t="n"/>
      <c r="K149" s="5" t="n">
        <v>93</v>
      </c>
      <c r="L149" s="5" t="n">
        <v>342</v>
      </c>
      <c r="M149" s="5" t="n">
        <v>22</v>
      </c>
      <c r="N149" s="5" t="n">
        <v>2</v>
      </c>
      <c r="O149" s="5" t="n">
        <v>1</v>
      </c>
      <c r="P149" s="8">
        <f>IF(AND(M149&lt;&gt;"",M149&gt;0),M149+N149+O149,"")</f>
        <v/>
      </c>
      <c r="Q149" s="11">
        <f>IF(AND(L149&lt;&gt;"",L149&gt;0,P149&lt;&gt;""),P149/L149,"")</f>
        <v/>
      </c>
      <c r="R149" s="16">
        <f>IF(AND(P149&lt;&gt;"",P149&gt;0),(I149+J149+K149)/P149,"")</f>
        <v/>
      </c>
    </row>
    <row r="150" ht="81" customHeight="1">
      <c r="A150" s="5" t="inlineStr">
        <is>
          <t>2026-01-17</t>
        </is>
      </c>
      <c r="B150" s="5" t="inlineStr">
        <is>
          <t>3周</t>
        </is>
      </c>
      <c r="C150" s="5" t="inlineStr">
        <is>
          <t>小红书</t>
        </is>
      </c>
      <c r="D150" s="5" t="n"/>
      <c r="E150" s="5" t="n"/>
      <c r="F150" s="5" t="inlineStr">
        <is>
          <t>https://www.xiaohongshu.com/discovery/item/696b9887000000001a01e3cf?xsec_token=CB1HfxD-0Yu5734uoxHTQEzKj5Kqw4zLpGO3KmRGBFRpo=&amp;xsec_source=app_share&amp;type=video</t>
        </is>
      </c>
      <c r="G150" s="5" t="inlineStr">
        <is>
          <t>1225</t>
        </is>
      </c>
      <c r="H150" s="5" t="inlineStr">
        <is>
          <t>开箱</t>
        </is>
      </c>
      <c r="I150" s="5" t="n">
        <v>180</v>
      </c>
      <c r="J150" s="5" t="n"/>
      <c r="K150" s="5" t="n">
        <v>55.5</v>
      </c>
      <c r="L150" s="5" t="n">
        <v>11705</v>
      </c>
      <c r="M150" s="5" t="n">
        <v>999</v>
      </c>
      <c r="N150" s="5" t="n">
        <v>116</v>
      </c>
      <c r="O150" s="5" t="n">
        <v>15</v>
      </c>
      <c r="P150" s="8">
        <f>IF(AND(M150&lt;&gt;"",M150&gt;0),M150+N150+O150,"")</f>
        <v/>
      </c>
      <c r="Q150" s="11">
        <f>IF(AND(L150&lt;&gt;"",L150&gt;0,P150&lt;&gt;""),P150/L150,"")</f>
        <v/>
      </c>
      <c r="R150" s="16">
        <f>IF(AND(P150&lt;&gt;"",P150&gt;0),(I150+J150+K150)/P150,"")</f>
        <v/>
      </c>
    </row>
    <row r="151" ht="81" customHeight="1">
      <c r="A151" s="5" t="inlineStr">
        <is>
          <t>2026-01-17</t>
        </is>
      </c>
      <c r="B151" s="5" t="inlineStr">
        <is>
          <t>3周</t>
        </is>
      </c>
      <c r="C151" s="5" t="inlineStr">
        <is>
          <t>小红书</t>
        </is>
      </c>
      <c r="D151" s="5" t="n"/>
      <c r="E151" s="5" t="n"/>
      <c r="F151" s="5" t="inlineStr">
        <is>
          <t>https://www.xiaohongshu.com/discovery/item/696ba467000000000e00fe03?xsec_token=CB1HfxD-0Yu5734uoxHTQEzITDTvBlN0WkZ_tEiFz_YiU=&amp;xsec_source=app_share&amp;type=video</t>
        </is>
      </c>
      <c r="G151" s="5" t="inlineStr">
        <is>
          <t>495</t>
        </is>
      </c>
      <c r="H151" s="5" t="inlineStr">
        <is>
          <t>穿搭</t>
        </is>
      </c>
      <c r="I151" s="5" t="n"/>
      <c r="J151" s="5" t="n"/>
      <c r="K151" s="5" t="n">
        <v>93</v>
      </c>
      <c r="L151" s="5" t="n">
        <v>7459</v>
      </c>
      <c r="M151" s="5" t="n">
        <v>306</v>
      </c>
      <c r="N151" s="5" t="n">
        <v>115</v>
      </c>
      <c r="O151" s="5" t="n">
        <v>12</v>
      </c>
      <c r="P151" s="8">
        <f>IF(AND(M151&lt;&gt;"",M151&gt;0),M151+N151+O151,"")</f>
        <v/>
      </c>
      <c r="Q151" s="11">
        <f>IF(AND(L151&lt;&gt;"",L151&gt;0,P151&lt;&gt;""),P151/L151,"")</f>
        <v/>
      </c>
      <c r="R151" s="16">
        <f>IF(AND(P151&lt;&gt;"",P151&gt;0),(I151+J151+K151)/P151,"")</f>
        <v/>
      </c>
    </row>
    <row r="152" ht="27" customHeight="1">
      <c r="A152" s="5" t="inlineStr">
        <is>
          <t>2026-01-18</t>
        </is>
      </c>
      <c r="B152" s="5" t="inlineStr">
        <is>
          <t>3周</t>
        </is>
      </c>
      <c r="C152" s="5" t="inlineStr">
        <is>
          <t>抖音</t>
        </is>
      </c>
      <c r="D152" s="5" t="n"/>
      <c r="E152" s="5" t="n"/>
      <c r="F152" s="5" t="inlineStr">
        <is>
          <t>https://v.douyin.com/hn83ATNeNus/</t>
        </is>
      </c>
      <c r="G152" s="5" t="inlineStr">
        <is>
          <t>495</t>
        </is>
      </c>
      <c r="H152" s="5" t="inlineStr">
        <is>
          <t>合集</t>
        </is>
      </c>
      <c r="I152" s="5" t="n">
        <v>400</v>
      </c>
      <c r="J152" s="5" t="n"/>
      <c r="K152" s="5" t="n">
        <v>93</v>
      </c>
      <c r="L152" s="5" t="n">
        <v>5824</v>
      </c>
      <c r="M152" s="5" t="n">
        <v>231</v>
      </c>
      <c r="N152" s="5" t="n">
        <v>49</v>
      </c>
      <c r="O152" s="5" t="n">
        <v>7</v>
      </c>
      <c r="P152" s="8">
        <f>IF(AND(M152&lt;&gt;"",M152&gt;0),M152+N152+O152,"")</f>
        <v/>
      </c>
      <c r="Q152" s="11">
        <f>IF(AND(L152&lt;&gt;"",L152&gt;0,P152&lt;&gt;""),P152/L152,"")</f>
        <v/>
      </c>
      <c r="R152" s="16">
        <f>IF(AND(P152&lt;&gt;"",P152&gt;0),(I152+J152+K152)/P152,"")</f>
        <v/>
      </c>
    </row>
    <row r="153" ht="27" customHeight="1">
      <c r="A153" s="5" t="inlineStr">
        <is>
          <t>2026-01-18</t>
        </is>
      </c>
      <c r="B153" s="5" t="inlineStr">
        <is>
          <t>3周</t>
        </is>
      </c>
      <c r="C153" s="5" t="inlineStr">
        <is>
          <t>抖音</t>
        </is>
      </c>
      <c r="D153" s="5" t="n"/>
      <c r="E153" s="5" t="n"/>
      <c r="F153" s="5" t="inlineStr">
        <is>
          <t>https://v.douyin.com/YRtLvqtU35s/</t>
        </is>
      </c>
      <c r="G153" s="5" t="inlineStr">
        <is>
          <t>495</t>
        </is>
      </c>
      <c r="H153" s="5" t="inlineStr">
        <is>
          <t>穿搭</t>
        </is>
      </c>
      <c r="I153" s="5" t="n"/>
      <c r="J153" s="5" t="n"/>
      <c r="K153" s="5" t="n">
        <v>93</v>
      </c>
      <c r="L153" s="5" t="n">
        <v>19000</v>
      </c>
      <c r="M153" s="5" t="n">
        <v>359</v>
      </c>
      <c r="N153" s="5" t="n">
        <v>144</v>
      </c>
      <c r="O153" s="5" t="n">
        <v>25</v>
      </c>
      <c r="P153" s="8">
        <f>IF(AND(M153&lt;&gt;"",M153&gt;0),M153+N153+O153,"")</f>
        <v/>
      </c>
      <c r="Q153" s="11">
        <f>IF(AND(L153&lt;&gt;"",L153&gt;0,P153&lt;&gt;""),P153/L153,"")</f>
        <v/>
      </c>
      <c r="R153" s="16">
        <f>IF(AND(P153&lt;&gt;"",P153&gt;0),(I153+J153+K153)/P153,"")</f>
        <v/>
      </c>
    </row>
    <row r="154" ht="27" customHeight="1">
      <c r="A154" s="5" t="inlineStr">
        <is>
          <t>2026-01-18</t>
        </is>
      </c>
      <c r="B154" s="5" t="inlineStr">
        <is>
          <t>3周</t>
        </is>
      </c>
      <c r="C154" s="5" t="inlineStr">
        <is>
          <t>抖音</t>
        </is>
      </c>
      <c r="D154" s="5" t="n"/>
      <c r="E154" s="5" t="n"/>
      <c r="F154" s="5" t="inlineStr">
        <is>
          <t>https://v.douyin.com/iDNYB0sSMhg/</t>
        </is>
      </c>
      <c r="G154" s="5" t="inlineStr">
        <is>
          <t>1217W</t>
        </is>
      </c>
      <c r="H154" s="5" t="inlineStr">
        <is>
          <t>学生</t>
        </is>
      </c>
      <c r="I154" s="5" t="n"/>
      <c r="J154" s="5" t="n"/>
      <c r="K154" s="5" t="n">
        <v>54</v>
      </c>
      <c r="L154" s="5" t="n">
        <v>100000</v>
      </c>
      <c r="M154" s="5" t="n">
        <v>12000</v>
      </c>
      <c r="N154" s="5" t="n">
        <v>1677</v>
      </c>
      <c r="O154" s="5" t="n">
        <v>114</v>
      </c>
      <c r="P154" s="8">
        <f>IF(AND(M154&lt;&gt;"",M154&gt;0),M154+N154+O154,"")</f>
        <v/>
      </c>
      <c r="Q154" s="11">
        <f>IF(AND(L154&lt;&gt;"",L154&gt;0,P154&lt;&gt;""),P154/L154,"")</f>
        <v/>
      </c>
      <c r="R154" s="16">
        <f>IF(AND(P154&lt;&gt;"",P154&gt;0),(I154+J154+K154)/P154,"")</f>
        <v/>
      </c>
    </row>
    <row r="155" ht="27" customHeight="1">
      <c r="A155" s="5" t="inlineStr">
        <is>
          <t>2026-01-18</t>
        </is>
      </c>
      <c r="B155" s="5" t="inlineStr">
        <is>
          <t>3周</t>
        </is>
      </c>
      <c r="C155" s="5" t="inlineStr">
        <is>
          <t>抖音</t>
        </is>
      </c>
      <c r="D155" s="5" t="n"/>
      <c r="E155" s="5" t="n"/>
      <c r="F155" s="5" t="inlineStr">
        <is>
          <t>https://v.douyin.com/2eazSsyuD30/</t>
        </is>
      </c>
      <c r="G155" s="5" t="inlineStr">
        <is>
          <t>0001A1</t>
        </is>
      </c>
      <c r="H155" s="5" t="inlineStr">
        <is>
          <t>穿搭</t>
        </is>
      </c>
      <c r="I155" s="5" t="n"/>
      <c r="J155" s="5" t="n"/>
      <c r="K155" s="5" t="n">
        <v>107.5</v>
      </c>
      <c r="L155" s="5" t="n">
        <v>83000</v>
      </c>
      <c r="M155" s="5" t="n">
        <v>1296</v>
      </c>
      <c r="N155" s="5" t="n">
        <v>495</v>
      </c>
      <c r="O155" s="5" t="n">
        <v>56</v>
      </c>
      <c r="P155" s="8">
        <f>IF(AND(M155&lt;&gt;"",M155&gt;0),M155+N155+O155,"")</f>
        <v/>
      </c>
      <c r="Q155" s="11">
        <f>IF(AND(L155&lt;&gt;"",L155&gt;0,P155&lt;&gt;""),P155/L155,"")</f>
        <v/>
      </c>
      <c r="R155" s="16">
        <f>IF(AND(P155&lt;&gt;"",P155&gt;0),(I155+J155+K155)/P155,"")</f>
        <v/>
      </c>
    </row>
    <row r="156" ht="27" customHeight="1">
      <c r="A156" s="5" t="inlineStr">
        <is>
          <t>2026-01-18</t>
        </is>
      </c>
      <c r="B156" s="5" t="inlineStr">
        <is>
          <t>3周</t>
        </is>
      </c>
      <c r="C156" s="5" t="inlineStr">
        <is>
          <t>抖音</t>
        </is>
      </c>
      <c r="D156" s="5" t="n"/>
      <c r="E156" s="5" t="n"/>
      <c r="F156" s="5" t="inlineStr">
        <is>
          <t>https://v.douyin.com/YHPcoVZi3NQ/</t>
        </is>
      </c>
      <c r="G156" s="5" t="inlineStr">
        <is>
          <t>495</t>
        </is>
      </c>
      <c r="H156" s="5" t="inlineStr">
        <is>
          <t>李沛恩江衡</t>
        </is>
      </c>
      <c r="I156" s="5" t="n"/>
      <c r="J156" s="5" t="n"/>
      <c r="K156" s="5" t="n">
        <v>93</v>
      </c>
      <c r="L156" s="5" t="n">
        <v>3020</v>
      </c>
      <c r="M156" s="5" t="n">
        <v>99</v>
      </c>
      <c r="N156" s="5" t="n">
        <v>10</v>
      </c>
      <c r="O156" s="5" t="n">
        <v>16</v>
      </c>
      <c r="P156" s="8">
        <f>IF(AND(M156&lt;&gt;"",M156&gt;0),M156+N156+O156,"")</f>
        <v/>
      </c>
      <c r="Q156" s="11">
        <f>IF(AND(L156&lt;&gt;"",L156&gt;0,P156&lt;&gt;""),P156/L156,"")</f>
        <v/>
      </c>
      <c r="R156" s="16">
        <f>IF(AND(P156&lt;&gt;"",P156&gt;0),(I156+J156+K156)/P156,"")</f>
        <v/>
      </c>
    </row>
    <row r="157" ht="27" customHeight="1">
      <c r="A157" s="5" t="inlineStr">
        <is>
          <t>2026-01-18</t>
        </is>
      </c>
      <c r="B157" s="5" t="inlineStr">
        <is>
          <t>3周</t>
        </is>
      </c>
      <c r="C157" s="5" t="inlineStr">
        <is>
          <t>抖音</t>
        </is>
      </c>
      <c r="D157" s="5" t="n"/>
      <c r="E157" s="5" t="n"/>
      <c r="F157" s="5" t="inlineStr">
        <is>
          <t>https://v.douyin.com/SykGV4o0S9g/</t>
        </is>
      </c>
      <c r="G157" s="5" t="inlineStr">
        <is>
          <t>495</t>
        </is>
      </c>
      <c r="H157" s="5" t="inlineStr">
        <is>
          <t>穿搭</t>
        </is>
      </c>
      <c r="I157" s="5" t="n"/>
      <c r="J157" s="5" t="n"/>
      <c r="K157" s="5" t="n">
        <v>93</v>
      </c>
      <c r="L157" s="5" t="n">
        <v>8698</v>
      </c>
      <c r="M157" s="5" t="n">
        <v>116</v>
      </c>
      <c r="N157" s="5" t="n">
        <v>25</v>
      </c>
      <c r="O157" s="5" t="n">
        <v>31</v>
      </c>
      <c r="P157" s="8">
        <f>IF(AND(M157&lt;&gt;"",M157&gt;0),M157+N157+O157,"")</f>
        <v/>
      </c>
      <c r="Q157" s="11">
        <f>IF(AND(L157&lt;&gt;"",L157&gt;0,P157&lt;&gt;""),P157/L157,"")</f>
        <v/>
      </c>
      <c r="R157" s="16">
        <f>IF(AND(P157&lt;&gt;"",P157&gt;0),(I157+J157+K157)/P157,"")</f>
        <v/>
      </c>
    </row>
    <row r="158" ht="27" customHeight="1">
      <c r="A158" s="5" t="inlineStr">
        <is>
          <t>2026-01-18</t>
        </is>
      </c>
      <c r="B158" s="5" t="inlineStr">
        <is>
          <t>3周</t>
        </is>
      </c>
      <c r="C158" s="5" t="inlineStr">
        <is>
          <t>抖音</t>
        </is>
      </c>
      <c r="D158" s="5" t="n"/>
      <c r="E158" s="5" t="n"/>
      <c r="F158" s="5" t="inlineStr">
        <is>
          <t>https://v.douyin.com/ZkaJKZJ_vIs/</t>
        </is>
      </c>
      <c r="G158" s="5" t="inlineStr">
        <is>
          <t>495</t>
        </is>
      </c>
      <c r="H158" s="5" t="inlineStr">
        <is>
          <t>穿搭</t>
        </is>
      </c>
      <c r="I158" s="5" t="n"/>
      <c r="J158" s="5" t="n"/>
      <c r="K158" s="5" t="n">
        <v>93</v>
      </c>
      <c r="L158" s="5" t="n">
        <v>18000</v>
      </c>
      <c r="M158" s="5" t="n">
        <v>3721</v>
      </c>
      <c r="N158" s="5" t="n">
        <v>194</v>
      </c>
      <c r="O158" s="5" t="n">
        <v>35</v>
      </c>
      <c r="P158" s="8">
        <f>IF(AND(M158&lt;&gt;"",M158&gt;0),M158+N158+O158,"")</f>
        <v/>
      </c>
      <c r="Q158" s="11">
        <f>IF(AND(L158&lt;&gt;"",L158&gt;0,P158&lt;&gt;""),P158/L158,"")</f>
        <v/>
      </c>
      <c r="R158" s="16">
        <f>IF(AND(P158&lt;&gt;"",P158&gt;0),(I158+J158+K158)/P158,"")</f>
        <v/>
      </c>
    </row>
    <row r="159" ht="27" customHeight="1">
      <c r="A159" s="5" t="inlineStr">
        <is>
          <t>2026-01-18</t>
        </is>
      </c>
      <c r="B159" s="5" t="inlineStr">
        <is>
          <t>3周</t>
        </is>
      </c>
      <c r="C159" s="5" t="inlineStr">
        <is>
          <t>抖音</t>
        </is>
      </c>
      <c r="D159" s="5" t="n"/>
      <c r="E159" s="5" t="n"/>
      <c r="F159" s="5" t="inlineStr">
        <is>
          <t>https://v.douyin.com/fIFPEMkSdPE/</t>
        </is>
      </c>
      <c r="G159" s="5" t="inlineStr">
        <is>
          <t>495</t>
        </is>
      </c>
      <c r="H159" s="5" t="inlineStr">
        <is>
          <t>穿搭</t>
        </is>
      </c>
      <c r="I159" s="5" t="n">
        <v>150</v>
      </c>
      <c r="J159" s="5" t="n"/>
      <c r="K159" s="5" t="n">
        <v>93</v>
      </c>
      <c r="L159" s="5" t="n">
        <v>9851</v>
      </c>
      <c r="M159" s="5" t="n">
        <v>1464</v>
      </c>
      <c r="N159" s="5" t="n">
        <v>11</v>
      </c>
      <c r="O159" s="5" t="n">
        <v>19</v>
      </c>
      <c r="P159" s="8">
        <f>IF(AND(M159&lt;&gt;"",M159&gt;0),M159+N159+O159,"")</f>
        <v/>
      </c>
      <c r="Q159" s="11">
        <f>IF(AND(L159&lt;&gt;"",L159&gt;0,P159&lt;&gt;""),P159/L159,"")</f>
        <v/>
      </c>
      <c r="R159" s="16">
        <f>IF(AND(P159&lt;&gt;"",P159&gt;0),(I159+J159+K159)/P159,"")</f>
        <v/>
      </c>
    </row>
    <row r="160" ht="81" customHeight="1">
      <c r="A160" s="5" t="inlineStr">
        <is>
          <t>2026-01-18</t>
        </is>
      </c>
      <c r="B160" s="5" t="inlineStr">
        <is>
          <t>3周</t>
        </is>
      </c>
      <c r="C160" s="5" t="inlineStr">
        <is>
          <t>小红书</t>
        </is>
      </c>
      <c r="D160" s="5" t="n"/>
      <c r="E160" s="5" t="n"/>
      <c r="F160" s="5" t="inlineStr">
        <is>
          <t>https://www.xiaohongshu.com/discovery/item/696c3a92000000000a03dae8?xsec_token=CBxbo09jDuca_gQQS9aCnKupamuqJ7jZ6gvfKkcDR589Y=&amp;xsec_source=app_share&amp;type=video</t>
        </is>
      </c>
      <c r="G160" s="5" t="inlineStr">
        <is>
          <t>1225</t>
        </is>
      </c>
      <c r="H160" s="5" t="inlineStr">
        <is>
          <t>开箱</t>
        </is>
      </c>
      <c r="I160" s="5" t="n"/>
      <c r="J160" s="5" t="n"/>
      <c r="K160" s="5" t="n">
        <v>55.5</v>
      </c>
      <c r="L160" s="5" t="n">
        <v>4142</v>
      </c>
      <c r="M160" s="5" t="n">
        <v>283</v>
      </c>
      <c r="N160" s="5" t="n">
        <v>24</v>
      </c>
      <c r="O160" s="5" t="n">
        <v>34</v>
      </c>
      <c r="P160" s="8">
        <f>IF(AND(M160&lt;&gt;"",M160&gt;0),M160+N160+O160,"")</f>
        <v/>
      </c>
      <c r="Q160" s="11">
        <f>IF(AND(L160&lt;&gt;"",L160&gt;0,P160&lt;&gt;""),P160/L160,"")</f>
        <v/>
      </c>
      <c r="R160" s="16">
        <f>IF(AND(P160&lt;&gt;"",P160&gt;0),(I160+J160+K160)/P160,"")</f>
        <v/>
      </c>
    </row>
    <row r="161" ht="67.5" customHeight="1">
      <c r="A161" s="5" t="inlineStr">
        <is>
          <t>2026-01-18</t>
        </is>
      </c>
      <c r="B161" s="5" t="inlineStr">
        <is>
          <t>3周</t>
        </is>
      </c>
      <c r="C161" s="5" t="inlineStr">
        <is>
          <t>小红书</t>
        </is>
      </c>
      <c r="D161" s="5" t="n"/>
      <c r="E161" s="5" t="n"/>
      <c r="F161" s="5" t="inlineStr">
        <is>
          <t>https://www.xiaohongshu.com/discovery/item/696c50ad000000000a03c66c?xsec_token=CBxbo09jDuca_gQQS9aCnKurv7HtWXz7XCmwDaV_3dG6s=&amp;xsec_source=app_share</t>
        </is>
      </c>
      <c r="G161" s="5" t="inlineStr">
        <is>
          <t>495</t>
        </is>
      </c>
      <c r="H161" s="5" t="inlineStr">
        <is>
          <t>穿搭</t>
        </is>
      </c>
      <c r="I161" s="5" t="n"/>
      <c r="J161" s="5" t="n"/>
      <c r="K161" s="5" t="n">
        <v>93</v>
      </c>
      <c r="L161" s="5" t="n">
        <v>587</v>
      </c>
      <c r="M161" s="5" t="n">
        <v>17</v>
      </c>
      <c r="N161" s="5" t="n">
        <v>3</v>
      </c>
      <c r="O161" s="5" t="n">
        <v>11</v>
      </c>
      <c r="P161" s="8">
        <f>IF(AND(M161&lt;&gt;"",M161&gt;0),M161+N161+O161,"")</f>
        <v/>
      </c>
      <c r="Q161" s="11">
        <f>IF(AND(L161&lt;&gt;"",L161&gt;0,P161&lt;&gt;""),P161/L161,"")</f>
        <v/>
      </c>
      <c r="R161" s="16">
        <f>IF(AND(P161&lt;&gt;"",P161&gt;0),(I161+J161+K161)/P161,"")</f>
        <v/>
      </c>
    </row>
    <row r="162" ht="81" customHeight="1">
      <c r="A162" s="5" t="inlineStr">
        <is>
          <t>2026-01-18</t>
        </is>
      </c>
      <c r="B162" s="5" t="inlineStr">
        <is>
          <t>3周</t>
        </is>
      </c>
      <c r="C162" s="5" t="inlineStr">
        <is>
          <t>小红书</t>
        </is>
      </c>
      <c r="D162" s="5" t="n"/>
      <c r="E162" s="5" t="n"/>
      <c r="F162" s="5" t="inlineStr">
        <is>
          <t>https://www.xiaohongshu.com/discovery/item/696cbbeb000000001a02bd37?xsec_token=CBowLBWKjU5proT0l54t9Lzs8kNzO8DwU8sSQSI1wqKG8=&amp;xsec_source=app_share&amp;type=video</t>
        </is>
      </c>
      <c r="G162" s="5" t="inlineStr">
        <is>
          <t>495</t>
        </is>
      </c>
      <c r="H162" s="5" t="inlineStr">
        <is>
          <t>穿搭</t>
        </is>
      </c>
      <c r="I162" s="5" t="n"/>
      <c r="J162" s="5" t="n"/>
      <c r="K162" s="5" t="n">
        <v>93</v>
      </c>
      <c r="L162" s="5" t="n">
        <v>1391</v>
      </c>
      <c r="M162" s="5" t="n">
        <v>90</v>
      </c>
      <c r="N162" s="5" t="n">
        <v>17</v>
      </c>
      <c r="O162" s="5" t="n">
        <v>9</v>
      </c>
      <c r="P162" s="8">
        <f>IF(AND(M162&lt;&gt;"",M162&gt;0),M162+N162+O162,"")</f>
        <v/>
      </c>
      <c r="Q162" s="11">
        <f>IF(AND(L162&lt;&gt;"",L162&gt;0,P162&lt;&gt;""),P162/L162,"")</f>
        <v/>
      </c>
      <c r="R162" s="16">
        <f>IF(AND(P162&lt;&gt;"",P162&gt;0),(I162+J162+K162)/P162,"")</f>
        <v/>
      </c>
    </row>
    <row r="163" ht="81" customHeight="1">
      <c r="A163" s="5" t="inlineStr">
        <is>
          <t>2026-01-18</t>
        </is>
      </c>
      <c r="B163" s="5" t="inlineStr">
        <is>
          <t>3周</t>
        </is>
      </c>
      <c r="C163" s="5" t="inlineStr">
        <is>
          <t>小红书</t>
        </is>
      </c>
      <c r="D163" s="5" t="n"/>
      <c r="E163" s="5" t="n"/>
      <c r="F163" s="5" t="inlineStr">
        <is>
          <t>https://www.xiaohongshu.com/discovery/item/696cd33d000000001a0373c4?xsec_token=CBJCU03Z195u8BcYiKxcNGTR8yTf0qfTKzvHMKrawi34A=&amp;xsec_source=app_share&amp;type=video</t>
        </is>
      </c>
      <c r="G163" s="5" t="inlineStr">
        <is>
          <t>495</t>
        </is>
      </c>
      <c r="H163" s="5" t="inlineStr">
        <is>
          <t>穿搭</t>
        </is>
      </c>
      <c r="I163" s="5" t="n">
        <v>300</v>
      </c>
      <c r="J163" s="5" t="n"/>
      <c r="K163" s="5" t="n">
        <v>93</v>
      </c>
      <c r="L163" s="5" t="n">
        <v>14929</v>
      </c>
      <c r="M163" s="5" t="n">
        <v>2307</v>
      </c>
      <c r="N163" s="5" t="n">
        <v>709</v>
      </c>
      <c r="O163" s="5" t="n">
        <v>33</v>
      </c>
      <c r="P163" s="8">
        <f>IF(AND(M163&lt;&gt;"",M163&gt;0),M163+N163+O163,"")</f>
        <v/>
      </c>
      <c r="Q163" s="11">
        <f>IF(AND(L163&lt;&gt;"",L163&gt;0,P163&lt;&gt;""),P163/L163,"")</f>
        <v/>
      </c>
      <c r="R163" s="16">
        <f>IF(AND(P163&lt;&gt;"",P163&gt;0),(I163+J163+K163)/P163,"")</f>
        <v/>
      </c>
    </row>
    <row r="164" ht="81" customHeight="1">
      <c r="A164" s="5" t="inlineStr">
        <is>
          <t>2026-01-18</t>
        </is>
      </c>
      <c r="B164" s="5" t="inlineStr">
        <is>
          <t>3周</t>
        </is>
      </c>
      <c r="C164" s="5" t="inlineStr">
        <is>
          <t>小红书</t>
        </is>
      </c>
      <c r="D164" s="5" t="n"/>
      <c r="E164" s="5" t="n"/>
      <c r="F164" s="5" t="inlineStr">
        <is>
          <t>https://www.xiaohongshu.com/discovery/item/696cd9e4000000000c037eb4?xsec_token=CBxbo09jDuca_gQQS9aCnKutyifZfGgQoC3D9Y6CQcf1c=&amp;xsec_source=app_share&amp;type=video</t>
        </is>
      </c>
      <c r="G164" s="5" t="inlineStr">
        <is>
          <t>495</t>
        </is>
      </c>
      <c r="H164" s="5" t="inlineStr">
        <is>
          <t>穿搭</t>
        </is>
      </c>
      <c r="I164" s="5" t="n"/>
      <c r="J164" s="5" t="n"/>
      <c r="K164" s="5" t="n">
        <v>93</v>
      </c>
      <c r="L164" s="5" t="n">
        <v>3735</v>
      </c>
      <c r="M164" s="5" t="n">
        <v>276</v>
      </c>
      <c r="N164" s="5" t="n">
        <v>42</v>
      </c>
      <c r="O164" s="5" t="n">
        <v>11</v>
      </c>
      <c r="P164" s="8">
        <f>IF(AND(M164&lt;&gt;"",M164&gt;0),M164+N164+O164,"")</f>
        <v/>
      </c>
      <c r="Q164" s="11">
        <f>IF(AND(L164&lt;&gt;"",L164&gt;0,P164&lt;&gt;""),P164/L164,"")</f>
        <v/>
      </c>
      <c r="R164" s="16">
        <f>IF(AND(P164&lt;&gt;"",P164&gt;0),(I164+J164+K164)/P164,"")</f>
        <v/>
      </c>
    </row>
    <row r="165" ht="81" customHeight="1">
      <c r="A165" s="5" t="inlineStr">
        <is>
          <t>2026-01-18</t>
        </is>
      </c>
      <c r="B165" s="5" t="inlineStr">
        <is>
          <t>3周</t>
        </is>
      </c>
      <c r="C165" s="5" t="inlineStr">
        <is>
          <t>小红书</t>
        </is>
      </c>
      <c r="D165" s="5" t="n"/>
      <c r="E165" s="5" t="n"/>
      <c r="F165" s="5" t="inlineStr">
        <is>
          <t>https://www.xiaohongshu.com/discovery/item/696cea3a0000000021028a3c?xsec_token=CBxbo09jDuca_gQQS9aCnKuuSRGjA0UFRJgTDXtzt1A80=&amp;xsec_source=app_share&amp;type=video</t>
        </is>
      </c>
      <c r="G165" s="5" t="inlineStr">
        <is>
          <t>0001A1</t>
        </is>
      </c>
      <c r="H165" s="5" t="inlineStr">
        <is>
          <t>文严文</t>
        </is>
      </c>
      <c r="I165" s="5" t="n"/>
      <c r="J165" s="5" t="n"/>
      <c r="K165" s="5" t="n">
        <v>107.5</v>
      </c>
      <c r="L165" s="5" t="n">
        <v>17365</v>
      </c>
      <c r="M165" s="5" t="n">
        <v>1314</v>
      </c>
      <c r="N165" s="5" t="n">
        <v>366</v>
      </c>
      <c r="O165" s="5" t="n">
        <v>49</v>
      </c>
      <c r="P165" s="8">
        <f>IF(AND(M165&lt;&gt;"",M165&gt;0),M165+N165+O165,"")</f>
        <v/>
      </c>
      <c r="Q165" s="11">
        <f>IF(AND(L165&lt;&gt;"",L165&gt;0,P165&lt;&gt;""),P165/L165,"")</f>
        <v/>
      </c>
      <c r="R165" s="16">
        <f>IF(AND(P165&lt;&gt;"",P165&gt;0),(I165+J165+K165)/P165,"")</f>
        <v/>
      </c>
    </row>
    <row r="166" ht="27" customHeight="1">
      <c r="A166" s="5" t="inlineStr">
        <is>
          <t>2026-01-19</t>
        </is>
      </c>
      <c r="B166" s="5" t="inlineStr">
        <is>
          <t>4周</t>
        </is>
      </c>
      <c r="C166" s="5" t="inlineStr">
        <is>
          <t>抖音</t>
        </is>
      </c>
      <c r="D166" s="5" t="n"/>
      <c r="E166" s="5" t="n"/>
      <c r="F166" s="5" t="inlineStr">
        <is>
          <t>https://v.douyin.com/n2qMXMk2QAU/</t>
        </is>
      </c>
      <c r="G166" s="5" t="inlineStr">
        <is>
          <t>1217W</t>
        </is>
      </c>
      <c r="H166" s="5" t="inlineStr">
        <is>
          <t>学生</t>
        </is>
      </c>
      <c r="I166" s="5" t="n"/>
      <c r="J166" s="5" t="n"/>
      <c r="K166" s="5" t="n">
        <v>54</v>
      </c>
      <c r="L166" s="5" t="n">
        <v>5601</v>
      </c>
      <c r="M166" s="5" t="n">
        <v>511</v>
      </c>
      <c r="N166" s="5" t="n">
        <v>36</v>
      </c>
      <c r="O166" s="5" t="n">
        <v>14</v>
      </c>
      <c r="P166" s="8">
        <f>IF(AND(M166&lt;&gt;"",M166&gt;0),M166+N166+O166,"")</f>
        <v/>
      </c>
      <c r="Q166" s="11">
        <f>IF(AND(L166&lt;&gt;"",L166&gt;0,P166&lt;&gt;""),P166/L166,"")</f>
        <v/>
      </c>
      <c r="R166" s="16">
        <f>IF(AND(P166&lt;&gt;"",P166&gt;0),(I166+J166+K166)/P166,"")</f>
        <v/>
      </c>
    </row>
    <row r="167" ht="27" customHeight="1">
      <c r="A167" s="5" t="inlineStr">
        <is>
          <t>2026-01-19</t>
        </is>
      </c>
      <c r="B167" s="5" t="inlineStr">
        <is>
          <t>4周</t>
        </is>
      </c>
      <c r="C167" s="5" t="inlineStr">
        <is>
          <t>抖音</t>
        </is>
      </c>
      <c r="D167" s="5" t="n"/>
      <c r="E167" s="5" t="n"/>
      <c r="F167" s="5" t="inlineStr">
        <is>
          <t>https://v.douyin.com/IOA6XQ745hg/</t>
        </is>
      </c>
      <c r="G167" s="5" t="inlineStr">
        <is>
          <t>0001A1</t>
        </is>
      </c>
      <c r="H167" s="5" t="inlineStr">
        <is>
          <t>新年好物</t>
        </is>
      </c>
      <c r="I167" s="5" t="n"/>
      <c r="J167" s="5" t="n"/>
      <c r="K167" s="5" t="n">
        <v>107.5</v>
      </c>
      <c r="L167" s="5" t="n">
        <v>430000</v>
      </c>
      <c r="M167" s="5" t="n">
        <v>13000</v>
      </c>
      <c r="N167" s="5" t="n">
        <v>797</v>
      </c>
      <c r="O167" s="5" t="n">
        <v>64</v>
      </c>
      <c r="P167" s="8">
        <f>IF(AND(M167&lt;&gt;"",M167&gt;0),M167+N167+O167,"")</f>
        <v/>
      </c>
      <c r="Q167" s="11">
        <f>IF(AND(L167&lt;&gt;"",L167&gt;0,P167&lt;&gt;""),P167/L167,"")</f>
        <v/>
      </c>
      <c r="R167" s="16">
        <f>IF(AND(P167&lt;&gt;"",P167&gt;0),(I167+J167+K167)/P167,"")</f>
        <v/>
      </c>
    </row>
    <row r="168" ht="27" customHeight="1">
      <c r="A168" s="5" t="inlineStr">
        <is>
          <t>2026-01-19</t>
        </is>
      </c>
      <c r="B168" s="5" t="inlineStr">
        <is>
          <t>4周</t>
        </is>
      </c>
      <c r="C168" s="5" t="inlineStr">
        <is>
          <t>抖音</t>
        </is>
      </c>
      <c r="D168" s="5" t="n"/>
      <c r="E168" s="5" t="n"/>
      <c r="F168" s="5" t="inlineStr">
        <is>
          <t>https://v.douyin.com/S0iKRKy1Obg/</t>
        </is>
      </c>
      <c r="G168" s="5" t="inlineStr">
        <is>
          <t>495</t>
        </is>
      </c>
      <c r="H168" s="5" t="inlineStr">
        <is>
          <t>李沛恩江衡</t>
        </is>
      </c>
      <c r="I168" s="5" t="n"/>
      <c r="J168" s="5" t="n"/>
      <c r="K168" s="5" t="n">
        <v>93</v>
      </c>
      <c r="L168" s="5" t="n">
        <v>31000</v>
      </c>
      <c r="M168" s="5" t="n">
        <v>765</v>
      </c>
      <c r="N168" s="5" t="n">
        <v>52</v>
      </c>
      <c r="O168" s="5" t="n">
        <v>57</v>
      </c>
      <c r="P168" s="8">
        <f>IF(AND(M168&lt;&gt;"",M168&gt;0),M168+N168+O168,"")</f>
        <v/>
      </c>
      <c r="Q168" s="11">
        <f>IF(AND(L168&lt;&gt;"",L168&gt;0,P168&lt;&gt;""),P168/L168,"")</f>
        <v/>
      </c>
      <c r="R168" s="16">
        <f>IF(AND(P168&lt;&gt;"",P168&gt;0),(I168+J168+K168)/P168,"")</f>
        <v/>
      </c>
    </row>
    <row r="169" ht="27" customHeight="1">
      <c r="A169" s="5" t="inlineStr">
        <is>
          <t>2026-01-19</t>
        </is>
      </c>
      <c r="B169" s="5" t="inlineStr">
        <is>
          <t>4周</t>
        </is>
      </c>
      <c r="C169" s="5" t="inlineStr">
        <is>
          <t>抖音</t>
        </is>
      </c>
      <c r="D169" s="5" t="n"/>
      <c r="E169" s="5" t="n"/>
      <c r="F169" s="5" t="inlineStr">
        <is>
          <t>https://v.douyin.com/hI1ho29f_b4/</t>
        </is>
      </c>
      <c r="G169" s="5" t="inlineStr">
        <is>
          <t>0001A1</t>
        </is>
      </c>
      <c r="H169" s="5" t="inlineStr">
        <is>
          <t>新年好物</t>
        </is>
      </c>
      <c r="I169" s="5" t="n">
        <v>500</v>
      </c>
      <c r="J169" s="5" t="n"/>
      <c r="K169" s="5" t="n">
        <v>107.5</v>
      </c>
      <c r="L169" s="5" t="n">
        <v>123000</v>
      </c>
      <c r="M169" s="5" t="n">
        <v>5135</v>
      </c>
      <c r="N169" s="5" t="n">
        <v>160</v>
      </c>
      <c r="O169" s="5" t="n">
        <v>136</v>
      </c>
      <c r="P169" s="8">
        <f>IF(AND(M169&lt;&gt;"",M169&gt;0),M169+N169+O169,"")</f>
        <v/>
      </c>
      <c r="Q169" s="11">
        <f>IF(AND(L169&lt;&gt;"",L169&gt;0,P169&lt;&gt;""),P169/L169,"")</f>
        <v/>
      </c>
      <c r="R169" s="16">
        <f>IF(AND(P169&lt;&gt;"",P169&gt;0),(I169+J169+K169)/P169,"")</f>
        <v/>
      </c>
    </row>
    <row r="170" ht="27" customHeight="1">
      <c r="A170" s="5" t="inlineStr">
        <is>
          <t>2026-01-19</t>
        </is>
      </c>
      <c r="B170" s="5" t="inlineStr">
        <is>
          <t>4周</t>
        </is>
      </c>
      <c r="C170" s="5" t="inlineStr">
        <is>
          <t>抖音</t>
        </is>
      </c>
      <c r="D170" s="5" t="n"/>
      <c r="E170" s="5" t="n"/>
      <c r="F170" s="5" t="inlineStr">
        <is>
          <t>https://v.douyin.com/LfYLRO5DgQ8/</t>
        </is>
      </c>
      <c r="G170" s="5" t="inlineStr">
        <is>
          <t>495</t>
        </is>
      </c>
      <c r="H170" s="5" t="inlineStr">
        <is>
          <t>江衡</t>
        </is>
      </c>
      <c r="I170" s="5" t="n"/>
      <c r="J170" s="5" t="n"/>
      <c r="K170" s="5" t="n">
        <v>93</v>
      </c>
      <c r="L170" s="5" t="n">
        <v>89000</v>
      </c>
      <c r="M170" s="5" t="n">
        <v>247</v>
      </c>
      <c r="N170" s="5" t="n">
        <v>22</v>
      </c>
      <c r="O170" s="5" t="n">
        <v>14</v>
      </c>
      <c r="P170" s="8">
        <f>IF(AND(M170&lt;&gt;"",M170&gt;0),M170+N170+O170,"")</f>
        <v/>
      </c>
      <c r="Q170" s="11">
        <f>IF(AND(L170&lt;&gt;"",L170&gt;0,P170&lt;&gt;""),P170/L170,"")</f>
        <v/>
      </c>
      <c r="R170" s="16">
        <f>IF(AND(P170&lt;&gt;"",P170&gt;0),(I170+J170+K170)/P170,"")</f>
        <v/>
      </c>
    </row>
    <row r="171" ht="27" customHeight="1">
      <c r="A171" s="5" t="inlineStr">
        <is>
          <t>2026-01-19</t>
        </is>
      </c>
      <c r="B171" s="5" t="inlineStr">
        <is>
          <t>4周</t>
        </is>
      </c>
      <c r="C171" s="5" t="inlineStr">
        <is>
          <t>抖音</t>
        </is>
      </c>
      <c r="D171" s="5" t="n"/>
      <c r="E171" s="5" t="n"/>
      <c r="F171" s="5" t="inlineStr">
        <is>
          <t>https://v.douyin.com/eCcgsR3XKpU/</t>
        </is>
      </c>
      <c r="G171" s="5" t="inlineStr">
        <is>
          <t>495</t>
        </is>
      </c>
      <c r="H171" s="5" t="inlineStr">
        <is>
          <t>穿搭</t>
        </is>
      </c>
      <c r="I171" s="5" t="n"/>
      <c r="J171" s="5" t="n"/>
      <c r="K171" s="5" t="n">
        <v>93</v>
      </c>
      <c r="L171" s="5" t="n">
        <v>1960</v>
      </c>
      <c r="M171" s="5" t="n">
        <v>105</v>
      </c>
      <c r="N171" s="5" t="n">
        <v>6</v>
      </c>
      <c r="O171" s="5" t="n">
        <v>4</v>
      </c>
      <c r="P171" s="8">
        <f>IF(AND(M171&lt;&gt;"",M171&gt;0),M171+N171+O171,"")</f>
        <v/>
      </c>
      <c r="Q171" s="11">
        <f>IF(AND(L171&lt;&gt;"",L171&gt;0,P171&lt;&gt;""),P171/L171,"")</f>
        <v/>
      </c>
      <c r="R171" s="16">
        <f>IF(AND(P171&lt;&gt;"",P171&gt;0),(I171+J171+K171)/P171,"")</f>
        <v/>
      </c>
    </row>
    <row r="172" ht="81" customHeight="1">
      <c r="A172" s="5" t="inlineStr">
        <is>
          <t>2026-01-19</t>
        </is>
      </c>
      <c r="B172" s="5" t="inlineStr">
        <is>
          <t>4周</t>
        </is>
      </c>
      <c r="C172" s="5" t="inlineStr">
        <is>
          <t>小红书</t>
        </is>
      </c>
      <c r="D172" s="5" t="n"/>
      <c r="E172" s="5" t="n"/>
      <c r="F172" s="5" t="inlineStr">
        <is>
          <t>https://www.xiaohongshu.com/discovery/item/696d8b4a0000000022033dba?xsec_token=CBlrPARhWp0eoXkZcIhtXcSCjj_fYouLeK5LQd1isC8uY=&amp;xsec_source=app_share&amp;type=video</t>
        </is>
      </c>
      <c r="G172" s="5" t="inlineStr">
        <is>
          <t>495</t>
        </is>
      </c>
      <c r="H172" s="5" t="inlineStr">
        <is>
          <t>穿搭</t>
        </is>
      </c>
      <c r="I172" s="5" t="n"/>
      <c r="J172" s="5" t="n"/>
      <c r="K172" s="5" t="n">
        <v>93</v>
      </c>
      <c r="L172" s="5" t="n">
        <v>204</v>
      </c>
      <c r="M172" s="5" t="n">
        <v>12</v>
      </c>
      <c r="N172" s="5" t="n">
        <v>2</v>
      </c>
      <c r="O172" s="5" t="n">
        <v>1</v>
      </c>
      <c r="P172" s="8">
        <f>IF(AND(M172&lt;&gt;"",M172&gt;0),M172+N172+O172,"")</f>
        <v/>
      </c>
      <c r="Q172" s="11">
        <f>IF(AND(L172&lt;&gt;"",L172&gt;0,P172&lt;&gt;""),P172/L172,"")</f>
        <v/>
      </c>
      <c r="R172" s="16">
        <f>IF(AND(P172&lt;&gt;"",P172&gt;0),(I172+J172+K172)/P172,"")</f>
        <v/>
      </c>
    </row>
    <row r="173" ht="81" customHeight="1">
      <c r="A173" s="5" t="inlineStr">
        <is>
          <t>2026-01-19</t>
        </is>
      </c>
      <c r="B173" s="5" t="inlineStr">
        <is>
          <t>4周</t>
        </is>
      </c>
      <c r="C173" s="5" t="inlineStr">
        <is>
          <t>小红书</t>
        </is>
      </c>
      <c r="D173" s="5" t="n"/>
      <c r="E173" s="5" t="n"/>
      <c r="F173" s="5" t="inlineStr">
        <is>
          <t>https://www.xiaohongshu.com/discovery/item/696d9c99000000000e00d2a8?xsec_token=CB999XrHD581UNv0HJA_qoKvhqrilE_sz_LKPImrXegXc=&amp;xsec_source=app_share&amp;type=video</t>
        </is>
      </c>
      <c r="G173" s="5" t="inlineStr">
        <is>
          <t>0001A1</t>
        </is>
      </c>
      <c r="H173" s="5" t="inlineStr">
        <is>
          <t>穿搭</t>
        </is>
      </c>
      <c r="I173" s="5" t="n"/>
      <c r="J173" s="5" t="n"/>
      <c r="K173" s="5" t="n">
        <v>107.5</v>
      </c>
      <c r="L173" s="5" t="n">
        <v>7004</v>
      </c>
      <c r="M173" s="5" t="n">
        <v>451</v>
      </c>
      <c r="N173" s="5" t="n">
        <v>232</v>
      </c>
      <c r="O173" s="5" t="n">
        <v>14</v>
      </c>
      <c r="P173" s="8">
        <f>IF(AND(M173&lt;&gt;"",M173&gt;0),M173+N173+O173,"")</f>
        <v/>
      </c>
      <c r="Q173" s="11">
        <f>IF(AND(L173&lt;&gt;"",L173&gt;0,P173&lt;&gt;""),P173/L173,"")</f>
        <v/>
      </c>
      <c r="R173" s="16">
        <f>IF(AND(P173&lt;&gt;"",P173&gt;0),(I173+J173+K173)/P173,"")</f>
        <v/>
      </c>
    </row>
    <row r="174" ht="81" customHeight="1">
      <c r="A174" s="5" t="inlineStr">
        <is>
          <t>2026-01-19</t>
        </is>
      </c>
      <c r="B174" s="5" t="inlineStr">
        <is>
          <t>4周</t>
        </is>
      </c>
      <c r="C174" s="5" t="inlineStr">
        <is>
          <t>小红书</t>
        </is>
      </c>
      <c r="D174" s="5" t="n"/>
      <c r="E174" s="5" t="n"/>
      <c r="F174" s="5" t="inlineStr">
        <is>
          <t>https://www.xiaohongshu.com/discovery/item/696dcba4000000000b010232?xsec_token=CBJxeReSL97gOkDMIP4fPvvNJbgmr-lj10Sb0KfnuXA_k=&amp;xsec_source=app_share&amp;type=video</t>
        </is>
      </c>
      <c r="G174" s="5" t="inlineStr">
        <is>
          <t>0001A1</t>
        </is>
      </c>
      <c r="H174" s="5" t="inlineStr">
        <is>
          <t>穿搭</t>
        </is>
      </c>
      <c r="I174" s="5" t="n">
        <v>100</v>
      </c>
      <c r="J174" s="5" t="n"/>
      <c r="K174" s="5" t="n">
        <v>107.5</v>
      </c>
      <c r="L174" s="5" t="n">
        <v>5403</v>
      </c>
      <c r="M174" s="5" t="n">
        <v>378</v>
      </c>
      <c r="N174" s="5" t="n">
        <v>94</v>
      </c>
      <c r="O174" s="5" t="n">
        <v>17</v>
      </c>
      <c r="P174" s="8">
        <f>IF(AND(M174&lt;&gt;"",M174&gt;0),M174+N174+O174,"")</f>
        <v/>
      </c>
      <c r="Q174" s="11">
        <f>IF(AND(L174&lt;&gt;"",L174&gt;0,P174&lt;&gt;""),P174/L174,"")</f>
        <v/>
      </c>
      <c r="R174" s="16">
        <f>IF(AND(P174&lt;&gt;"",P174&gt;0),(I174+J174+K174)/P174,"")</f>
        <v/>
      </c>
    </row>
    <row r="175" ht="81" customHeight="1">
      <c r="A175" s="5" t="inlineStr">
        <is>
          <t>2026-01-19</t>
        </is>
      </c>
      <c r="B175" s="5" t="inlineStr">
        <is>
          <t>4周</t>
        </is>
      </c>
      <c r="C175" s="5" t="inlineStr">
        <is>
          <t>小红书</t>
        </is>
      </c>
      <c r="D175" s="5" t="n"/>
      <c r="E175" s="5" t="n"/>
      <c r="F175" s="5" t="inlineStr">
        <is>
          <t>https://www.xiaohongshu.com/discovery/item/696df049000000000a032add?xsec_token=CB6Xoy_stS2MWODEjamaQ_2WiVt3aFXyWN0XiYGnMrtH8=&amp;xsec_source=app_share&amp;type=video</t>
        </is>
      </c>
      <c r="G175" s="5" t="inlineStr">
        <is>
          <t>0001A1</t>
        </is>
      </c>
      <c r="H175" s="5" t="inlineStr">
        <is>
          <t>好物分享</t>
        </is>
      </c>
      <c r="I175" s="5" t="n">
        <v>300</v>
      </c>
      <c r="J175" s="5" t="n"/>
      <c r="K175" s="5" t="n">
        <v>107.5</v>
      </c>
      <c r="L175" s="5" t="n">
        <v>9470</v>
      </c>
      <c r="M175" s="5" t="n">
        <v>354</v>
      </c>
      <c r="N175" s="5" t="n">
        <v>100</v>
      </c>
      <c r="O175" s="5" t="n">
        <v>48</v>
      </c>
      <c r="P175" s="8">
        <f>IF(AND(M175&lt;&gt;"",M175&gt;0),M175+N175+O175,"")</f>
        <v/>
      </c>
      <c r="Q175" s="11">
        <f>IF(AND(L175&lt;&gt;"",L175&gt;0,P175&lt;&gt;""),P175/L175,"")</f>
        <v/>
      </c>
      <c r="R175" s="16">
        <f>IF(AND(P175&lt;&gt;"",P175&gt;0),(I175+J175+K175)/P175,"")</f>
        <v/>
      </c>
    </row>
    <row r="176" ht="81" customHeight="1">
      <c r="A176" s="5" t="inlineStr">
        <is>
          <t>2026-01-19</t>
        </is>
      </c>
      <c r="B176" s="5" t="inlineStr">
        <is>
          <t>4周</t>
        </is>
      </c>
      <c r="C176" s="5" t="inlineStr">
        <is>
          <t>小红书</t>
        </is>
      </c>
      <c r="D176" s="5" t="n"/>
      <c r="E176" s="5" t="n"/>
      <c r="F176" s="5" t="inlineStr">
        <is>
          <t>https://www.xiaohongshu.com/discovery/item/696dff1f000000000e00e748?xsec_token=CBJxeReSL97gOkDMIP4fPvvFK8E-tRrZbpUITqMib9S_Y=&amp;xsec_source=app_share&amp;type=video</t>
        </is>
      </c>
      <c r="G176" s="5" t="inlineStr">
        <is>
          <t>495</t>
        </is>
      </c>
      <c r="H176" s="5" t="inlineStr">
        <is>
          <t>李沛恩江衡</t>
        </is>
      </c>
      <c r="I176" s="5" t="n"/>
      <c r="J176" s="5" t="n"/>
      <c r="K176" s="5" t="n">
        <v>93</v>
      </c>
      <c r="L176" s="5" t="n">
        <v>1174</v>
      </c>
      <c r="M176" s="5" t="n">
        <v>105</v>
      </c>
      <c r="N176" s="5" t="n">
        <v>6</v>
      </c>
      <c r="O176" s="5" t="n">
        <v>10</v>
      </c>
      <c r="P176" s="8">
        <f>IF(AND(M176&lt;&gt;"",M176&gt;0),M176+N176+O176,"")</f>
        <v/>
      </c>
      <c r="Q176" s="11">
        <f>IF(AND(L176&lt;&gt;"",L176&gt;0,P176&lt;&gt;""),P176/L176,"")</f>
        <v/>
      </c>
      <c r="R176" s="16">
        <f>IF(AND(P176&lt;&gt;"",P176&gt;0),(I176+J176+K176)/P176,"")</f>
        <v/>
      </c>
    </row>
    <row r="177" ht="27" customHeight="1">
      <c r="A177" s="5" t="inlineStr">
        <is>
          <t>2026-01-20</t>
        </is>
      </c>
      <c r="B177" s="5" t="inlineStr">
        <is>
          <t>4周</t>
        </is>
      </c>
      <c r="C177" s="5" t="inlineStr">
        <is>
          <t>抖音</t>
        </is>
      </c>
      <c r="D177" s="5" t="n"/>
      <c r="E177" s="5" t="n"/>
      <c r="F177" s="5" t="inlineStr">
        <is>
          <t>https://v.douyin.com/w7PZWB5Z5Tc/</t>
        </is>
      </c>
      <c r="G177" s="5" t="inlineStr">
        <is>
          <t>495</t>
        </is>
      </c>
      <c r="H177" s="5" t="inlineStr">
        <is>
          <t>开箱</t>
        </is>
      </c>
      <c r="I177" s="5" t="n">
        <v>400</v>
      </c>
      <c r="J177" s="5" t="n"/>
      <c r="K177" s="5" t="n">
        <v>93</v>
      </c>
      <c r="L177" s="5" t="n">
        <v>123000</v>
      </c>
      <c r="M177" s="5" t="n">
        <v>3106</v>
      </c>
      <c r="N177" s="5" t="n">
        <v>122</v>
      </c>
      <c r="O177" s="5" t="n">
        <v>59</v>
      </c>
      <c r="P177" s="8">
        <f>IF(AND(M177&lt;&gt;"",M177&gt;0),M177+N177+O177,"")</f>
        <v/>
      </c>
      <c r="Q177" s="11">
        <f>IF(AND(L177&lt;&gt;"",L177&gt;0,P177&lt;&gt;""),P177/L177,"")</f>
        <v/>
      </c>
      <c r="R177" s="16">
        <f>IF(AND(P177&lt;&gt;"",P177&gt;0),(I177+J177+K177)/P177,"")</f>
        <v/>
      </c>
    </row>
    <row r="178" ht="27" customHeight="1">
      <c r="A178" s="5" t="inlineStr">
        <is>
          <t>2026-01-20</t>
        </is>
      </c>
      <c r="B178" s="5" t="inlineStr">
        <is>
          <t>4周</t>
        </is>
      </c>
      <c r="C178" s="5" t="inlineStr">
        <is>
          <t>抖音</t>
        </is>
      </c>
      <c r="D178" s="5" t="n"/>
      <c r="E178" s="5" t="n"/>
      <c r="F178" s="5" t="inlineStr">
        <is>
          <t>https://v.douyin.com/7hxLW3YJS94/</t>
        </is>
      </c>
      <c r="G178" s="5" t="inlineStr">
        <is>
          <t>495</t>
        </is>
      </c>
      <c r="H178" s="5" t="inlineStr">
        <is>
          <t>李沛恩江衡</t>
        </is>
      </c>
      <c r="I178" s="5" t="n"/>
      <c r="J178" s="5" t="n"/>
      <c r="K178" s="5" t="n">
        <v>93</v>
      </c>
      <c r="L178" s="5" t="n">
        <v>16000</v>
      </c>
      <c r="M178" s="5" t="n">
        <v>834</v>
      </c>
      <c r="N178" s="5" t="n">
        <v>23</v>
      </c>
      <c r="O178" s="5" t="n">
        <v>96</v>
      </c>
      <c r="P178" s="8">
        <f>IF(AND(M178&lt;&gt;"",M178&gt;0),M178+N178+O178,"")</f>
        <v/>
      </c>
      <c r="Q178" s="11">
        <f>IF(AND(L178&lt;&gt;"",L178&gt;0,P178&lt;&gt;""),P178/L178,"")</f>
        <v/>
      </c>
      <c r="R178" s="16">
        <f>IF(AND(P178&lt;&gt;"",P178&gt;0),(I178+J178+K178)/P178,"")</f>
        <v/>
      </c>
    </row>
    <row r="179" ht="27" customHeight="1">
      <c r="A179" s="5" t="inlineStr">
        <is>
          <t>2026-01-20</t>
        </is>
      </c>
      <c r="B179" s="5" t="inlineStr">
        <is>
          <t>4周</t>
        </is>
      </c>
      <c r="C179" s="5" t="inlineStr">
        <is>
          <t>抖音</t>
        </is>
      </c>
      <c r="D179" s="5" t="n"/>
      <c r="E179" s="5" t="n"/>
      <c r="F179" s="5" t="inlineStr">
        <is>
          <t>https://v.douyin.com/60oYIJKPK6I/</t>
        </is>
      </c>
      <c r="G179" s="5" t="inlineStr">
        <is>
          <t>0001A1</t>
        </is>
      </c>
      <c r="H179" s="5" t="inlineStr">
        <is>
          <t>新年好物</t>
        </is>
      </c>
      <c r="I179" s="5" t="n">
        <v>600</v>
      </c>
      <c r="J179" s="5" t="n"/>
      <c r="K179" s="5" t="n">
        <v>107.5</v>
      </c>
      <c r="L179" s="5" t="n">
        <v>110000</v>
      </c>
      <c r="M179" s="5" t="n">
        <v>4526</v>
      </c>
      <c r="N179" s="5" t="n">
        <v>187</v>
      </c>
      <c r="O179" s="5" t="n">
        <v>121</v>
      </c>
      <c r="P179" s="8">
        <f>IF(AND(M179&lt;&gt;"",M179&gt;0),M179+N179+O179,"")</f>
        <v/>
      </c>
      <c r="Q179" s="11">
        <f>IF(AND(L179&lt;&gt;"",L179&gt;0,P179&lt;&gt;""),P179/L179,"")</f>
        <v/>
      </c>
      <c r="R179" s="16">
        <f>IF(AND(P179&lt;&gt;"",P179&gt;0),(I179+J179+K179)/P179,"")</f>
        <v/>
      </c>
    </row>
    <row r="180" ht="27" customHeight="1">
      <c r="A180" s="5" t="inlineStr">
        <is>
          <t>2026-01-20</t>
        </is>
      </c>
      <c r="B180" s="5" t="inlineStr">
        <is>
          <t>4周</t>
        </is>
      </c>
      <c r="C180" s="5" t="inlineStr">
        <is>
          <t>抖音</t>
        </is>
      </c>
      <c r="D180" s="5" t="n"/>
      <c r="E180" s="5" t="n"/>
      <c r="F180" s="5" t="inlineStr">
        <is>
          <t>https://v.douyin.com/EmnQW-rZ2-U/</t>
        </is>
      </c>
      <c r="G180" s="5" t="inlineStr">
        <is>
          <t>495</t>
        </is>
      </c>
      <c r="H180" s="5" t="inlineStr">
        <is>
          <t>穿搭</t>
        </is>
      </c>
      <c r="I180" s="5" t="n"/>
      <c r="J180" s="5" t="n"/>
      <c r="K180" s="5" t="n">
        <v>93</v>
      </c>
      <c r="L180" s="5" t="n">
        <v>15000</v>
      </c>
      <c r="M180" s="5" t="n">
        <v>2181</v>
      </c>
      <c r="N180" s="5" t="n">
        <v>81</v>
      </c>
      <c r="O180" s="5" t="n">
        <v>20</v>
      </c>
      <c r="P180" s="8">
        <f>IF(AND(M180&lt;&gt;"",M180&gt;0),M180+N180+O180,"")</f>
        <v/>
      </c>
      <c r="Q180" s="11">
        <f>IF(AND(L180&lt;&gt;"",L180&gt;0,P180&lt;&gt;""),P180/L180,"")</f>
        <v/>
      </c>
      <c r="R180" s="16">
        <f>IF(AND(P180&lt;&gt;"",P180&gt;0),(I180+J180+K180)/P180,"")</f>
        <v/>
      </c>
    </row>
    <row r="181" ht="27" customHeight="1">
      <c r="A181" s="5" t="inlineStr">
        <is>
          <t>2026-01-20</t>
        </is>
      </c>
      <c r="B181" s="5" t="inlineStr">
        <is>
          <t>4周</t>
        </is>
      </c>
      <c r="C181" s="5" t="inlineStr">
        <is>
          <t>抖音</t>
        </is>
      </c>
      <c r="D181" s="5" t="n"/>
      <c r="E181" s="5" t="n"/>
      <c r="F181" s="5" t="inlineStr">
        <is>
          <t>https://v.douyin.com/fNBlSOOtGK8/</t>
        </is>
      </c>
      <c r="G181" s="5" t="inlineStr">
        <is>
          <t>0001A1</t>
        </is>
      </c>
      <c r="H181" s="5" t="inlineStr">
        <is>
          <t>新年好物</t>
        </is>
      </c>
      <c r="I181" s="5" t="n">
        <v>380</v>
      </c>
      <c r="J181" s="5" t="n"/>
      <c r="K181" s="5" t="n">
        <v>107.5</v>
      </c>
      <c r="L181" s="5" t="n">
        <v>117000</v>
      </c>
      <c r="M181" s="5" t="n">
        <v>1085</v>
      </c>
      <c r="N181" s="5" t="n">
        <v>43</v>
      </c>
      <c r="O181" s="5" t="n">
        <v>55</v>
      </c>
      <c r="P181" s="8">
        <f>IF(AND(M181&lt;&gt;"",M181&gt;0),M181+N181+O181,"")</f>
        <v/>
      </c>
      <c r="Q181" s="11">
        <f>IF(AND(L181&lt;&gt;"",L181&gt;0,P181&lt;&gt;""),P181/L181,"")</f>
        <v/>
      </c>
      <c r="R181" s="16">
        <f>IF(AND(P181&lt;&gt;"",P181&gt;0),(I181+J181+K181)/P181,"")</f>
        <v/>
      </c>
    </row>
    <row r="182" ht="27" customHeight="1">
      <c r="A182" s="5" t="inlineStr">
        <is>
          <t>2026-01-20</t>
        </is>
      </c>
      <c r="B182" s="5" t="inlineStr">
        <is>
          <t>4周</t>
        </is>
      </c>
      <c r="C182" s="5" t="inlineStr">
        <is>
          <t>抖音</t>
        </is>
      </c>
      <c r="D182" s="5" t="n"/>
      <c r="E182" s="5" t="n"/>
      <c r="F182" s="5" t="inlineStr">
        <is>
          <t>https://v.douyin.com/B6Xusp8-OGk/</t>
        </is>
      </c>
      <c r="G182" s="5" t="inlineStr">
        <is>
          <t>0001A1</t>
        </is>
      </c>
      <c r="H182" s="5" t="inlineStr">
        <is>
          <t>文严文</t>
        </is>
      </c>
      <c r="I182" s="5" t="n"/>
      <c r="J182" s="5" t="n"/>
      <c r="K182" s="5" t="n">
        <v>107.5</v>
      </c>
      <c r="L182" s="5" t="n">
        <v>1060</v>
      </c>
      <c r="M182" s="5" t="n">
        <v>50</v>
      </c>
      <c r="N182" s="5" t="n">
        <v>0</v>
      </c>
      <c r="O182" s="5" t="n">
        <v>5</v>
      </c>
      <c r="P182" s="8">
        <f>IF(AND(M182&lt;&gt;"",M182&gt;0),M182+N182+O182,"")</f>
        <v/>
      </c>
      <c r="Q182" s="11">
        <f>IF(AND(L182&lt;&gt;"",L182&gt;0,P182&lt;&gt;""),P182/L182,"")</f>
        <v/>
      </c>
      <c r="R182" s="16">
        <f>IF(AND(P182&lt;&gt;"",P182&gt;0),(I182+J182+K182)/P182,"")</f>
        <v/>
      </c>
    </row>
    <row r="183" ht="81" customHeight="1">
      <c r="A183" s="5" t="inlineStr">
        <is>
          <t>2026-01-20</t>
        </is>
      </c>
      <c r="B183" s="5" t="inlineStr">
        <is>
          <t>4周</t>
        </is>
      </c>
      <c r="C183" s="5" t="inlineStr">
        <is>
          <t>小红书</t>
        </is>
      </c>
      <c r="D183" s="5" t="n"/>
      <c r="E183" s="5" t="n"/>
      <c r="F183" s="5" t="inlineStr">
        <is>
          <t>https://www.xiaohongshu.com/discovery/item/696f2296000000001a021c71?xsec_token=CBvkUanMRLxdw0JcPO0_c8t0yozHx13lC_Aqor31hdlBk=&amp;xsec_source=app_share&amp;type=video</t>
        </is>
      </c>
      <c r="G183" s="5" t="inlineStr">
        <is>
          <t>495</t>
        </is>
      </c>
      <c r="H183" s="5" t="inlineStr">
        <is>
          <t>穿搭</t>
        </is>
      </c>
      <c r="I183" s="5" t="n">
        <v>100</v>
      </c>
      <c r="J183" s="5" t="n"/>
      <c r="K183" s="5" t="n">
        <v>93</v>
      </c>
      <c r="L183" s="5" t="n">
        <v>6220</v>
      </c>
      <c r="M183" s="5" t="n">
        <v>461</v>
      </c>
      <c r="N183" s="5" t="n">
        <v>86</v>
      </c>
      <c r="O183" s="5" t="n">
        <v>20</v>
      </c>
      <c r="P183" s="8">
        <f>IF(AND(M183&lt;&gt;"",M183&gt;0),M183+N183+O183,"")</f>
        <v/>
      </c>
      <c r="Q183" s="11">
        <f>IF(AND(L183&lt;&gt;"",L183&gt;0,P183&lt;&gt;""),P183/L183,"")</f>
        <v/>
      </c>
      <c r="R183" s="16">
        <f>IF(AND(P183&lt;&gt;"",P183&gt;0),(I183+J183+K183)/P183,"")</f>
        <v/>
      </c>
    </row>
    <row r="184" ht="81" customHeight="1">
      <c r="A184" s="5" t="inlineStr">
        <is>
          <t>2026-01-20</t>
        </is>
      </c>
      <c r="B184" s="5" t="inlineStr">
        <is>
          <t>4周</t>
        </is>
      </c>
      <c r="C184" s="5" t="inlineStr">
        <is>
          <t>小红书</t>
        </is>
      </c>
      <c r="D184" s="5" t="n"/>
      <c r="E184" s="5" t="n"/>
      <c r="F184" s="5" t="inlineStr">
        <is>
          <t>https://www.xiaohongshu.com/discovery/item/696f52cb000000002202cb17?xsec_token=CBXfSsI2kgOZafMQ-4wbyTuQ2p--ogARFrH1Fzxb53Fhw=&amp;xsec_source=app_share&amp;type=video</t>
        </is>
      </c>
      <c r="G184" s="5" t="inlineStr">
        <is>
          <t>495</t>
        </is>
      </c>
      <c r="H184" s="5" t="inlineStr">
        <is>
          <t>李沛恩江衡</t>
        </is>
      </c>
      <c r="I184" s="5" t="n"/>
      <c r="J184" s="5" t="n"/>
      <c r="K184" s="5" t="n">
        <v>93</v>
      </c>
      <c r="L184" s="5" t="n">
        <v>7978</v>
      </c>
      <c r="M184" s="5" t="n">
        <v>518</v>
      </c>
      <c r="N184" s="5" t="n">
        <v>20</v>
      </c>
      <c r="O184" s="5" t="n">
        <v>44</v>
      </c>
      <c r="P184" s="8">
        <f>IF(AND(M184&lt;&gt;"",M184&gt;0),M184+N184+O184,"")</f>
        <v/>
      </c>
      <c r="Q184" s="11">
        <f>IF(AND(L184&lt;&gt;"",L184&gt;0,P184&lt;&gt;""),P184/L184,"")</f>
        <v/>
      </c>
      <c r="R184" s="16">
        <f>IF(AND(P184&lt;&gt;"",P184&gt;0),(I184+J184+K184)/P184,"")</f>
        <v/>
      </c>
    </row>
    <row r="185" ht="81" customHeight="1">
      <c r="A185" s="5" t="inlineStr">
        <is>
          <t>2026-01-20</t>
        </is>
      </c>
      <c r="B185" s="5" t="inlineStr">
        <is>
          <t>4周</t>
        </is>
      </c>
      <c r="C185" s="5" t="inlineStr">
        <is>
          <t>小红书</t>
        </is>
      </c>
      <c r="D185" s="5" t="n"/>
      <c r="E185" s="5" t="n"/>
      <c r="F185" s="5" t="inlineStr">
        <is>
          <t>https://www.xiaohongshu.com/discovery/item/696f78400000000022021cea?xsec_token=CBPKiLmOKKwN-D9boXO6TmeBHe8g068ASMrQKudr240vU=&amp;xsec_source=app_share&amp;type=video</t>
        </is>
      </c>
      <c r="G185" s="5" t="inlineStr">
        <is>
          <t>495</t>
        </is>
      </c>
      <c r="H185" s="5" t="inlineStr">
        <is>
          <t>口播</t>
        </is>
      </c>
      <c r="I185" s="5" t="n"/>
      <c r="J185" s="5" t="n"/>
      <c r="K185" s="5" t="n">
        <v>93</v>
      </c>
      <c r="L185" s="5" t="n">
        <v>7504</v>
      </c>
      <c r="M185" s="5" t="n">
        <v>329</v>
      </c>
      <c r="N185" s="5" t="n">
        <v>228</v>
      </c>
      <c r="O185" s="5" t="n">
        <v>57</v>
      </c>
      <c r="P185" s="8">
        <f>IF(AND(M185&lt;&gt;"",M185&gt;0),M185+N185+O185,"")</f>
        <v/>
      </c>
      <c r="Q185" s="11">
        <f>IF(AND(L185&lt;&gt;"",L185&gt;0,P185&lt;&gt;""),P185/L185,"")</f>
        <v/>
      </c>
      <c r="R185" s="16">
        <f>IF(AND(P185&lt;&gt;"",P185&gt;0),(I185+J185+K185)/P185,"")</f>
        <v/>
      </c>
    </row>
    <row r="186" ht="27" customHeight="1">
      <c r="A186" s="5" t="inlineStr">
        <is>
          <t>2026-01-21</t>
        </is>
      </c>
      <c r="B186" s="5" t="inlineStr">
        <is>
          <t>4周</t>
        </is>
      </c>
      <c r="C186" s="5" t="inlineStr">
        <is>
          <t>抖音</t>
        </is>
      </c>
      <c r="D186" s="5" t="n"/>
      <c r="E186" s="5" t="n"/>
      <c r="F186" s="5" t="inlineStr">
        <is>
          <t>https://v.douyin.com/fEIcdg9qntE/</t>
        </is>
      </c>
      <c r="G186" s="5" t="inlineStr">
        <is>
          <t>495</t>
        </is>
      </c>
      <c r="H186" s="5" t="inlineStr">
        <is>
          <t>李沛恩江衡</t>
        </is>
      </c>
      <c r="I186" s="5" t="n"/>
      <c r="J186" s="5" t="n"/>
      <c r="K186" s="5" t="n">
        <v>93</v>
      </c>
      <c r="L186" s="5" t="n">
        <v>10000</v>
      </c>
      <c r="M186" s="5" t="n">
        <v>326</v>
      </c>
      <c r="N186" s="5" t="n">
        <v>10</v>
      </c>
      <c r="O186" s="5" t="n">
        <v>16</v>
      </c>
      <c r="P186" s="8">
        <f>IF(AND(M186&lt;&gt;"",M186&gt;0),M186+N186+O186,"")</f>
        <v/>
      </c>
      <c r="Q186" s="11">
        <f>IF(AND(L186&lt;&gt;"",L186&gt;0,P186&lt;&gt;""),P186/L186,"")</f>
        <v/>
      </c>
      <c r="R186" s="16">
        <f>IF(AND(P186&lt;&gt;"",P186&gt;0),(I186+J186+K186)/P186,"")</f>
        <v/>
      </c>
    </row>
    <row r="187" ht="27" customHeight="1">
      <c r="A187" s="5" t="inlineStr">
        <is>
          <t>2026-01-21</t>
        </is>
      </c>
      <c r="B187" s="5" t="inlineStr">
        <is>
          <t>4周</t>
        </is>
      </c>
      <c r="C187" s="5" t="inlineStr">
        <is>
          <t>抖音</t>
        </is>
      </c>
      <c r="D187" s="5" t="n"/>
      <c r="E187" s="5" t="n"/>
      <c r="F187" s="5" t="inlineStr">
        <is>
          <t>https://v.douyin.com/xsMGtzuarI0/</t>
        </is>
      </c>
      <c r="G187" s="5" t="inlineStr">
        <is>
          <t>495</t>
        </is>
      </c>
      <c r="H187" s="5" t="inlineStr">
        <is>
          <t>穿搭</t>
        </is>
      </c>
      <c r="I187" s="5" t="n">
        <v>160</v>
      </c>
      <c r="J187" s="5" t="n"/>
      <c r="K187" s="5" t="n">
        <v>93</v>
      </c>
      <c r="L187" s="5" t="n">
        <v>25000</v>
      </c>
      <c r="M187" s="5" t="n">
        <v>881</v>
      </c>
      <c r="N187" s="5" t="n">
        <v>64</v>
      </c>
      <c r="O187" s="5" t="n">
        <v>37</v>
      </c>
      <c r="P187" s="8">
        <f>IF(AND(M187&lt;&gt;"",M187&gt;0),M187+N187+O187,"")</f>
        <v/>
      </c>
      <c r="Q187" s="11">
        <f>IF(AND(L187&lt;&gt;"",L187&gt;0,P187&lt;&gt;""),P187/L187,"")</f>
        <v/>
      </c>
      <c r="R187" s="16">
        <f>IF(AND(P187&lt;&gt;"",P187&gt;0),(I187+J187+K187)/P187,"")</f>
        <v/>
      </c>
    </row>
    <row r="188" ht="27" customHeight="1">
      <c r="A188" s="5" t="inlineStr">
        <is>
          <t>2026-01-21</t>
        </is>
      </c>
      <c r="B188" s="5" t="inlineStr">
        <is>
          <t>4周</t>
        </is>
      </c>
      <c r="C188" s="5" t="inlineStr">
        <is>
          <t>抖音</t>
        </is>
      </c>
      <c r="D188" s="5" t="n"/>
      <c r="E188" s="5" t="n"/>
      <c r="F188" s="5" t="inlineStr">
        <is>
          <t>https://v.douyin.com/PNFz0kzDXz4/</t>
        </is>
      </c>
      <c r="G188" s="5" t="inlineStr">
        <is>
          <t>495</t>
        </is>
      </c>
      <c r="H188" s="5" t="inlineStr">
        <is>
          <t>李沛恩江衡</t>
        </is>
      </c>
      <c r="I188" s="5" t="n"/>
      <c r="J188" s="5" t="n"/>
      <c r="K188" s="5" t="n">
        <v>93</v>
      </c>
      <c r="L188" s="5" t="n">
        <v>680</v>
      </c>
      <c r="M188" s="5" t="n">
        <v>60</v>
      </c>
      <c r="N188" s="5" t="n">
        <v>3</v>
      </c>
      <c r="O188" s="5" t="n">
        <v>9</v>
      </c>
      <c r="P188" s="8">
        <f>IF(AND(M188&lt;&gt;"",M188&gt;0),M188+N188+O188,"")</f>
        <v/>
      </c>
      <c r="Q188" s="11">
        <f>IF(AND(L188&lt;&gt;"",L188&gt;0,P188&lt;&gt;""),P188/L188,"")</f>
        <v/>
      </c>
      <c r="R188" s="16">
        <f>IF(AND(P188&lt;&gt;"",P188&gt;0),(I188+J188+K188)/P188,"")</f>
        <v/>
      </c>
    </row>
    <row r="189" ht="27" customHeight="1">
      <c r="A189" s="5" t="inlineStr">
        <is>
          <t>2026-01-21</t>
        </is>
      </c>
      <c r="B189" s="5" t="inlineStr">
        <is>
          <t>4周</t>
        </is>
      </c>
      <c r="C189" s="5" t="inlineStr">
        <is>
          <t>抖音</t>
        </is>
      </c>
      <c r="D189" s="5" t="n"/>
      <c r="E189" s="5" t="n"/>
      <c r="F189" s="5" t="inlineStr">
        <is>
          <t>https://v.douyin.com/rpYg-lUaBMU/</t>
        </is>
      </c>
      <c r="G189" s="5" t="inlineStr">
        <is>
          <t>0001A1</t>
        </is>
      </c>
      <c r="H189" s="5" t="inlineStr">
        <is>
          <t>口播</t>
        </is>
      </c>
      <c r="I189" s="5" t="n">
        <v>100</v>
      </c>
      <c r="J189" s="5" t="n"/>
      <c r="K189" s="5" t="n">
        <v>107.5</v>
      </c>
      <c r="L189" s="5" t="n">
        <v>16000</v>
      </c>
      <c r="M189" s="5" t="n">
        <v>431</v>
      </c>
      <c r="N189" s="5" t="n">
        <v>304</v>
      </c>
      <c r="O189" s="5" t="n">
        <v>29</v>
      </c>
      <c r="P189" s="8">
        <f>IF(AND(M189&lt;&gt;"",M189&gt;0),M189+N189+O189,"")</f>
        <v/>
      </c>
      <c r="Q189" s="11">
        <f>IF(AND(L189&lt;&gt;"",L189&gt;0,P189&lt;&gt;""),P189/L189,"")</f>
        <v/>
      </c>
      <c r="R189" s="16">
        <f>IF(AND(P189&lt;&gt;"",P189&gt;0),(I189+J189+K189)/P189,"")</f>
        <v/>
      </c>
    </row>
    <row r="190" ht="81" customHeight="1">
      <c r="A190" s="5" t="inlineStr">
        <is>
          <t>2026-01-21</t>
        </is>
      </c>
      <c r="B190" s="5" t="inlineStr">
        <is>
          <t>4周</t>
        </is>
      </c>
      <c r="C190" s="5" t="inlineStr">
        <is>
          <t>小红书</t>
        </is>
      </c>
      <c r="D190" s="5" t="n"/>
      <c r="E190" s="5" t="n"/>
      <c r="F190" s="5" t="inlineStr">
        <is>
          <t>https://www.xiaohongshu.com/discovery/item/6970747b000000000b011cb6?xsec_token=CBnKYh-4bPyg02FtxP9OjDmLIkdZQh9zaEp3FYGFNDPOw=&amp;xsec_source=app_share&amp;type=video</t>
        </is>
      </c>
      <c r="G190" s="5" t="inlineStr">
        <is>
          <t>0001A1</t>
        </is>
      </c>
      <c r="H190" s="5" t="inlineStr">
        <is>
          <t>合集</t>
        </is>
      </c>
      <c r="I190" s="5" t="n"/>
      <c r="J190" s="5" t="n"/>
      <c r="K190" s="5" t="n">
        <v>107.5</v>
      </c>
      <c r="L190" s="5" t="n">
        <v>4588</v>
      </c>
      <c r="M190" s="5" t="n">
        <v>1527</v>
      </c>
      <c r="N190" s="5" t="n">
        <v>978</v>
      </c>
      <c r="O190" s="5" t="n">
        <v>22</v>
      </c>
      <c r="P190" s="8">
        <f>IF(AND(M190&lt;&gt;"",M190&gt;0),M190+N190+O190,"")</f>
        <v/>
      </c>
      <c r="Q190" s="11">
        <f>IF(AND(L190&lt;&gt;"",L190&gt;0,P190&lt;&gt;""),P190/L190,"")</f>
        <v/>
      </c>
      <c r="R190" s="16">
        <f>IF(AND(P190&lt;&gt;"",P190&gt;0),(I190+J190+K190)/P190,"")</f>
        <v/>
      </c>
    </row>
    <row r="191" ht="243" customHeight="1">
      <c r="A191" s="5" t="inlineStr">
        <is>
          <t>2026-01-22</t>
        </is>
      </c>
      <c r="B191" s="5" t="inlineStr">
        <is>
          <t>4周</t>
        </is>
      </c>
      <c r="C191" s="5" t="inlineStr">
        <is>
          <t>抖音</t>
        </is>
      </c>
      <c r="D191" s="5" t="n"/>
      <c r="E191" s="5" t="n"/>
      <c r="F191" s="5" t="inlineStr">
        <is>
          <t>https://www.bilibili.com/video/BV18tzsBUEtd?buvid=A23199C0-8676-46AB-AF32-2F76F3A4A3F25924infoc&amp;from_spmid=default-value&amp;is_story_h5=false&amp;mid=k31xMY8sWej1idhc5CYpxA%3D%3D&amp;plat_id=116&amp;share_from=ugc&amp;share_medium=android&amp;share_plat=android&amp;share_session_id=eb1df92b-ffde-4c00-91b3-9590a05316ed&amp;share_source=WEIXIN&amp;share_tag=s_i&amp;spmid=united.player-video-detail.0.0&amp;timestamp=1769145327&amp;unique_k=eqLhHXj&amp;up_id=345863189&amp;vd_source=5beb295422a6734618a8a79db0fde79a</t>
        </is>
      </c>
      <c r="G191" s="5" t="inlineStr">
        <is>
          <t>1172W</t>
        </is>
      </c>
      <c r="H191" s="5" t="inlineStr">
        <is>
          <t>学生</t>
        </is>
      </c>
      <c r="I191" s="5" t="n"/>
      <c r="J191" s="5" t="n"/>
      <c r="K191" s="5" t="n">
        <v>57.5</v>
      </c>
      <c r="L191" s="5" t="n">
        <v>7269</v>
      </c>
      <c r="M191" s="5" t="n">
        <v>483</v>
      </c>
      <c r="N191" s="5" t="n">
        <v>160</v>
      </c>
      <c r="O191" s="5" t="n">
        <v>61</v>
      </c>
      <c r="P191" s="8">
        <f>IF(AND(M191&lt;&gt;"",M191&gt;0),M191+N191+O191,"")</f>
        <v/>
      </c>
      <c r="Q191" s="11">
        <f>IF(AND(L191&lt;&gt;"",L191&gt;0,P191&lt;&gt;""),P191/L191,"")</f>
        <v/>
      </c>
      <c r="R191" s="16">
        <f>IF(AND(P191&lt;&gt;"",P191&gt;0),(I191+J191+K191)/P191,"")</f>
        <v/>
      </c>
    </row>
    <row r="192" ht="27" customHeight="1">
      <c r="A192" s="5" t="inlineStr">
        <is>
          <t>2026-01-22</t>
        </is>
      </c>
      <c r="B192" s="5" t="inlineStr">
        <is>
          <t>4周</t>
        </is>
      </c>
      <c r="C192" s="5" t="inlineStr">
        <is>
          <t>抖音</t>
        </is>
      </c>
      <c r="D192" s="5" t="n"/>
      <c r="E192" s="5" t="n"/>
      <c r="F192" s="5" t="inlineStr">
        <is>
          <t>https://v.douyin.com/W0aGnfo9uyY/</t>
        </is>
      </c>
      <c r="G192" s="5" t="inlineStr">
        <is>
          <t>0001A1</t>
        </is>
      </c>
      <c r="H192" s="5" t="inlineStr">
        <is>
          <t>文严文</t>
        </is>
      </c>
      <c r="I192" s="5" t="n"/>
      <c r="J192" s="5" t="n"/>
      <c r="K192" s="5" t="n">
        <v>107.5</v>
      </c>
      <c r="L192" s="5" t="n">
        <v>2100</v>
      </c>
      <c r="M192" s="5" t="n">
        <v>87</v>
      </c>
      <c r="N192" s="5" t="n">
        <v>1</v>
      </c>
      <c r="O192" s="5" t="n">
        <v>6</v>
      </c>
      <c r="P192" s="8">
        <f>IF(AND(M192&lt;&gt;"",M192&gt;0),M192+N192+O192,"")</f>
        <v/>
      </c>
      <c r="Q192" s="11">
        <f>IF(AND(L192&lt;&gt;"",L192&gt;0,P192&lt;&gt;""),P192/L192,"")</f>
        <v/>
      </c>
      <c r="R192" s="16">
        <f>IF(AND(P192&lt;&gt;"",P192&gt;0),(I192+J192+K192)/P192,"")</f>
        <v/>
      </c>
    </row>
    <row r="193" ht="67.5" customHeight="1">
      <c r="A193" s="5" t="inlineStr">
        <is>
          <t>2026-01-22</t>
        </is>
      </c>
      <c r="B193" s="5" t="inlineStr">
        <is>
          <t>4周</t>
        </is>
      </c>
      <c r="C193" s="5" t="inlineStr">
        <is>
          <t>小红书</t>
        </is>
      </c>
      <c r="D193" s="5" t="n"/>
      <c r="E193" s="5" t="n"/>
      <c r="F193" s="5" t="inlineStr">
        <is>
          <t>https://www.xiaohongshu.com/discovery/item/6971d85e000000001a02bed6?xsec_token=CB08IoFDtdBWuynMh7S1GrZjCgP9FYyQjL13v8joXuk2Q=&amp;xsec_source=app_share</t>
        </is>
      </c>
      <c r="G193" s="5" t="inlineStr">
        <is>
          <t>0001A1</t>
        </is>
      </c>
      <c r="H193" s="5" t="inlineStr">
        <is>
          <t>文严文</t>
        </is>
      </c>
      <c r="I193" s="5" t="n"/>
      <c r="J193" s="5" t="n"/>
      <c r="K193" s="5" t="n">
        <v>107.5</v>
      </c>
      <c r="L193" s="5" t="n">
        <v>132</v>
      </c>
      <c r="M193" s="5" t="n">
        <v>3</v>
      </c>
      <c r="N193" s="5" t="n">
        <v>1</v>
      </c>
      <c r="O193" s="5" t="n">
        <v>2</v>
      </c>
      <c r="P193" s="8">
        <f>IF(AND(M193&lt;&gt;"",M193&gt;0),M193+N193+O193,"")</f>
        <v/>
      </c>
      <c r="Q193" s="11">
        <f>IF(AND(L193&lt;&gt;"",L193&gt;0,P193&lt;&gt;""),P193/L193,"")</f>
        <v/>
      </c>
      <c r="R193" s="16">
        <f>IF(AND(P193&lt;&gt;"",P193&gt;0),(I193+J193+K193)/P193,"")</f>
        <v/>
      </c>
    </row>
    <row r="194" ht="81" customHeight="1">
      <c r="A194" s="5" t="inlineStr">
        <is>
          <t>2026-01-22</t>
        </is>
      </c>
      <c r="B194" s="5" t="inlineStr">
        <is>
          <t>4周</t>
        </is>
      </c>
      <c r="C194" s="5" t="inlineStr">
        <is>
          <t>小红书</t>
        </is>
      </c>
      <c r="D194" s="5" t="n"/>
      <c r="E194" s="5" t="n"/>
      <c r="F194" s="5" t="inlineStr">
        <is>
          <t>https://www.xiaohongshu.com/discovery/item/6971d8b4000000002103066b?xsec_token=CBCaA9V5QDTua2NdHWR_EKJHx0rrNQBgbxbL2jXz0A01o=&amp;xsec_source=app_share&amp;type=video</t>
        </is>
      </c>
      <c r="G194" s="5" t="inlineStr">
        <is>
          <t>1172W</t>
        </is>
      </c>
      <c r="H194" s="5" t="inlineStr">
        <is>
          <t>新年好物</t>
        </is>
      </c>
      <c r="I194" s="5" t="n"/>
      <c r="J194" s="5" t="n"/>
      <c r="K194" s="5" t="n">
        <v>57.5</v>
      </c>
      <c r="L194" s="5" t="n">
        <v>55517</v>
      </c>
      <c r="M194" s="5" t="n">
        <v>4939</v>
      </c>
      <c r="N194" s="5" t="n">
        <v>2191</v>
      </c>
      <c r="O194" s="5" t="n">
        <v>82</v>
      </c>
      <c r="P194" s="8">
        <f>IF(AND(M194&lt;&gt;"",M194&gt;0),M194+N194+O194,"")</f>
        <v/>
      </c>
      <c r="Q194" s="11">
        <f>IF(AND(L194&lt;&gt;"",L194&gt;0,P194&lt;&gt;""),P194/L194,"")</f>
        <v/>
      </c>
      <c r="R194" s="16">
        <f>IF(AND(P194&lt;&gt;"",P194&gt;0),(I194+J194+K194)/P194,"")</f>
        <v/>
      </c>
    </row>
    <row r="195" ht="27" customHeight="1">
      <c r="A195" s="5" t="inlineStr">
        <is>
          <t>2026-01-23</t>
        </is>
      </c>
      <c r="B195" s="5" t="inlineStr">
        <is>
          <t>4周</t>
        </is>
      </c>
      <c r="C195" s="5" t="inlineStr">
        <is>
          <t>抖音</t>
        </is>
      </c>
      <c r="D195" s="5" t="n"/>
      <c r="E195" s="5" t="n"/>
      <c r="F195" s="5" t="inlineStr">
        <is>
          <t>https://v.douyin.com/ZqRJA1KaUwM/ ChO:/ 09/15 A@t.eO</t>
        </is>
      </c>
      <c r="G195" s="5" t="inlineStr">
        <is>
          <t>495</t>
        </is>
      </c>
      <c r="H195" s="5" t="inlineStr">
        <is>
          <t>新年好物</t>
        </is>
      </c>
      <c r="I195" s="5" t="n">
        <v>800</v>
      </c>
      <c r="J195" s="5" t="n"/>
      <c r="K195" s="5" t="n">
        <v>93</v>
      </c>
      <c r="L195" s="5" t="n">
        <v>11000</v>
      </c>
      <c r="M195" s="5" t="n">
        <v>712</v>
      </c>
      <c r="N195" s="5" t="n">
        <v>83</v>
      </c>
      <c r="O195" s="5" t="n">
        <v>13</v>
      </c>
      <c r="P195" s="8">
        <f>IF(AND(M195&lt;&gt;"",M195&gt;0),M195+N195+O195,"")</f>
        <v/>
      </c>
      <c r="Q195" s="11">
        <f>IF(AND(L195&lt;&gt;"",L195&gt;0,P195&lt;&gt;""),P195/L195,"")</f>
        <v/>
      </c>
      <c r="R195" s="16">
        <f>IF(AND(P195&lt;&gt;"",P195&gt;0),(I195+J195+K195)/P195,"")</f>
        <v/>
      </c>
    </row>
    <row r="196" ht="27" customHeight="1">
      <c r="A196" s="5" t="inlineStr">
        <is>
          <t>2026-01-23</t>
        </is>
      </c>
      <c r="B196" s="5" t="inlineStr">
        <is>
          <t>4周</t>
        </is>
      </c>
      <c r="C196" s="5" t="inlineStr">
        <is>
          <t>抖音</t>
        </is>
      </c>
      <c r="D196" s="5" t="n"/>
      <c r="E196" s="5" t="n"/>
      <c r="F196" s="5" t="inlineStr">
        <is>
          <t>https://v.douyin.com/5oXNIskmmGY/</t>
        </is>
      </c>
      <c r="G196" s="5" t="inlineStr">
        <is>
          <t>495</t>
        </is>
      </c>
      <c r="H196" s="5" t="inlineStr">
        <is>
          <t>穿搭</t>
        </is>
      </c>
      <c r="I196" s="5" t="n">
        <v>200</v>
      </c>
      <c r="J196" s="5" t="n"/>
      <c r="K196" s="5" t="n">
        <v>93</v>
      </c>
      <c r="L196" s="5" t="n">
        <v>9626</v>
      </c>
      <c r="M196" s="5" t="n">
        <v>1491</v>
      </c>
      <c r="N196" s="5" t="n">
        <v>56</v>
      </c>
      <c r="O196" s="5" t="n">
        <v>25</v>
      </c>
      <c r="P196" s="8">
        <f>IF(AND(M196&lt;&gt;"",M196&gt;0),M196+N196+O196,"")</f>
        <v/>
      </c>
      <c r="Q196" s="11">
        <f>IF(AND(L196&lt;&gt;"",L196&gt;0,P196&lt;&gt;""),P196/L196,"")</f>
        <v/>
      </c>
      <c r="R196" s="16">
        <f>IF(AND(P196&lt;&gt;"",P196&gt;0),(I196+J196+K196)/P196,"")</f>
        <v/>
      </c>
    </row>
    <row r="197" ht="27" customHeight="1">
      <c r="A197" s="5" t="inlineStr">
        <is>
          <t>2026-01-23</t>
        </is>
      </c>
      <c r="B197" s="5" t="inlineStr">
        <is>
          <t>4周</t>
        </is>
      </c>
      <c r="C197" s="5" t="inlineStr">
        <is>
          <t>抖音</t>
        </is>
      </c>
      <c r="D197" s="5" t="n"/>
      <c r="E197" s="5" t="n"/>
      <c r="F197" s="5" t="inlineStr">
        <is>
          <t>https://v.douyin.com/AuQc64Sxqew/</t>
        </is>
      </c>
      <c r="G197" s="5" t="inlineStr">
        <is>
          <t>1217W</t>
        </is>
      </c>
      <c r="H197" s="5" t="inlineStr">
        <is>
          <t>学生</t>
        </is>
      </c>
      <c r="I197" s="5" t="n">
        <v>100</v>
      </c>
      <c r="J197" s="5" t="n"/>
      <c r="K197" s="5" t="n">
        <v>54</v>
      </c>
      <c r="L197" s="5" t="n">
        <v>3642</v>
      </c>
      <c r="M197" s="5" t="n">
        <v>240</v>
      </c>
      <c r="N197" s="5" t="n">
        <v>11</v>
      </c>
      <c r="O197" s="5" t="n">
        <v>57</v>
      </c>
      <c r="P197" s="8">
        <f>IF(AND(M197&lt;&gt;"",M197&gt;0),M197+N197+O197,"")</f>
        <v/>
      </c>
      <c r="Q197" s="11">
        <f>IF(AND(L197&lt;&gt;"",L197&gt;0,P197&lt;&gt;""),P197/L197,"")</f>
        <v/>
      </c>
      <c r="R197" s="16">
        <f>IF(AND(P197&lt;&gt;"",P197&gt;0),(I197+J197+K197)/P197,"")</f>
        <v/>
      </c>
    </row>
    <row r="198" ht="27" customHeight="1">
      <c r="A198" s="5" t="inlineStr">
        <is>
          <t>2026-01-23</t>
        </is>
      </c>
      <c r="B198" s="5" t="inlineStr">
        <is>
          <t>4周</t>
        </is>
      </c>
      <c r="C198" s="5" t="inlineStr">
        <is>
          <t>抖音</t>
        </is>
      </c>
      <c r="D198" s="5" t="n"/>
      <c r="E198" s="5" t="n"/>
      <c r="F198" s="5" t="inlineStr">
        <is>
          <t>https://v.douyin.com/5RifSYmwJKQ/</t>
        </is>
      </c>
      <c r="G198" s="5" t="inlineStr">
        <is>
          <t>495</t>
        </is>
      </c>
      <c r="H198" s="5" t="inlineStr">
        <is>
          <t>穿搭</t>
        </is>
      </c>
      <c r="I198" s="5" t="n">
        <v>100</v>
      </c>
      <c r="J198" s="5" t="n"/>
      <c r="K198" s="5" t="n">
        <v>93</v>
      </c>
      <c r="L198" s="5" t="n">
        <v>15000</v>
      </c>
      <c r="M198" s="5" t="n">
        <v>830</v>
      </c>
      <c r="N198" s="5" t="n">
        <v>147</v>
      </c>
      <c r="O198" s="5" t="n">
        <v>43</v>
      </c>
      <c r="P198" s="8">
        <f>IF(AND(M198&lt;&gt;"",M198&gt;0),M198+N198+O198,"")</f>
        <v/>
      </c>
      <c r="Q198" s="11">
        <f>IF(AND(L198&lt;&gt;"",L198&gt;0,P198&lt;&gt;""),P198/L198,"")</f>
        <v/>
      </c>
      <c r="R198" s="16">
        <f>IF(AND(P198&lt;&gt;"",P198&gt;0),(I198+J198+K198)/P198,"")</f>
        <v/>
      </c>
    </row>
    <row r="199" ht="27" customHeight="1">
      <c r="A199" s="5" t="inlineStr">
        <is>
          <t>2026-01-23</t>
        </is>
      </c>
      <c r="B199" s="5" t="inlineStr">
        <is>
          <t>4周</t>
        </is>
      </c>
      <c r="C199" s="5" t="inlineStr">
        <is>
          <t>抖音</t>
        </is>
      </c>
      <c r="D199" s="5" t="n"/>
      <c r="E199" s="5" t="n"/>
      <c r="F199" s="5" t="inlineStr">
        <is>
          <t>https://v.douyin.com/okEgyC4mWoI</t>
        </is>
      </c>
      <c r="G199" s="5" t="inlineStr">
        <is>
          <t>1172W</t>
        </is>
      </c>
      <c r="H199" s="5" t="inlineStr">
        <is>
          <t>学生</t>
        </is>
      </c>
      <c r="I199" s="5" t="n"/>
      <c r="J199" s="5" t="n"/>
      <c r="K199" s="5" t="n">
        <v>57.5</v>
      </c>
      <c r="L199" s="5" t="n">
        <v>90000</v>
      </c>
      <c r="M199" s="5" t="n">
        <v>3860</v>
      </c>
      <c r="N199" s="5" t="n">
        <v>1082</v>
      </c>
      <c r="O199" s="5" t="n">
        <v>141</v>
      </c>
      <c r="P199" s="8">
        <f>IF(AND(M199&lt;&gt;"",M199&gt;0),M199+N199+O199,"")</f>
        <v/>
      </c>
      <c r="Q199" s="11">
        <f>IF(AND(L199&lt;&gt;"",L199&gt;0,P199&lt;&gt;""),P199/L199,"")</f>
        <v/>
      </c>
      <c r="R199" s="16">
        <f>IF(AND(P199&lt;&gt;"",P199&gt;0),(I199+J199+K199)/P199,"")</f>
        <v/>
      </c>
    </row>
    <row r="200" ht="27" customHeight="1">
      <c r="A200" s="5" t="inlineStr">
        <is>
          <t>2026-01-23</t>
        </is>
      </c>
      <c r="B200" s="5" t="inlineStr">
        <is>
          <t>4周</t>
        </is>
      </c>
      <c r="C200" s="5" t="inlineStr">
        <is>
          <t>抖音</t>
        </is>
      </c>
      <c r="D200" s="5" t="n"/>
      <c r="E200" s="5" t="n"/>
      <c r="F200" s="5" t="inlineStr">
        <is>
          <t>https://v.douyin.com/RzlzWIaoaWU/</t>
        </is>
      </c>
      <c r="G200" s="5" t="inlineStr">
        <is>
          <t>1225</t>
        </is>
      </c>
      <c r="H200" s="5" t="inlineStr">
        <is>
          <t>新年好物</t>
        </is>
      </c>
      <c r="I200" s="5" t="n"/>
      <c r="J200" s="5" t="n"/>
      <c r="K200" s="5" t="n">
        <v>55.5</v>
      </c>
      <c r="L200" s="5" t="n">
        <v>4537</v>
      </c>
      <c r="M200" s="5" t="n">
        <v>192</v>
      </c>
      <c r="N200" s="5" t="n">
        <v>55</v>
      </c>
      <c r="O200" s="5" t="n">
        <v>14</v>
      </c>
      <c r="P200" s="8">
        <f>IF(AND(M200&lt;&gt;"",M200&gt;0),M200+N200+O200,"")</f>
        <v/>
      </c>
      <c r="Q200" s="11">
        <f>IF(AND(L200&lt;&gt;"",L200&gt;0,P200&lt;&gt;""),P200/L200,"")</f>
        <v/>
      </c>
      <c r="R200" s="16">
        <f>IF(AND(P200&lt;&gt;"",P200&gt;0),(I200+J200+K200)/P200,"")</f>
        <v/>
      </c>
    </row>
    <row r="201" ht="27" customHeight="1">
      <c r="A201" s="5" t="inlineStr">
        <is>
          <t>2026-01-23</t>
        </is>
      </c>
      <c r="B201" s="5" t="inlineStr">
        <is>
          <t>4周</t>
        </is>
      </c>
      <c r="C201" s="5" t="inlineStr">
        <is>
          <t>抖音</t>
        </is>
      </c>
      <c r="D201" s="5" t="n"/>
      <c r="E201" s="5" t="n"/>
      <c r="F201" s="5" t="inlineStr">
        <is>
          <t>https://v.douyin.com/7YhH4qDbfjk/ B@G.IV</t>
        </is>
      </c>
      <c r="G201" s="5" t="inlineStr">
        <is>
          <t>495</t>
        </is>
      </c>
      <c r="H201" s="5" t="inlineStr">
        <is>
          <t>新年好物</t>
        </is>
      </c>
      <c r="I201" s="5" t="n">
        <v>300</v>
      </c>
      <c r="J201" s="5" t="n"/>
      <c r="K201" s="5" t="n">
        <v>93</v>
      </c>
      <c r="L201" s="5" t="n">
        <v>6763</v>
      </c>
      <c r="M201" s="5" t="n">
        <v>244</v>
      </c>
      <c r="N201" s="5" t="n">
        <v>32</v>
      </c>
      <c r="O201" s="5" t="n">
        <v>63</v>
      </c>
      <c r="P201" s="8">
        <f>IF(AND(M201&lt;&gt;"",M201&gt;0),M201+N201+O201,"")</f>
        <v/>
      </c>
      <c r="Q201" s="11">
        <f>IF(AND(L201&lt;&gt;"",L201&gt;0,P201&lt;&gt;""),P201/L201,"")</f>
        <v/>
      </c>
      <c r="R201" s="16">
        <f>IF(AND(P201&lt;&gt;"",P201&gt;0),(I201+J201+K201)/P201,"")</f>
        <v/>
      </c>
    </row>
    <row r="202" ht="27" customHeight="1">
      <c r="A202" s="5" t="inlineStr">
        <is>
          <t>2026-01-23</t>
        </is>
      </c>
      <c r="B202" s="5" t="inlineStr">
        <is>
          <t>4周</t>
        </is>
      </c>
      <c r="C202" s="5" t="inlineStr">
        <is>
          <t>抖音</t>
        </is>
      </c>
      <c r="D202" s="5" t="n"/>
      <c r="E202" s="5" t="n"/>
      <c r="F202" s="5" t="inlineStr">
        <is>
          <t>https://v.douyin.com/QRide1V3W7s/</t>
        </is>
      </c>
      <c r="G202" s="5" t="inlineStr">
        <is>
          <t>0001A1</t>
        </is>
      </c>
      <c r="H202" s="5" t="inlineStr">
        <is>
          <t>新年好物</t>
        </is>
      </c>
      <c r="I202" s="5" t="n"/>
      <c r="J202" s="5" t="n"/>
      <c r="K202" s="5" t="n">
        <v>107.5</v>
      </c>
      <c r="L202" s="5" t="n">
        <v>25000</v>
      </c>
      <c r="M202" s="5" t="n">
        <v>754</v>
      </c>
      <c r="N202" s="5" t="n">
        <v>67</v>
      </c>
      <c r="O202" s="5" t="n">
        <v>28</v>
      </c>
      <c r="P202" s="8">
        <f>IF(AND(M202&lt;&gt;"",M202&gt;0),M202+N202+O202,"")</f>
        <v/>
      </c>
      <c r="Q202" s="11">
        <f>IF(AND(L202&lt;&gt;"",L202&gt;0,P202&lt;&gt;""),P202/L202,"")</f>
        <v/>
      </c>
      <c r="R202" s="16">
        <f>IF(AND(P202&lt;&gt;"",P202&gt;0),(I202+J202+K202)/P202,"")</f>
        <v/>
      </c>
    </row>
    <row r="203" ht="27" customHeight="1">
      <c r="A203" s="5" t="inlineStr">
        <is>
          <t>2026-01-23</t>
        </is>
      </c>
      <c r="B203" s="5" t="inlineStr">
        <is>
          <t>4周</t>
        </is>
      </c>
      <c r="C203" s="5" t="inlineStr">
        <is>
          <t>抖音</t>
        </is>
      </c>
      <c r="D203" s="5" t="n"/>
      <c r="E203" s="5" t="n"/>
      <c r="F203" s="5" t="inlineStr">
        <is>
          <t>https://v.douyin.com/yYz9Uxj9snA/</t>
        </is>
      </c>
      <c r="G203" s="5" t="inlineStr">
        <is>
          <t>1172W</t>
        </is>
      </c>
      <c r="H203" s="5" t="inlineStr">
        <is>
          <t>学生</t>
        </is>
      </c>
      <c r="I203" s="5" t="n"/>
      <c r="J203" s="5" t="n"/>
      <c r="K203" s="5" t="n">
        <v>57.5</v>
      </c>
      <c r="L203" s="5" t="n">
        <v>50000</v>
      </c>
      <c r="M203" s="5" t="n">
        <v>4083</v>
      </c>
      <c r="N203" s="5" t="n">
        <v>861</v>
      </c>
      <c r="O203" s="5" t="n">
        <v>41</v>
      </c>
      <c r="P203" s="8">
        <f>IF(AND(M203&lt;&gt;"",M203&gt;0),M203+N203+O203,"")</f>
        <v/>
      </c>
      <c r="Q203" s="11">
        <f>IF(AND(L203&lt;&gt;"",L203&gt;0,P203&lt;&gt;""),P203/L203,"")</f>
        <v/>
      </c>
      <c r="R203" s="16">
        <f>IF(AND(P203&lt;&gt;"",P203&gt;0),(I203+J203+K203)/P203,"")</f>
        <v/>
      </c>
    </row>
    <row r="204" ht="27" customHeight="1">
      <c r="A204" s="5" t="inlineStr">
        <is>
          <t>2026-01-23</t>
        </is>
      </c>
      <c r="B204" s="5" t="inlineStr">
        <is>
          <t>4周</t>
        </is>
      </c>
      <c r="C204" s="5" t="inlineStr">
        <is>
          <t>抖音</t>
        </is>
      </c>
      <c r="D204" s="5" t="n"/>
      <c r="E204" s="5" t="n"/>
      <c r="F204" s="5" t="inlineStr">
        <is>
          <t>https://v.douyin.com/viNdXkyiRTc/</t>
        </is>
      </c>
      <c r="G204" s="5" t="inlineStr">
        <is>
          <t>495</t>
        </is>
      </c>
      <c r="H204" s="5" t="inlineStr">
        <is>
          <t>群像</t>
        </is>
      </c>
      <c r="I204" s="5" t="n"/>
      <c r="J204" s="5" t="n"/>
      <c r="K204" s="5" t="n">
        <v>93</v>
      </c>
      <c r="L204" s="5" t="n">
        <v>3366</v>
      </c>
      <c r="M204" s="5" t="n">
        <v>258</v>
      </c>
      <c r="N204" s="5" t="n">
        <v>14</v>
      </c>
      <c r="O204" s="5" t="n">
        <v>45</v>
      </c>
      <c r="P204" s="8">
        <f>IF(AND(M204&lt;&gt;"",M204&gt;0),M204+N204+O204,"")</f>
        <v/>
      </c>
      <c r="Q204" s="11">
        <f>IF(AND(L204&lt;&gt;"",L204&gt;0,P204&lt;&gt;""),P204/L204,"")</f>
        <v/>
      </c>
      <c r="R204" s="16">
        <f>IF(AND(P204&lt;&gt;"",P204&gt;0),(I204+J204+K204)/P204,"")</f>
        <v/>
      </c>
    </row>
    <row r="205" ht="27" customHeight="1">
      <c r="A205" s="5" t="inlineStr">
        <is>
          <t>2026-01-23</t>
        </is>
      </c>
      <c r="B205" s="5" t="inlineStr">
        <is>
          <t>4周</t>
        </is>
      </c>
      <c r="C205" s="5" t="inlineStr">
        <is>
          <t>抖音</t>
        </is>
      </c>
      <c r="D205" s="5" t="n"/>
      <c r="E205" s="5" t="n"/>
      <c r="F205" s="5" t="inlineStr">
        <is>
          <t>https://v.douyin.com/8bcT6dMyCHQ/</t>
        </is>
      </c>
      <c r="G205" s="5" t="inlineStr">
        <is>
          <t>0001A1</t>
        </is>
      </c>
      <c r="H205" s="5" t="inlineStr">
        <is>
          <t>李沛恩</t>
        </is>
      </c>
      <c r="I205" s="5" t="n"/>
      <c r="J205" s="5" t="n"/>
      <c r="K205" s="5" t="n">
        <v>107.5</v>
      </c>
      <c r="L205" s="5" t="n">
        <v>20000</v>
      </c>
      <c r="M205" s="5" t="n">
        <v>168</v>
      </c>
      <c r="N205" s="5" t="n">
        <v>8</v>
      </c>
      <c r="O205" s="5" t="n">
        <v>21</v>
      </c>
      <c r="P205" s="8">
        <f>IF(AND(M205&lt;&gt;"",M205&gt;0),M205+N205+O205,"")</f>
        <v/>
      </c>
      <c r="Q205" s="11">
        <f>IF(AND(L205&lt;&gt;"",L205&gt;0,P205&lt;&gt;""),P205/L205,"")</f>
        <v/>
      </c>
      <c r="R205" s="16">
        <f>IF(AND(P205&lt;&gt;"",P205&gt;0),(I205+J205+K205)/P205,"")</f>
        <v/>
      </c>
    </row>
    <row r="206" ht="27" customHeight="1">
      <c r="A206" s="5" t="inlineStr">
        <is>
          <t>2026-01-23</t>
        </is>
      </c>
      <c r="B206" s="5" t="inlineStr">
        <is>
          <t>4周</t>
        </is>
      </c>
      <c r="C206" s="5" t="inlineStr">
        <is>
          <t>抖音</t>
        </is>
      </c>
      <c r="D206" s="5" t="n"/>
      <c r="E206" s="5" t="n"/>
      <c r="F206" s="5" t="inlineStr">
        <is>
          <t>https://v.douyin.com/TOKNjoYVmT8/</t>
        </is>
      </c>
      <c r="G206" s="5" t="inlineStr">
        <is>
          <t>0002A1</t>
        </is>
      </c>
      <c r="H206" s="5" t="inlineStr">
        <is>
          <t>刘耀文</t>
        </is>
      </c>
      <c r="I206" s="5" t="n"/>
      <c r="J206" s="5" t="n"/>
      <c r="K206" s="5" t="n">
        <v>110.5</v>
      </c>
      <c r="L206" s="5" t="n">
        <v>16000</v>
      </c>
      <c r="M206" s="5" t="n">
        <v>1867</v>
      </c>
      <c r="N206" s="5" t="n">
        <v>115</v>
      </c>
      <c r="O206" s="5" t="n">
        <v>17</v>
      </c>
      <c r="P206" s="8">
        <f>IF(AND(M206&lt;&gt;"",M206&gt;0),M206+N206+O206,"")</f>
        <v/>
      </c>
      <c r="Q206" s="11">
        <f>IF(AND(L206&lt;&gt;"",L206&gt;0,P206&lt;&gt;""),P206/L206,"")</f>
        <v/>
      </c>
      <c r="R206" s="16">
        <f>IF(AND(P206&lt;&gt;"",P206&gt;0),(I206+J206+K206)/P206,"")</f>
        <v/>
      </c>
    </row>
    <row r="207" ht="67.5" customHeight="1">
      <c r="A207" s="5" t="inlineStr">
        <is>
          <t>2026-01-23</t>
        </is>
      </c>
      <c r="B207" s="5" t="inlineStr">
        <is>
          <t>4周</t>
        </is>
      </c>
      <c r="C207" s="5" t="inlineStr">
        <is>
          <t>小红书</t>
        </is>
      </c>
      <c r="D207" s="5" t="n"/>
      <c r="E207" s="5" t="n"/>
      <c r="F207" s="5" t="inlineStr">
        <is>
          <t>https://www.xiaohongshu.com/discovery/item/6972e978000000002203015f?xsec_token=CBT0yV7ZJRGLjabNB0IhlUcWtG4WVRtkUgo7eKuTqFniI=&amp;xsec_source=app_share</t>
        </is>
      </c>
      <c r="G207" s="5" t="inlineStr">
        <is>
          <t>0001A1</t>
        </is>
      </c>
      <c r="H207" s="5" t="inlineStr">
        <is>
          <t>文严文</t>
        </is>
      </c>
      <c r="I207" s="5" t="n"/>
      <c r="J207" s="5" t="n"/>
      <c r="K207" s="5" t="n">
        <v>107.5</v>
      </c>
      <c r="L207" s="5" t="n">
        <v>1471</v>
      </c>
      <c r="M207" s="5" t="n">
        <v>105</v>
      </c>
      <c r="N207" s="5" t="n">
        <v>9</v>
      </c>
      <c r="O207" s="5" t="n">
        <v>10</v>
      </c>
      <c r="P207" s="8">
        <f>IF(AND(M207&lt;&gt;"",M207&gt;0),M207+N207+O207,"")</f>
        <v/>
      </c>
      <c r="Q207" s="11">
        <f>IF(AND(L207&lt;&gt;"",L207&gt;0,P207&lt;&gt;""),P207/L207,"")</f>
        <v/>
      </c>
      <c r="R207" s="16">
        <f>IF(AND(P207&lt;&gt;"",P207&gt;0),(I207+J207+K207)/P207,"")</f>
        <v/>
      </c>
    </row>
    <row r="208" ht="67.5" customHeight="1">
      <c r="A208" s="5" t="inlineStr">
        <is>
          <t>2026-01-23</t>
        </is>
      </c>
      <c r="B208" s="5" t="inlineStr">
        <is>
          <t>4周</t>
        </is>
      </c>
      <c r="C208" s="5" t="inlineStr">
        <is>
          <t>小红书</t>
        </is>
      </c>
      <c r="D208" s="5" t="n"/>
      <c r="E208" s="5" t="n"/>
      <c r="F208" s="5" t="inlineStr">
        <is>
          <t>https://www.xiaohongshu.com/discovery/item/6972f6bf000000001a0372fc?xsec_token=CB_6RCu9ZX3B02irbNEimklaNoK6Jv5cmFe8hjaDYi_Tc=&amp;xsec_source=app_share</t>
        </is>
      </c>
      <c r="G208" s="5" t="inlineStr">
        <is>
          <t>1225</t>
        </is>
      </c>
      <c r="H208" s="5" t="inlineStr">
        <is>
          <t>穿搭</t>
        </is>
      </c>
      <c r="I208" s="5" t="n"/>
      <c r="J208" s="5" t="n"/>
      <c r="K208" s="5" t="n">
        <v>55.5</v>
      </c>
      <c r="L208" s="5" t="n">
        <v>1932</v>
      </c>
      <c r="M208" s="5" t="n">
        <v>99</v>
      </c>
      <c r="N208" s="5" t="n">
        <v>33</v>
      </c>
      <c r="O208" s="5" t="n">
        <v>15</v>
      </c>
      <c r="P208" s="8">
        <f>IF(AND(M208&lt;&gt;"",M208&gt;0),M208+N208+O208,"")</f>
        <v/>
      </c>
      <c r="Q208" s="11">
        <f>IF(AND(L208&lt;&gt;"",L208&gt;0,P208&lt;&gt;""),P208/L208,"")</f>
        <v/>
      </c>
      <c r="R208" s="16">
        <f>IF(AND(P208&lt;&gt;"",P208&gt;0),(I208+J208+K208)/P208,"")</f>
        <v/>
      </c>
    </row>
    <row r="209" ht="81" customHeight="1">
      <c r="A209" s="5" t="inlineStr">
        <is>
          <t>2026-01-23</t>
        </is>
      </c>
      <c r="B209" s="5" t="inlineStr">
        <is>
          <t>4周</t>
        </is>
      </c>
      <c r="C209" s="5" t="inlineStr">
        <is>
          <t>小红书</t>
        </is>
      </c>
      <c r="D209" s="5" t="n"/>
      <c r="E209" s="5" t="n"/>
      <c r="F209" s="5" t="inlineStr">
        <is>
          <t>https://www.xiaohongshu.com/discovery/item/69730821000000001a027d84?xsec_token=CBuG-IeoiFRhpyGQKwY9R4mK4OtWU7cJZgQg-vPgEenXk=&amp;xsec_source=app_share</t>
        </is>
      </c>
      <c r="G209" s="5" t="inlineStr">
        <is>
          <t>495</t>
        </is>
      </c>
      <c r="H209" s="5" t="inlineStr">
        <is>
          <t>群像</t>
        </is>
      </c>
      <c r="I209" s="5" t="n"/>
      <c r="J209" s="5" t="n"/>
      <c r="K209" s="5" t="n">
        <v>93</v>
      </c>
      <c r="L209" s="5" t="n">
        <v>39</v>
      </c>
      <c r="M209" s="5" t="n">
        <v>1</v>
      </c>
      <c r="N209" s="5" t="n">
        <v>0</v>
      </c>
      <c r="O209" s="5" t="n">
        <v>1</v>
      </c>
      <c r="P209" s="8">
        <f>IF(AND(M209&lt;&gt;"",M209&gt;0),M209+N209+O209,"")</f>
        <v/>
      </c>
      <c r="Q209" s="11">
        <f>IF(AND(L209&lt;&gt;"",L209&gt;0,P209&lt;&gt;""),P209/L209,"")</f>
        <v/>
      </c>
      <c r="R209" s="16">
        <f>IF(AND(P209&lt;&gt;"",P209&gt;0),(I209+J209+K209)/P209,"")</f>
        <v/>
      </c>
    </row>
    <row r="210" ht="81" customHeight="1">
      <c r="A210" s="5" t="inlineStr">
        <is>
          <t>2026-01-23</t>
        </is>
      </c>
      <c r="B210" s="5" t="inlineStr">
        <is>
          <t>4周</t>
        </is>
      </c>
      <c r="C210" s="5" t="inlineStr">
        <is>
          <t>小红书</t>
        </is>
      </c>
      <c r="D210" s="5" t="n"/>
      <c r="E210" s="5" t="n"/>
      <c r="F210" s="5" t="inlineStr">
        <is>
          <t>https://www.xiaohongshu.com/discovery/item/69733315000000000a02d162?xsec_token=CBuG-IeoiFRhpyGQKwY9R4mB73umVHS6a2PlqFC2Wv9Yw=&amp;xsec_source=app_share&amp;type=video</t>
        </is>
      </c>
      <c r="G210" s="5" t="inlineStr">
        <is>
          <t>0001A1</t>
        </is>
      </c>
      <c r="H210" s="5" t="inlineStr">
        <is>
          <t>新年好物</t>
        </is>
      </c>
      <c r="I210" s="5" t="n"/>
      <c r="J210" s="5" t="n"/>
      <c r="K210" s="5" t="n">
        <v>107.5</v>
      </c>
      <c r="L210" s="5" t="n">
        <v>517</v>
      </c>
      <c r="M210" s="5" t="n">
        <v>241</v>
      </c>
      <c r="N210" s="5" t="n">
        <v>125</v>
      </c>
      <c r="O210" s="5" t="n">
        <v>24</v>
      </c>
      <c r="P210" s="8">
        <f>IF(AND(M210&lt;&gt;"",M210&gt;0),M210+N210+O210,"")</f>
        <v/>
      </c>
      <c r="Q210" s="11">
        <f>IF(AND(L210&lt;&gt;"",L210&gt;0,P210&lt;&gt;""),P210/L210,"")</f>
        <v/>
      </c>
      <c r="R210" s="16">
        <f>IF(AND(P210&lt;&gt;"",P210&gt;0),(I210+J210+K210)/P210,"")</f>
        <v/>
      </c>
    </row>
    <row r="211" ht="94.5" customHeight="1">
      <c r="A211" s="5" t="inlineStr">
        <is>
          <t>2026-01-23</t>
        </is>
      </c>
      <c r="B211" s="5" t="inlineStr">
        <is>
          <t>4周</t>
        </is>
      </c>
      <c r="C211" s="5" t="inlineStr">
        <is>
          <t>小红书</t>
        </is>
      </c>
      <c r="D211" s="5" t="n"/>
      <c r="E211" s="5" t="n"/>
      <c r="F211" s="5" t="inlineStr">
        <is>
          <t>https://www.xiaohongshu.com/discovery/item/69733595000000001a02ac9b?xsec_token=CB4F3WLoKWAKcyb-35RuhyUY4camqwVEzUjeLjW8Hspn0=&amp;xsec_source=app_share&amp;type=video</t>
        </is>
      </c>
      <c r="G211" s="5" t="inlineStr">
        <is>
          <t>0001A1</t>
        </is>
      </c>
      <c r="H211" s="5" t="inlineStr">
        <is>
          <t>穿搭</t>
        </is>
      </c>
      <c r="I211" s="5" t="n">
        <v>100</v>
      </c>
      <c r="J211" s="5" t="n"/>
      <c r="K211" s="5" t="n">
        <v>107.5</v>
      </c>
      <c r="L211" s="5" t="n">
        <v>15141</v>
      </c>
      <c r="M211" s="5" t="n">
        <v>1104</v>
      </c>
      <c r="N211" s="5" t="n">
        <v>325</v>
      </c>
      <c r="O211" s="5" t="n">
        <v>30</v>
      </c>
      <c r="P211" s="8">
        <f>IF(AND(M211&lt;&gt;"",M211&gt;0),M211+N211+O211,"")</f>
        <v/>
      </c>
      <c r="Q211" s="11">
        <f>IF(AND(L211&lt;&gt;"",L211&gt;0,P211&lt;&gt;""),P211/L211,"")</f>
        <v/>
      </c>
      <c r="R211" s="16">
        <f>IF(AND(P211&lt;&gt;"",P211&gt;0),(I211+J211+K211)/P211,"")</f>
        <v/>
      </c>
    </row>
    <row r="212" ht="81" customHeight="1">
      <c r="A212" s="5" t="inlineStr">
        <is>
          <t>2026-01-23</t>
        </is>
      </c>
      <c r="B212" s="5" t="inlineStr">
        <is>
          <t>4周</t>
        </is>
      </c>
      <c r="C212" s="5" t="inlineStr">
        <is>
          <t>小红书</t>
        </is>
      </c>
      <c r="D212" s="5" t="n"/>
      <c r="E212" s="5" t="n"/>
      <c r="F212" s="5" t="inlineStr">
        <is>
          <t>https://www.xiaohongshu.com/discovery/item/697335fd000000002800b39e?xsec_token=CBuG-IeoiFRhpyGQKwY9R4mHwHVcwX6ltQ5XnofxetACQ=&amp;xsec_source=app_share&amp;type=video</t>
        </is>
      </c>
      <c r="G212" s="5" t="inlineStr">
        <is>
          <t>495</t>
        </is>
      </c>
      <c r="H212" s="5" t="inlineStr">
        <is>
          <t>穿搭</t>
        </is>
      </c>
      <c r="I212" s="5" t="n"/>
      <c r="J212" s="5" t="n"/>
      <c r="K212" s="5" t="n">
        <v>93</v>
      </c>
      <c r="L212" s="5" t="n">
        <v>2055</v>
      </c>
      <c r="M212" s="5" t="n">
        <v>129</v>
      </c>
      <c r="N212" s="5" t="n">
        <v>43</v>
      </c>
      <c r="O212" s="5" t="n">
        <v>7</v>
      </c>
      <c r="P212" s="8">
        <f>IF(AND(M212&lt;&gt;"",M212&gt;0),M212+N212+O212,"")</f>
        <v/>
      </c>
      <c r="Q212" s="11">
        <f>IF(AND(L212&lt;&gt;"",L212&gt;0,P212&lt;&gt;""),P212/L212,"")</f>
        <v/>
      </c>
      <c r="R212" s="16">
        <f>IF(AND(P212&lt;&gt;"",P212&gt;0),(I212+J212+K212)/P212,"")</f>
        <v/>
      </c>
    </row>
    <row r="213" ht="81" customHeight="1">
      <c r="A213" s="5" t="inlineStr">
        <is>
          <t>2026-01-23</t>
        </is>
      </c>
      <c r="B213" s="5" t="inlineStr">
        <is>
          <t>4周</t>
        </is>
      </c>
      <c r="C213" s="5" t="inlineStr">
        <is>
          <t>小红书</t>
        </is>
      </c>
      <c r="D213" s="5" t="n"/>
      <c r="E213" s="5" t="n"/>
      <c r="F213" s="5" t="inlineStr">
        <is>
          <t>https://www.xiaohongshu.com/discovery/item/69733c59000000000b013368?xsec_token=CBuG-IeoiFRhpyGQKwY9R4mCwW0T2CuYun6SNxXKlAyEY=&amp;xsec_source=app_share</t>
        </is>
      </c>
      <c r="G213" s="5" t="inlineStr">
        <is>
          <t>0002A1</t>
        </is>
      </c>
      <c r="H213" s="5" t="inlineStr">
        <is>
          <t>刘耀文</t>
        </is>
      </c>
      <c r="I213" s="5" t="n"/>
      <c r="J213" s="5" t="n"/>
      <c r="K213" s="5" t="n">
        <v>110.5</v>
      </c>
      <c r="L213" s="5" t="n">
        <v>12556</v>
      </c>
      <c r="M213" s="5" t="n">
        <v>786</v>
      </c>
      <c r="N213" s="5" t="n">
        <v>196</v>
      </c>
      <c r="O213" s="5" t="n">
        <v>20</v>
      </c>
      <c r="P213" s="8">
        <f>IF(AND(M213&lt;&gt;"",M213&gt;0),M213+N213+O213,"")</f>
        <v/>
      </c>
      <c r="Q213" s="11">
        <f>IF(AND(L213&lt;&gt;"",L213&gt;0,P213&lt;&gt;""),P213/L213,"")</f>
        <v/>
      </c>
      <c r="R213" s="16">
        <f>IF(AND(P213&lt;&gt;"",P213&gt;0),(I213+J213+K213)/P213,"")</f>
        <v/>
      </c>
    </row>
    <row r="214" ht="81" customHeight="1">
      <c r="A214" s="5" t="inlineStr">
        <is>
          <t>2026-01-23</t>
        </is>
      </c>
      <c r="B214" s="5" t="inlineStr">
        <is>
          <t>4周</t>
        </is>
      </c>
      <c r="C214" s="5" t="inlineStr">
        <is>
          <t>小红书</t>
        </is>
      </c>
      <c r="D214" s="5" t="n"/>
      <c r="E214" s="5" t="n"/>
      <c r="F214" s="5" t="inlineStr">
        <is>
          <t>https://www.xiaohongshu.com/discovery/item/69733d86000000001a029b0e?xsec_token=CBQ-BtFwuRWy0ajxqIgRgNvZd5IUPDY6B-JElYoA20OcU=&amp;xsec_source=app_share&amp;type=video</t>
        </is>
      </c>
      <c r="G214" s="5" t="inlineStr">
        <is>
          <t>0002A1</t>
        </is>
      </c>
      <c r="H214" s="5" t="inlineStr">
        <is>
          <t>刘耀文</t>
        </is>
      </c>
      <c r="I214" s="5" t="n"/>
      <c r="J214" s="5" t="n"/>
      <c r="K214" s="5" t="n">
        <v>110.5</v>
      </c>
      <c r="L214" s="5" t="n">
        <v>3873</v>
      </c>
      <c r="M214" s="5" t="n">
        <v>278</v>
      </c>
      <c r="N214" s="5" t="n">
        <v>30</v>
      </c>
      <c r="O214" s="5" t="n">
        <v>21</v>
      </c>
      <c r="P214" s="8">
        <f>IF(AND(M214&lt;&gt;"",M214&gt;0),M214+N214+O214,"")</f>
        <v/>
      </c>
      <c r="Q214" s="11">
        <f>IF(AND(L214&lt;&gt;"",L214&gt;0,P214&lt;&gt;""),P214/L214,"")</f>
        <v/>
      </c>
      <c r="R214" s="16">
        <f>IF(AND(P214&lt;&gt;"",P214&gt;0),(I214+J214+K214)/P214,"")</f>
        <v/>
      </c>
    </row>
    <row r="215" ht="81" customHeight="1">
      <c r="A215" s="5" t="inlineStr">
        <is>
          <t>2026-01-23</t>
        </is>
      </c>
      <c r="B215" s="5" t="inlineStr">
        <is>
          <t>4周</t>
        </is>
      </c>
      <c r="C215" s="5" t="inlineStr">
        <is>
          <t>小红书</t>
        </is>
      </c>
      <c r="D215" s="5" t="n"/>
      <c r="E215" s="5" t="n"/>
      <c r="F215" s="5" t="inlineStr">
        <is>
          <t>https://www.xiaohongshu.com/discovery/item/6973518e000000000a02de06?xsec_token=CBQ-BtFwuRWy0ajxqIgRgNvXmJOFu87zzV6R2-ebYSb8Y=&amp;xsec_source=app_share</t>
        </is>
      </c>
      <c r="G215" s="5" t="inlineStr">
        <is>
          <t>495</t>
        </is>
      </c>
      <c r="H215" s="5" t="inlineStr">
        <is>
          <t>李沛恩江衡</t>
        </is>
      </c>
      <c r="I215" s="5" t="n"/>
      <c r="J215" s="5" t="n"/>
      <c r="K215" s="5" t="n">
        <v>93</v>
      </c>
      <c r="L215" s="5" t="n">
        <v>479</v>
      </c>
      <c r="M215" s="5" t="n">
        <v>27</v>
      </c>
      <c r="N215" s="5" t="n">
        <v>2</v>
      </c>
      <c r="O215" s="5" t="n">
        <v>4</v>
      </c>
      <c r="P215" s="8">
        <f>IF(AND(M215&lt;&gt;"",M215&gt;0),M215+N215+O215,"")</f>
        <v/>
      </c>
      <c r="Q215" s="11">
        <f>IF(AND(L215&lt;&gt;"",L215&gt;0,P215&lt;&gt;""),P215/L215,"")</f>
        <v/>
      </c>
      <c r="R215" s="16">
        <f>IF(AND(P215&lt;&gt;"",P215&gt;0),(I215+J215+K215)/P215,"")</f>
        <v/>
      </c>
    </row>
    <row r="216" ht="81" customHeight="1">
      <c r="A216" s="5" t="inlineStr">
        <is>
          <t>2026-01-23</t>
        </is>
      </c>
      <c r="B216" s="5" t="inlineStr">
        <is>
          <t>4周</t>
        </is>
      </c>
      <c r="C216" s="5" t="inlineStr">
        <is>
          <t>小红书</t>
        </is>
      </c>
      <c r="D216" s="5" t="n"/>
      <c r="E216" s="5" t="n"/>
      <c r="F216" s="5" t="inlineStr">
        <is>
          <t>https://www.xiaohongshu.com/discovery/item/69735f52000000000b008536?xsec_token=CBVeTpV6zYASRmGvHhMAZOnEeQG2jVAANb8Mr8tSrBuqk=&amp;xsec_source=app_share&amp;type=video</t>
        </is>
      </c>
      <c r="G216" s="5" t="inlineStr">
        <is>
          <t>0001A1</t>
        </is>
      </c>
      <c r="H216" s="5" t="inlineStr">
        <is>
          <t>好物分享</t>
        </is>
      </c>
      <c r="I216" s="5" t="n">
        <v>200</v>
      </c>
      <c r="J216" s="5" t="n"/>
      <c r="K216" s="5" t="n">
        <v>107.5</v>
      </c>
      <c r="L216" s="5" t="n">
        <v>5509</v>
      </c>
      <c r="M216" s="5" t="n">
        <v>898</v>
      </c>
      <c r="N216" s="5" t="n">
        <v>205</v>
      </c>
      <c r="O216" s="5" t="n">
        <v>9</v>
      </c>
      <c r="P216" s="8">
        <f>IF(AND(M216&lt;&gt;"",M216&gt;0),M216+N216+O216,"")</f>
        <v/>
      </c>
      <c r="Q216" s="11">
        <f>IF(AND(L216&lt;&gt;"",L216&gt;0,P216&lt;&gt;""),P216/L216,"")</f>
        <v/>
      </c>
      <c r="R216" s="16">
        <f>IF(AND(P216&lt;&gt;"",P216&gt;0),(I216+J216+K216)/P216,"")</f>
        <v/>
      </c>
    </row>
    <row r="217" ht="81" customHeight="1">
      <c r="A217" s="5" t="inlineStr">
        <is>
          <t>2026-01-23</t>
        </is>
      </c>
      <c r="B217" s="5" t="inlineStr">
        <is>
          <t>4周</t>
        </is>
      </c>
      <c r="C217" s="5" t="inlineStr">
        <is>
          <t>小红书</t>
        </is>
      </c>
      <c r="D217" s="5" t="n"/>
      <c r="E217" s="5" t="n"/>
      <c r="F217" s="5" t="inlineStr">
        <is>
          <t>https://www.xiaohongshu.com/discovery/item/69736a5f000000000a029c92?xsec_token=CBEPpimTFe4yhlvgDEsOjym0GIxUB-dgho-p1QjsHWJ54=&amp;xsec_source=app_share</t>
        </is>
      </c>
      <c r="G217" s="5" t="inlineStr">
        <is>
          <t>0002A1</t>
        </is>
      </c>
      <c r="H217" s="5" t="inlineStr">
        <is>
          <t>刘耀文</t>
        </is>
      </c>
      <c r="I217" s="5" t="n"/>
      <c r="J217" s="5" t="n"/>
      <c r="K217" s="5" t="n">
        <v>110.5</v>
      </c>
      <c r="L217" s="5" t="n">
        <v>6286</v>
      </c>
      <c r="M217" s="5" t="n">
        <v>362</v>
      </c>
      <c r="N217" s="5" t="n">
        <v>69</v>
      </c>
      <c r="O217" s="5" t="n">
        <v>24</v>
      </c>
      <c r="P217" s="8">
        <f>IF(AND(M217&lt;&gt;"",M217&gt;0),M217+N217+O217,"")</f>
        <v/>
      </c>
      <c r="Q217" s="11">
        <f>IF(AND(L217&lt;&gt;"",L217&gt;0,P217&lt;&gt;""),P217/L217,"")</f>
        <v/>
      </c>
      <c r="R217" s="16">
        <f>IF(AND(P217&lt;&gt;"",P217&gt;0),(I217+J217+K217)/P217,"")</f>
        <v/>
      </c>
    </row>
    <row r="218" ht="81" customHeight="1">
      <c r="A218" s="5" t="inlineStr">
        <is>
          <t>2026-01-23</t>
        </is>
      </c>
      <c r="B218" s="5" t="inlineStr">
        <is>
          <t>4周</t>
        </is>
      </c>
      <c r="C218" s="5" t="inlineStr">
        <is>
          <t>小红书</t>
        </is>
      </c>
      <c r="D218" s="5" t="n"/>
      <c r="E218" s="5" t="n"/>
      <c r="F218" s="5" t="inlineStr">
        <is>
          <t>https://www.xiaohongshu.com/discovery/item/69737e99000000000a03f48b?xsec_token=CBwzXGmlLGD7tbAzkpxbHQ1wEyjv8eb-DiPk9blF1zXYs=&amp;xsec_source=app_share</t>
        </is>
      </c>
      <c r="G218" s="5" t="inlineStr">
        <is>
          <t>495</t>
        </is>
      </c>
      <c r="H218" s="5" t="inlineStr">
        <is>
          <t>穿搭</t>
        </is>
      </c>
      <c r="I218" s="5" t="n"/>
      <c r="J218" s="5" t="n"/>
      <c r="K218" s="5" t="n">
        <v>93</v>
      </c>
      <c r="L218" s="5" t="n">
        <v>4076</v>
      </c>
      <c r="M218" s="5" t="n">
        <v>189</v>
      </c>
      <c r="N218" s="5" t="n">
        <v>42</v>
      </c>
      <c r="O218" s="5" t="n">
        <v>7</v>
      </c>
      <c r="P218" s="8">
        <f>IF(AND(M218&lt;&gt;"",M218&gt;0),M218+N218+O218,"")</f>
        <v/>
      </c>
      <c r="Q218" s="11">
        <f>IF(AND(L218&lt;&gt;"",L218&gt;0,P218&lt;&gt;""),P218/L218,"")</f>
        <v/>
      </c>
      <c r="R218" s="16">
        <f>IF(AND(P218&lt;&gt;"",P218&gt;0),(I218+J218+K218)/P218,"")</f>
        <v/>
      </c>
    </row>
    <row r="219" ht="27" customHeight="1">
      <c r="A219" s="5" t="inlineStr">
        <is>
          <t>2026-01-24</t>
        </is>
      </c>
      <c r="B219" s="5" t="inlineStr">
        <is>
          <t>4周</t>
        </is>
      </c>
      <c r="C219" s="5" t="inlineStr">
        <is>
          <t>抖音</t>
        </is>
      </c>
      <c r="D219" s="5" t="n"/>
      <c r="E219" s="5" t="n"/>
      <c r="F219" s="5" t="inlineStr">
        <is>
          <t>https://v.douyin.com/dARX4xaU6QM/</t>
        </is>
      </c>
      <c r="G219" s="5" t="inlineStr">
        <is>
          <t>1217W</t>
        </is>
      </c>
      <c r="H219" s="5" t="inlineStr">
        <is>
          <t>学生</t>
        </is>
      </c>
      <c r="I219" s="5" t="n">
        <v>100</v>
      </c>
      <c r="J219" s="5" t="n"/>
      <c r="K219" s="5" t="n">
        <v>54</v>
      </c>
      <c r="L219" s="5" t="n">
        <v>600000</v>
      </c>
      <c r="M219" s="5" t="n">
        <v>97000</v>
      </c>
      <c r="N219" s="5" t="n">
        <v>18000</v>
      </c>
      <c r="O219" s="5" t="n">
        <v>396</v>
      </c>
      <c r="P219" s="8">
        <f>IF(AND(M219&lt;&gt;"",M219&gt;0),M219+N219+O219,"")</f>
        <v/>
      </c>
      <c r="Q219" s="11">
        <f>IF(AND(L219&lt;&gt;"",L219&gt;0,P219&lt;&gt;""),P219/L219,"")</f>
        <v/>
      </c>
      <c r="R219" s="16">
        <f>IF(AND(P219&lt;&gt;"",P219&gt;0),(I219+J219+K219)/P219,"")</f>
        <v/>
      </c>
    </row>
    <row r="220" ht="27" customHeight="1">
      <c r="A220" s="5" t="inlineStr">
        <is>
          <t>2026-01-24</t>
        </is>
      </c>
      <c r="B220" s="5" t="inlineStr">
        <is>
          <t>4周</t>
        </is>
      </c>
      <c r="C220" s="5" t="inlineStr">
        <is>
          <t>抖音</t>
        </is>
      </c>
      <c r="D220" s="5" t="n"/>
      <c r="E220" s="5" t="n"/>
      <c r="F220" s="5" t="inlineStr">
        <is>
          <t>https://v.douyin.com/Pvmxv3pUODA/</t>
        </is>
      </c>
      <c r="G220" s="5" t="inlineStr">
        <is>
          <t>495</t>
        </is>
      </c>
      <c r="H220" s="5" t="inlineStr">
        <is>
          <t>江衡</t>
        </is>
      </c>
      <c r="I220" s="5" t="n"/>
      <c r="J220" s="5" t="n"/>
      <c r="K220" s="5" t="n">
        <v>93</v>
      </c>
      <c r="L220" s="5" t="n">
        <v>6311</v>
      </c>
      <c r="M220" s="5" t="n">
        <v>164</v>
      </c>
      <c r="N220" s="5" t="n">
        <v>13</v>
      </c>
      <c r="O220" s="5" t="n">
        <v>46</v>
      </c>
      <c r="P220" s="8">
        <f>IF(AND(M220&lt;&gt;"",M220&gt;0),M220+N220+O220,"")</f>
        <v/>
      </c>
      <c r="Q220" s="11">
        <f>IF(AND(L220&lt;&gt;"",L220&gt;0,P220&lt;&gt;""),P220/L220,"")</f>
        <v/>
      </c>
      <c r="R220" s="16">
        <f>IF(AND(P220&lt;&gt;"",P220&gt;0),(I220+J220+K220)/P220,"")</f>
        <v/>
      </c>
    </row>
    <row r="221" ht="27" customHeight="1">
      <c r="A221" s="5" t="inlineStr">
        <is>
          <t>2026-01-24</t>
        </is>
      </c>
      <c r="B221" s="5" t="inlineStr">
        <is>
          <t>4周</t>
        </is>
      </c>
      <c r="C221" s="5" t="inlineStr">
        <is>
          <t>抖音</t>
        </is>
      </c>
      <c r="D221" s="5" t="n"/>
      <c r="E221" s="5" t="n"/>
      <c r="F221" s="5" t="inlineStr">
        <is>
          <t>https://v.douyin.com/VAGsSadl6ns/</t>
        </is>
      </c>
      <c r="G221" s="5" t="inlineStr">
        <is>
          <t>0001A1</t>
        </is>
      </c>
      <c r="H221" s="5" t="inlineStr">
        <is>
          <t>文严文</t>
        </is>
      </c>
      <c r="I221" s="5" t="n"/>
      <c r="J221" s="5" t="n"/>
      <c r="K221" s="5" t="n">
        <v>107.5</v>
      </c>
      <c r="L221" s="5" t="n">
        <v>714</v>
      </c>
      <c r="M221" s="5" t="n">
        <v>81</v>
      </c>
      <c r="N221" s="5" t="n">
        <v>3</v>
      </c>
      <c r="O221" s="5" t="n">
        <v>8</v>
      </c>
      <c r="P221" s="8">
        <f>IF(AND(M221&lt;&gt;"",M221&gt;0),M221+N221+O221,"")</f>
        <v/>
      </c>
      <c r="Q221" s="11">
        <f>IF(AND(L221&lt;&gt;"",L221&gt;0,P221&lt;&gt;""),P221/L221,"")</f>
        <v/>
      </c>
      <c r="R221" s="16">
        <f>IF(AND(P221&lt;&gt;"",P221&gt;0),(I221+J221+K221)/P221,"")</f>
        <v/>
      </c>
    </row>
    <row r="222" ht="27" customHeight="1">
      <c r="A222" s="5" t="inlineStr">
        <is>
          <t>2026-01-24</t>
        </is>
      </c>
      <c r="B222" s="5" t="inlineStr">
        <is>
          <t>4周</t>
        </is>
      </c>
      <c r="C222" s="5" t="inlineStr">
        <is>
          <t>抖音</t>
        </is>
      </c>
      <c r="D222" s="5" t="n"/>
      <c r="E222" s="5" t="n"/>
      <c r="F222" s="5" t="inlineStr">
        <is>
          <t>https://v.douyin.com/NGzpDON0tZs/</t>
        </is>
      </c>
      <c r="G222" s="5" t="inlineStr">
        <is>
          <t>0001A1</t>
        </is>
      </c>
      <c r="H222" s="5" t="inlineStr">
        <is>
          <t>穿搭</t>
        </is>
      </c>
      <c r="I222" s="5" t="n">
        <v>300</v>
      </c>
      <c r="J222" s="5" t="n"/>
      <c r="K222" s="5" t="n">
        <v>107.5</v>
      </c>
      <c r="L222" s="5" t="n">
        <v>284000</v>
      </c>
      <c r="M222" s="5" t="n">
        <v>18000</v>
      </c>
      <c r="N222" s="5" t="n">
        <v>1353</v>
      </c>
      <c r="O222" s="5" t="n">
        <v>346</v>
      </c>
      <c r="P222" s="8">
        <f>IF(AND(M222&lt;&gt;"",M222&gt;0),M222+N222+O222,"")</f>
        <v/>
      </c>
      <c r="Q222" s="11">
        <f>IF(AND(L222&lt;&gt;"",L222&gt;0,P222&lt;&gt;""),P222/L222,"")</f>
        <v/>
      </c>
      <c r="R222" s="16">
        <f>IF(AND(P222&lt;&gt;"",P222&gt;0),(I222+J222+K222)/P222,"")</f>
        <v/>
      </c>
    </row>
    <row r="223" ht="27" customHeight="1">
      <c r="A223" s="5" t="inlineStr">
        <is>
          <t>2026-01-24</t>
        </is>
      </c>
      <c r="B223" s="5" t="inlineStr">
        <is>
          <t>4周</t>
        </is>
      </c>
      <c r="C223" s="5" t="inlineStr">
        <is>
          <t>抖音</t>
        </is>
      </c>
      <c r="D223" s="5" t="n"/>
      <c r="E223" s="5" t="n"/>
      <c r="F223" s="5" t="inlineStr">
        <is>
          <t>https://v.douyin.com/KOkWxU-OwoA/</t>
        </is>
      </c>
      <c r="G223" s="5" t="inlineStr">
        <is>
          <t>0002A1</t>
        </is>
      </c>
      <c r="H223" s="5" t="inlineStr">
        <is>
          <t>刘耀文</t>
        </is>
      </c>
      <c r="I223" s="5" t="n"/>
      <c r="J223" s="5" t="n"/>
      <c r="K223" s="5" t="n">
        <v>110.5</v>
      </c>
      <c r="L223" s="5" t="n">
        <v>68000</v>
      </c>
      <c r="M223" s="5" t="n">
        <v>2864</v>
      </c>
      <c r="N223" s="5" t="n">
        <v>422</v>
      </c>
      <c r="O223" s="5" t="n">
        <v>33</v>
      </c>
      <c r="P223" s="8">
        <f>IF(AND(M223&lt;&gt;"",M223&gt;0),M223+N223+O223,"")</f>
        <v/>
      </c>
      <c r="Q223" s="11">
        <f>IF(AND(L223&lt;&gt;"",L223&gt;0,P223&lt;&gt;""),P223/L223,"")</f>
        <v/>
      </c>
      <c r="R223" s="16">
        <f>IF(AND(P223&lt;&gt;"",P223&gt;0),(I223+J223+K223)/P223,"")</f>
        <v/>
      </c>
    </row>
    <row r="224" ht="27" customHeight="1">
      <c r="A224" s="5" t="inlineStr">
        <is>
          <t>2026-01-24</t>
        </is>
      </c>
      <c r="B224" s="5" t="inlineStr">
        <is>
          <t>4周</t>
        </is>
      </c>
      <c r="C224" s="5" t="inlineStr">
        <is>
          <t>抖音</t>
        </is>
      </c>
      <c r="D224" s="5" t="n"/>
      <c r="E224" s="5" t="n"/>
      <c r="F224" s="5" t="inlineStr">
        <is>
          <t>https://v.douyin.com/4gVKpO3WplQ/</t>
        </is>
      </c>
      <c r="G224" s="5" t="inlineStr">
        <is>
          <t>0002A1</t>
        </is>
      </c>
      <c r="H224" s="5" t="inlineStr">
        <is>
          <t>刘耀文</t>
        </is>
      </c>
      <c r="I224" s="5" t="n"/>
      <c r="J224" s="5" t="n"/>
      <c r="K224" s="5" t="n">
        <v>110.5</v>
      </c>
      <c r="L224" s="5" t="n">
        <v>12000</v>
      </c>
      <c r="M224" s="5" t="n">
        <v>813</v>
      </c>
      <c r="N224" s="5" t="n">
        <v>77</v>
      </c>
      <c r="O224" s="5" t="n">
        <v>23</v>
      </c>
      <c r="P224" s="8">
        <f>IF(AND(M224&lt;&gt;"",M224&gt;0),M224+N224+O224,"")</f>
        <v/>
      </c>
      <c r="Q224" s="11">
        <f>IF(AND(L224&lt;&gt;"",L224&gt;0,P224&lt;&gt;""),P224/L224,"")</f>
        <v/>
      </c>
      <c r="R224" s="16">
        <f>IF(AND(P224&lt;&gt;"",P224&gt;0),(I224+J224+K224)/P224,"")</f>
        <v/>
      </c>
    </row>
    <row r="225" ht="27" customHeight="1">
      <c r="A225" s="5" t="inlineStr">
        <is>
          <t>2026-01-24</t>
        </is>
      </c>
      <c r="B225" s="5" t="inlineStr">
        <is>
          <t>4周</t>
        </is>
      </c>
      <c r="C225" s="5" t="inlineStr">
        <is>
          <t>抖音</t>
        </is>
      </c>
      <c r="D225" s="5" t="n"/>
      <c r="E225" s="5" t="n"/>
      <c r="F225" s="5" t="inlineStr">
        <is>
          <t>https://v.douyin.com/bpv-ztopsbo/</t>
        </is>
      </c>
      <c r="G225" s="5" t="inlineStr">
        <is>
          <t>495</t>
        </is>
      </c>
      <c r="H225" s="5" t="inlineStr">
        <is>
          <t>新年好物</t>
        </is>
      </c>
      <c r="I225" s="5" t="n"/>
      <c r="J225" s="5" t="n"/>
      <c r="K225" s="5" t="n">
        <v>93</v>
      </c>
      <c r="L225" s="5" t="n">
        <v>14000</v>
      </c>
      <c r="M225" s="5" t="n">
        <v>862</v>
      </c>
      <c r="N225" s="5" t="n">
        <v>74</v>
      </c>
      <c r="O225" s="5" t="n">
        <v>20</v>
      </c>
      <c r="P225" s="8">
        <f>IF(AND(M225&lt;&gt;"",M225&gt;0),M225+N225+O225,"")</f>
        <v/>
      </c>
      <c r="Q225" s="11">
        <f>IF(AND(L225&lt;&gt;"",L225&gt;0,P225&lt;&gt;""),P225/L225,"")</f>
        <v/>
      </c>
      <c r="R225" s="16">
        <f>IF(AND(P225&lt;&gt;"",P225&gt;0),(I225+J225+K225)/P225,"")</f>
        <v/>
      </c>
    </row>
    <row r="226" ht="27" customHeight="1">
      <c r="A226" s="5" t="inlineStr">
        <is>
          <t>2026-01-24</t>
        </is>
      </c>
      <c r="B226" s="5" t="inlineStr">
        <is>
          <t>4周</t>
        </is>
      </c>
      <c r="C226" s="5" t="inlineStr">
        <is>
          <t>抖音</t>
        </is>
      </c>
      <c r="D226" s="5" t="n"/>
      <c r="E226" s="5" t="n"/>
      <c r="F226" s="5" t="inlineStr">
        <is>
          <t>https://v.douyin.com/oPyfQOvmSoM/</t>
        </is>
      </c>
      <c r="G226" s="5" t="inlineStr">
        <is>
          <t>489Y</t>
        </is>
      </c>
      <c r="H226" s="5" t="inlineStr">
        <is>
          <t>赵露思</t>
        </is>
      </c>
      <c r="I226" s="5" t="n"/>
      <c r="J226" s="5" t="n"/>
      <c r="K226" s="5" t="n">
        <v>53.5</v>
      </c>
      <c r="L226" s="5" t="n">
        <v>15000</v>
      </c>
      <c r="M226" s="5" t="n">
        <v>2062</v>
      </c>
      <c r="N226" s="5" t="n">
        <v>56</v>
      </c>
      <c r="O226" s="5" t="n">
        <v>41</v>
      </c>
      <c r="P226" s="8">
        <f>IF(AND(M226&lt;&gt;"",M226&gt;0),M226+N226+O226,"")</f>
        <v/>
      </c>
      <c r="Q226" s="11">
        <f>IF(AND(L226&lt;&gt;"",L226&gt;0,P226&lt;&gt;""),P226/L226,"")</f>
        <v/>
      </c>
      <c r="R226" s="16">
        <f>IF(AND(P226&lt;&gt;"",P226&gt;0),(I226+J226+K226)/P226,"")</f>
        <v/>
      </c>
    </row>
    <row r="227" ht="67.5" customHeight="1">
      <c r="A227" s="5" t="inlineStr">
        <is>
          <t>2026-01-24</t>
        </is>
      </c>
      <c r="B227" s="5" t="inlineStr">
        <is>
          <t>4周</t>
        </is>
      </c>
      <c r="C227" s="5" t="inlineStr">
        <is>
          <t>小红书</t>
        </is>
      </c>
      <c r="D227" s="5" t="n"/>
      <c r="E227" s="5" t="n"/>
      <c r="F227" s="5" t="inlineStr">
        <is>
          <t>https://www.xiaohongshu.com/discovery/item/697451bb000000001a03138b?xsec_token=CBktUnkroBnQXq89sE2_GDjRy9M2ZkKJEa5WpggS4_x_w=&amp;xsec_source=app_share</t>
        </is>
      </c>
      <c r="G227" s="5" t="inlineStr">
        <is>
          <t>495</t>
        </is>
      </c>
      <c r="H227" s="5" t="inlineStr">
        <is>
          <t>李沛恩江衡</t>
        </is>
      </c>
      <c r="I227" s="5" t="n"/>
      <c r="J227" s="5" t="n"/>
      <c r="K227" s="5" t="n">
        <v>93</v>
      </c>
      <c r="L227" s="5" t="n">
        <v>276</v>
      </c>
      <c r="M227" s="5" t="n">
        <v>27</v>
      </c>
      <c r="N227" s="5" t="n">
        <v>0</v>
      </c>
      <c r="O227" s="5" t="n">
        <v>0</v>
      </c>
      <c r="P227" s="8">
        <f>IF(AND(M227&lt;&gt;"",M227&gt;0),M227+N227+O227,"")</f>
        <v/>
      </c>
      <c r="Q227" s="11">
        <f>IF(AND(L227&lt;&gt;"",L227&gt;0,P227&lt;&gt;""),P227/L227,"")</f>
        <v/>
      </c>
      <c r="R227" s="16">
        <f>IF(AND(P227&lt;&gt;"",P227&gt;0),(I227+J227+K227)/P227,"")</f>
        <v/>
      </c>
    </row>
    <row r="228" ht="81" customHeight="1">
      <c r="A228" s="5" t="inlineStr">
        <is>
          <t>2026-01-24</t>
        </is>
      </c>
      <c r="B228" s="5" t="inlineStr">
        <is>
          <t>4周</t>
        </is>
      </c>
      <c r="C228" s="5" t="inlineStr">
        <is>
          <t>小红书</t>
        </is>
      </c>
      <c r="D228" s="5" t="n"/>
      <c r="E228" s="5" t="n"/>
      <c r="F228" s="5" t="inlineStr">
        <is>
          <t>https://www.xiaohongshu.com/discovery/item/6974a066000000000e03e70a?xsec_token=CBU-cBBriqvN6wVgnwhwMrS0bfCUN8hx3fCWVxLPXNND0=&amp;xsec_source=app_share&amp;type=video</t>
        </is>
      </c>
      <c r="G228" s="5" t="inlineStr">
        <is>
          <t>495</t>
        </is>
      </c>
      <c r="H228" s="5" t="inlineStr">
        <is>
          <t>江衡</t>
        </is>
      </c>
      <c r="I228" s="5" t="n"/>
      <c r="J228" s="5" t="n"/>
      <c r="K228" s="5" t="n">
        <v>93</v>
      </c>
      <c r="L228" s="5" t="n">
        <v>1031</v>
      </c>
      <c r="M228" s="5" t="n">
        <v>58</v>
      </c>
      <c r="N228" s="5" t="n">
        <v>6</v>
      </c>
      <c r="O228" s="5" t="n">
        <v>11</v>
      </c>
      <c r="P228" s="8">
        <f>IF(AND(M228&lt;&gt;"",M228&gt;0),M228+N228+O228,"")</f>
        <v/>
      </c>
      <c r="Q228" s="11">
        <f>IF(AND(L228&lt;&gt;"",L228&gt;0,P228&lt;&gt;""),P228/L228,"")</f>
        <v/>
      </c>
      <c r="R228" s="16">
        <f>IF(AND(P228&lt;&gt;"",P228&gt;0),(I228+J228+K228)/P228,"")</f>
        <v/>
      </c>
    </row>
    <row r="229" ht="81" customHeight="1">
      <c r="A229" s="5" t="inlineStr">
        <is>
          <t>2026-01-24</t>
        </is>
      </c>
      <c r="B229" s="5" t="inlineStr">
        <is>
          <t>4周</t>
        </is>
      </c>
      <c r="C229" s="5" t="inlineStr">
        <is>
          <t>小红书</t>
        </is>
      </c>
      <c r="D229" s="5" t="n"/>
      <c r="E229" s="5" t="n"/>
      <c r="F229" s="5" t="inlineStr">
        <is>
          <t>https://www.xiaohongshu.com/discovery/item/6974a40000000000210314e4?xsec_token=CBU-cBBriqvN6wVgnwhwMrS1QlJ8-hkPmZD3RbAkdpHiU=&amp;xsec_source=app_share</t>
        </is>
      </c>
      <c r="G229" s="5" t="inlineStr">
        <is>
          <t>0001A1</t>
        </is>
      </c>
      <c r="H229" s="5" t="inlineStr">
        <is>
          <t>穿搭</t>
        </is>
      </c>
      <c r="I229" s="5" t="n"/>
      <c r="J229" s="5" t="n"/>
      <c r="K229" s="5" t="n">
        <v>107.5</v>
      </c>
      <c r="L229" s="5" t="n">
        <v>1057</v>
      </c>
      <c r="M229" s="5" t="n">
        <v>76</v>
      </c>
      <c r="N229" s="5" t="n">
        <v>14</v>
      </c>
      <c r="O229" s="5" t="n">
        <v>2</v>
      </c>
      <c r="P229" s="8">
        <f>IF(AND(M229&lt;&gt;"",M229&gt;0),M229+N229+O229,"")</f>
        <v/>
      </c>
      <c r="Q229" s="11">
        <f>IF(AND(L229&lt;&gt;"",L229&gt;0,P229&lt;&gt;""),P229/L229,"")</f>
        <v/>
      </c>
      <c r="R229" s="16">
        <f>IF(AND(P229&lt;&gt;"",P229&gt;0),(I229+J229+K229)/P229,"")</f>
        <v/>
      </c>
    </row>
    <row r="230" ht="27" customHeight="1">
      <c r="A230" s="5" t="inlineStr">
        <is>
          <t>2026-01-25</t>
        </is>
      </c>
      <c r="B230" s="5" t="inlineStr">
        <is>
          <t>4周</t>
        </is>
      </c>
      <c r="C230" s="5" t="inlineStr">
        <is>
          <t>抖音</t>
        </is>
      </c>
      <c r="D230" s="5" t="n"/>
      <c r="E230" s="5" t="n"/>
      <c r="F230" s="5" t="inlineStr">
        <is>
          <t>https://v.douyin.com/WazUxWMq2TY/</t>
        </is>
      </c>
      <c r="G230" s="5" t="inlineStr">
        <is>
          <t>495</t>
        </is>
      </c>
      <c r="H230" s="5" t="inlineStr">
        <is>
          <t>李沛恩江衡</t>
        </is>
      </c>
      <c r="I230" s="5" t="n"/>
      <c r="J230" s="5" t="n"/>
      <c r="K230" s="5" t="n">
        <v>93</v>
      </c>
      <c r="L230" s="5" t="n">
        <v>11000</v>
      </c>
      <c r="M230" s="5" t="n">
        <v>148</v>
      </c>
      <c r="N230" s="5" t="n">
        <v>7</v>
      </c>
      <c r="O230" s="5" t="n">
        <v>6</v>
      </c>
      <c r="P230" s="8">
        <f>IF(AND(M230&lt;&gt;"",M230&gt;0),M230+N230+O230,"")</f>
        <v/>
      </c>
      <c r="Q230" s="11">
        <f>IF(AND(L230&lt;&gt;"",L230&gt;0,P230&lt;&gt;""),P230/L230,"")</f>
        <v/>
      </c>
      <c r="R230" s="16">
        <f>IF(AND(P230&lt;&gt;"",P230&gt;0),(I230+J230+K230)/P230,"")</f>
        <v/>
      </c>
    </row>
    <row r="231" ht="27" customHeight="1">
      <c r="A231" s="5" t="inlineStr">
        <is>
          <t>2026-01-25</t>
        </is>
      </c>
      <c r="B231" s="5" t="inlineStr">
        <is>
          <t>4周</t>
        </is>
      </c>
      <c r="C231" s="5" t="inlineStr">
        <is>
          <t>抖音</t>
        </is>
      </c>
      <c r="D231" s="5" t="n"/>
      <c r="E231" s="5" t="n"/>
      <c r="F231" s="5" t="inlineStr">
        <is>
          <t>https://v.douyin.com/hQ7Hl5ZpSSc/</t>
        </is>
      </c>
      <c r="G231" s="5" t="inlineStr">
        <is>
          <t>495</t>
        </is>
      </c>
      <c r="H231" s="5" t="inlineStr">
        <is>
          <t>新年好物</t>
        </is>
      </c>
      <c r="I231" s="5" t="n"/>
      <c r="J231" s="5" t="n"/>
      <c r="K231" s="5" t="n">
        <v>93</v>
      </c>
      <c r="L231" s="5" t="n">
        <v>84000</v>
      </c>
      <c r="M231" s="5" t="n">
        <v>2407</v>
      </c>
      <c r="N231" s="5" t="n">
        <v>386</v>
      </c>
      <c r="O231" s="5" t="n">
        <v>54</v>
      </c>
      <c r="P231" s="8">
        <f>IF(AND(M231&lt;&gt;"",M231&gt;0),M231+N231+O231,"")</f>
        <v/>
      </c>
      <c r="Q231" s="11">
        <f>IF(AND(L231&lt;&gt;"",L231&gt;0,P231&lt;&gt;""),P231/L231,"")</f>
        <v/>
      </c>
      <c r="R231" s="16">
        <f>IF(AND(P231&lt;&gt;"",P231&gt;0),(I231+J231+K231)/P231,"")</f>
        <v/>
      </c>
    </row>
    <row r="232" ht="27" customHeight="1">
      <c r="A232" s="5" t="inlineStr">
        <is>
          <t>2026-01-25</t>
        </is>
      </c>
      <c r="B232" s="5" t="inlineStr">
        <is>
          <t>4周</t>
        </is>
      </c>
      <c r="C232" s="5" t="inlineStr">
        <is>
          <t>抖音</t>
        </is>
      </c>
      <c r="D232" s="5" t="n"/>
      <c r="E232" s="5" t="n"/>
      <c r="F232" s="5" t="inlineStr">
        <is>
          <t>https://v.douyin.com/ZpXmonSnXzM/</t>
        </is>
      </c>
      <c r="G232" s="5" t="inlineStr">
        <is>
          <t>0001A1</t>
        </is>
      </c>
      <c r="H232" s="5" t="inlineStr">
        <is>
          <t>穿搭</t>
        </is>
      </c>
      <c r="I232" s="5" t="n"/>
      <c r="J232" s="5" t="n"/>
      <c r="K232" s="5" t="n">
        <v>107.5</v>
      </c>
      <c r="L232" s="5" t="n">
        <v>1800</v>
      </c>
      <c r="M232" s="5" t="n">
        <v>243</v>
      </c>
      <c r="N232" s="5" t="n">
        <v>4</v>
      </c>
      <c r="O232" s="5" t="n">
        <v>38</v>
      </c>
      <c r="P232" s="8">
        <f>IF(AND(M232&lt;&gt;"",M232&gt;0),M232+N232+O232,"")</f>
        <v/>
      </c>
      <c r="Q232" s="11">
        <f>IF(AND(L232&lt;&gt;"",L232&gt;0,P232&lt;&gt;""),P232/L232,"")</f>
        <v/>
      </c>
      <c r="R232" s="16">
        <f>IF(AND(P232&lt;&gt;"",P232&gt;0),(I232+J232+K232)/P232,"")</f>
        <v/>
      </c>
    </row>
    <row r="233" ht="27" customHeight="1">
      <c r="A233" s="5" t="inlineStr">
        <is>
          <t>2026-01-25</t>
        </is>
      </c>
      <c r="B233" s="5" t="inlineStr">
        <is>
          <t>4周</t>
        </is>
      </c>
      <c r="C233" s="5" t="inlineStr">
        <is>
          <t>抖音</t>
        </is>
      </c>
      <c r="D233" s="5" t="n"/>
      <c r="E233" s="5" t="n"/>
      <c r="F233" s="5" t="inlineStr">
        <is>
          <t>https://v.douyin.com/FtPpAiwCxHw/</t>
        </is>
      </c>
      <c r="G233" s="5" t="inlineStr">
        <is>
          <t>495</t>
        </is>
      </c>
      <c r="H233" s="5" t="inlineStr">
        <is>
          <t>李沛恩江衡</t>
        </is>
      </c>
      <c r="I233" s="5" t="n"/>
      <c r="J233" s="5" t="n"/>
      <c r="K233" s="5" t="n">
        <v>93</v>
      </c>
      <c r="L233" s="5" t="n">
        <v>2270</v>
      </c>
      <c r="M233" s="5" t="n">
        <v>106</v>
      </c>
      <c r="N233" s="5" t="n">
        <v>3</v>
      </c>
      <c r="O233" s="5" t="n">
        <v>2</v>
      </c>
      <c r="P233" s="8">
        <f>IF(AND(M233&lt;&gt;"",M233&gt;0),M233+N233+O233,"")</f>
        <v/>
      </c>
      <c r="Q233" s="11">
        <f>IF(AND(L233&lt;&gt;"",L233&gt;0,P233&lt;&gt;""),P233/L233,"")</f>
        <v/>
      </c>
      <c r="R233" s="16">
        <f>IF(AND(P233&lt;&gt;"",P233&gt;0),(I233+J233+K233)/P233,"")</f>
        <v/>
      </c>
    </row>
    <row r="234" ht="27" customHeight="1">
      <c r="A234" s="5" t="inlineStr">
        <is>
          <t>2026-01-25</t>
        </is>
      </c>
      <c r="B234" s="5" t="inlineStr">
        <is>
          <t>4周</t>
        </is>
      </c>
      <c r="C234" s="5" t="inlineStr">
        <is>
          <t>抖音</t>
        </is>
      </c>
      <c r="D234" s="5" t="n"/>
      <c r="E234" s="5" t="n"/>
      <c r="F234" s="5" t="inlineStr">
        <is>
          <t>https://v.douyin.com/7O2wsul1XUg/ 04/09 Xzg:/ U@L.wf</t>
        </is>
      </c>
      <c r="G234" s="5" t="inlineStr">
        <is>
          <t>495</t>
        </is>
      </c>
      <c r="H234" s="5" t="inlineStr">
        <is>
          <t>新年好物</t>
        </is>
      </c>
      <c r="I234" s="5" t="n"/>
      <c r="J234" s="5" t="n"/>
      <c r="K234" s="5" t="n">
        <v>93</v>
      </c>
      <c r="L234" s="5" t="n">
        <v>41000</v>
      </c>
      <c r="M234" s="5" t="n">
        <v>1377</v>
      </c>
      <c r="N234" s="5" t="n">
        <v>292</v>
      </c>
      <c r="O234" s="5" t="n">
        <v>73</v>
      </c>
      <c r="P234" s="8">
        <f>IF(AND(M234&lt;&gt;"",M234&gt;0),M234+N234+O234,"")</f>
        <v/>
      </c>
      <c r="Q234" s="11">
        <f>IF(AND(L234&lt;&gt;"",L234&gt;0,P234&lt;&gt;""),P234/L234,"")</f>
        <v/>
      </c>
      <c r="R234" s="16">
        <f>IF(AND(P234&lt;&gt;"",P234&gt;0),(I234+J234+K234)/P234,"")</f>
        <v/>
      </c>
    </row>
    <row r="235" ht="27" customHeight="1">
      <c r="A235" s="5" t="inlineStr">
        <is>
          <t>2026-01-25</t>
        </is>
      </c>
      <c r="B235" s="5" t="inlineStr">
        <is>
          <t>4周</t>
        </is>
      </c>
      <c r="C235" s="5" t="inlineStr">
        <is>
          <t>抖音</t>
        </is>
      </c>
      <c r="D235" s="5" t="n"/>
      <c r="E235" s="5" t="n"/>
      <c r="F235" s="5" t="inlineStr">
        <is>
          <t>https://v.douyin.com/iwWluXQhCF8/</t>
        </is>
      </c>
      <c r="G235" s="5" t="inlineStr">
        <is>
          <t>495</t>
        </is>
      </c>
      <c r="H235" s="5" t="inlineStr">
        <is>
          <t>开箱</t>
        </is>
      </c>
      <c r="I235" s="5" t="n">
        <v>200</v>
      </c>
      <c r="J235" s="5" t="n"/>
      <c r="K235" s="5" t="n">
        <v>93</v>
      </c>
      <c r="L235" s="5" t="n">
        <v>6542</v>
      </c>
      <c r="M235" s="5" t="n">
        <v>339</v>
      </c>
      <c r="N235" s="5" t="n">
        <v>37</v>
      </c>
      <c r="O235" s="5" t="n">
        <v>15</v>
      </c>
      <c r="P235" s="8">
        <f>IF(AND(M235&lt;&gt;"",M235&gt;0),M235+N235+O235,"")</f>
        <v/>
      </c>
      <c r="Q235" s="11">
        <f>IF(AND(L235&lt;&gt;"",L235&gt;0,P235&lt;&gt;""),P235/L235,"")</f>
        <v/>
      </c>
      <c r="R235" s="16">
        <f>IF(AND(P235&lt;&gt;"",P235&gt;0),(I235+J235+K235)/P235,"")</f>
        <v/>
      </c>
    </row>
    <row r="236" ht="81" customHeight="1">
      <c r="A236" s="5" t="inlineStr">
        <is>
          <t>2026-01-25</t>
        </is>
      </c>
      <c r="B236" s="5" t="inlineStr">
        <is>
          <t>4周</t>
        </is>
      </c>
      <c r="C236" s="5" t="inlineStr">
        <is>
          <t>小红书</t>
        </is>
      </c>
      <c r="D236" s="5" t="n"/>
      <c r="E236" s="5" t="n"/>
      <c r="F236" s="5" t="inlineStr">
        <is>
          <t>https://www.xiaohongshu.com/discovery/item/69760349000000001a01c252?xsec_token=CBu0D0Tq3QhpgJgrDadzYbaC95KcCKzhaDoYsFFcSHsWw=&amp;xsec_source=app_share&amp;type=video</t>
        </is>
      </c>
      <c r="G236" s="5" t="inlineStr">
        <is>
          <t>495</t>
        </is>
      </c>
      <c r="H236" s="5" t="inlineStr">
        <is>
          <t>口播</t>
        </is>
      </c>
      <c r="I236" s="5" t="n"/>
      <c r="J236" s="5" t="n"/>
      <c r="K236" s="5" t="n">
        <v>93</v>
      </c>
      <c r="L236" s="5" t="n">
        <v>288</v>
      </c>
      <c r="M236" s="5" t="n">
        <v>15</v>
      </c>
      <c r="N236" s="5" t="n">
        <v>5</v>
      </c>
      <c r="O236" s="5" t="n">
        <v>2</v>
      </c>
      <c r="P236" s="8">
        <f>IF(AND(M236&lt;&gt;"",M236&gt;0),M236+N236+O236,"")</f>
        <v/>
      </c>
      <c r="Q236" s="11">
        <f>IF(AND(L236&lt;&gt;"",L236&gt;0,P236&lt;&gt;""),P236/L236,"")</f>
        <v/>
      </c>
      <c r="R236" s="16">
        <f>IF(AND(P236&lt;&gt;"",P236&gt;0),(I236+J236+K236)/P236,"")</f>
        <v/>
      </c>
    </row>
    <row r="237" ht="27" customHeight="1">
      <c r="A237" s="5" t="inlineStr">
        <is>
          <t>2026-01-26</t>
        </is>
      </c>
      <c r="B237" s="5" t="inlineStr">
        <is>
          <t>5周</t>
        </is>
      </c>
      <c r="C237" s="5" t="inlineStr">
        <is>
          <t>抖音</t>
        </is>
      </c>
      <c r="D237" s="5" t="n"/>
      <c r="E237" s="5" t="n"/>
      <c r="F237" s="5" t="inlineStr">
        <is>
          <t>https://v.douyin.com/Jae0ZScb1g8/</t>
        </is>
      </c>
      <c r="G237" s="5" t="inlineStr">
        <is>
          <t>0002A1</t>
        </is>
      </c>
      <c r="H237" s="5" t="inlineStr">
        <is>
          <t>刘耀文</t>
        </is>
      </c>
      <c r="I237" s="5" t="n"/>
      <c r="J237" s="5" t="n"/>
      <c r="K237" s="5" t="n">
        <v>110.5</v>
      </c>
      <c r="L237" s="5" t="n">
        <v>1039</v>
      </c>
      <c r="M237" s="5" t="n">
        <v>145</v>
      </c>
      <c r="N237" s="5" t="n">
        <v>5</v>
      </c>
      <c r="O237" s="5" t="n">
        <v>37</v>
      </c>
      <c r="P237" s="8">
        <f>IF(AND(M237&lt;&gt;"",M237&gt;0),M237+N237+O237,"")</f>
        <v/>
      </c>
      <c r="Q237" s="11">
        <f>IF(AND(L237&lt;&gt;"",L237&gt;0,P237&lt;&gt;""),P237/L237,"")</f>
        <v/>
      </c>
      <c r="R237" s="16">
        <f>IF(AND(P237&lt;&gt;"",P237&gt;0),(I237+J237+K237)/P237,"")</f>
        <v/>
      </c>
    </row>
    <row r="238" ht="27" customHeight="1">
      <c r="A238" s="5" t="inlineStr">
        <is>
          <t>2026-01-26</t>
        </is>
      </c>
      <c r="B238" s="5" t="inlineStr">
        <is>
          <t>5周</t>
        </is>
      </c>
      <c r="C238" s="5" t="inlineStr">
        <is>
          <t>抖音</t>
        </is>
      </c>
      <c r="D238" s="5" t="n"/>
      <c r="E238" s="5" t="n"/>
      <c r="F238" s="5" t="inlineStr">
        <is>
          <t>https://v.douyin.com/hJCyAXX1Sk4/</t>
        </is>
      </c>
      <c r="G238" s="5" t="inlineStr">
        <is>
          <t>495</t>
        </is>
      </c>
      <c r="H238" s="5" t="inlineStr">
        <is>
          <t>口播</t>
        </is>
      </c>
      <c r="I238" s="5" t="n"/>
      <c r="J238" s="5" t="n"/>
      <c r="K238" s="5" t="n">
        <v>93</v>
      </c>
      <c r="L238" s="5" t="n">
        <v>3189</v>
      </c>
      <c r="M238" s="5" t="n">
        <v>25</v>
      </c>
      <c r="N238" s="5" t="n">
        <v>9</v>
      </c>
      <c r="O238" s="5" t="n">
        <v>7</v>
      </c>
      <c r="P238" s="8">
        <f>IF(AND(M238&lt;&gt;"",M238&gt;0),M238+N238+O238,"")</f>
        <v/>
      </c>
      <c r="Q238" s="11">
        <f>IF(AND(L238&lt;&gt;"",L238&gt;0,P238&lt;&gt;""),P238/L238,"")</f>
        <v/>
      </c>
      <c r="R238" s="16">
        <f>IF(AND(P238&lt;&gt;"",P238&gt;0),(I238+J238+K238)/P238,"")</f>
        <v/>
      </c>
    </row>
    <row r="239" ht="27" customHeight="1">
      <c r="A239" s="5" t="inlineStr">
        <is>
          <t>2026-01-26</t>
        </is>
      </c>
      <c r="B239" s="5" t="inlineStr">
        <is>
          <t>5周</t>
        </is>
      </c>
      <c r="C239" s="5" t="inlineStr">
        <is>
          <t>抖音</t>
        </is>
      </c>
      <c r="D239" s="5" t="n"/>
      <c r="E239" s="5" t="n"/>
      <c r="F239" s="5" t="inlineStr">
        <is>
          <t>https://v.douyin.com/CoxQEcSINk0/</t>
        </is>
      </c>
      <c r="G239" s="5" t="inlineStr">
        <is>
          <t>0002A1</t>
        </is>
      </c>
      <c r="H239" s="5" t="inlineStr">
        <is>
          <t>穿搭</t>
        </is>
      </c>
      <c r="I239" s="5" t="n">
        <v>600</v>
      </c>
      <c r="J239" s="5" t="n"/>
      <c r="K239" s="5" t="n">
        <v>110.5</v>
      </c>
      <c r="L239" s="5" t="n">
        <v>21000</v>
      </c>
      <c r="M239" s="5" t="n">
        <v>1511</v>
      </c>
      <c r="N239" s="5" t="n">
        <v>154</v>
      </c>
      <c r="O239" s="5" t="n">
        <v>31</v>
      </c>
      <c r="P239" s="8">
        <f>IF(AND(M239&lt;&gt;"",M239&gt;0),M239+N239+O239,"")</f>
        <v/>
      </c>
      <c r="Q239" s="11">
        <f>IF(AND(L239&lt;&gt;"",L239&gt;0,P239&lt;&gt;""),P239/L239,"")</f>
        <v/>
      </c>
      <c r="R239" s="16">
        <f>IF(AND(P239&lt;&gt;"",P239&gt;0),(I239+J239+K239)/P239,"")</f>
        <v/>
      </c>
    </row>
    <row r="240" ht="81" customHeight="1">
      <c r="A240" s="5" t="inlineStr">
        <is>
          <t>2026-01-26</t>
        </is>
      </c>
      <c r="B240" s="5" t="inlineStr">
        <is>
          <t>5周</t>
        </is>
      </c>
      <c r="C240" s="5" t="inlineStr">
        <is>
          <t>小红书</t>
        </is>
      </c>
      <c r="D240" s="5" t="n"/>
      <c r="E240" s="5" t="n"/>
      <c r="F240" s="5" t="inlineStr">
        <is>
          <t>https://www.xiaohongshu.com/discovery/item/69771f0e0000000022038b17?xsec_token=CBYb0It8eU0rHEwJpEx-ZLqOjqyyybB2KTprr7fNdHUko=&amp;xsec_source=app_share</t>
        </is>
      </c>
      <c r="G240" s="5" t="inlineStr">
        <is>
          <t>0002A1</t>
        </is>
      </c>
      <c r="H240" s="5" t="inlineStr">
        <is>
          <t>穿搭</t>
        </is>
      </c>
      <c r="I240" s="5" t="n"/>
      <c r="J240" s="5" t="n"/>
      <c r="K240" s="5" t="n">
        <v>110.5</v>
      </c>
      <c r="L240" s="5" t="n">
        <v>15319</v>
      </c>
      <c r="M240" s="5" t="n">
        <v>1112</v>
      </c>
      <c r="N240" s="5" t="n">
        <v>208</v>
      </c>
      <c r="O240" s="5" t="n">
        <v>18</v>
      </c>
      <c r="P240" s="8">
        <f>IF(AND(M240&lt;&gt;"",M240&gt;0),M240+N240+O240,"")</f>
        <v/>
      </c>
      <c r="Q240" s="11">
        <f>IF(AND(L240&lt;&gt;"",L240&gt;0,P240&lt;&gt;""),P240/L240,"")</f>
        <v/>
      </c>
      <c r="R240" s="16">
        <f>IF(AND(P240&lt;&gt;"",P240&gt;0),(I240+J240+K240)/P240,"")</f>
        <v/>
      </c>
    </row>
    <row r="241" ht="67.5" customHeight="1">
      <c r="A241" s="5" t="inlineStr">
        <is>
          <t>2026-01-26</t>
        </is>
      </c>
      <c r="B241" s="5" t="inlineStr">
        <is>
          <t>5周</t>
        </is>
      </c>
      <c r="C241" s="5" t="inlineStr">
        <is>
          <t>小红书</t>
        </is>
      </c>
      <c r="D241" s="5" t="n"/>
      <c r="E241" s="5" t="n"/>
      <c r="F241" s="5" t="inlineStr">
        <is>
          <t>https://www.xiaohongshu.com/discovery/item/69773ffe000000000e03ff87?xsec_token=CBEo5eShlDVR72s8VH3rIGFV9lPXa1m8zN6yqJxYP8IzY=&amp;xsec_source=app_share</t>
        </is>
      </c>
      <c r="G241" s="5" t="inlineStr">
        <is>
          <t>0002A1</t>
        </is>
      </c>
      <c r="H241" s="5" t="inlineStr">
        <is>
          <t>刘耀文</t>
        </is>
      </c>
      <c r="I241" s="5" t="n"/>
      <c r="J241" s="5" t="n"/>
      <c r="K241" s="5" t="n">
        <v>110.5</v>
      </c>
      <c r="L241" s="5" t="n">
        <v>637</v>
      </c>
      <c r="M241" s="5" t="n">
        <v>45</v>
      </c>
      <c r="N241" s="5" t="n">
        <v>5</v>
      </c>
      <c r="O241" s="5" t="n">
        <v>1</v>
      </c>
      <c r="P241" s="8">
        <f>IF(AND(M241&lt;&gt;"",M241&gt;0),M241+N241+O241,"")</f>
        <v/>
      </c>
      <c r="Q241" s="11">
        <f>IF(AND(L241&lt;&gt;"",L241&gt;0,P241&lt;&gt;""),P241/L241,"")</f>
        <v/>
      </c>
      <c r="R241" s="16">
        <f>IF(AND(P241&lt;&gt;"",P241&gt;0),(I241+J241+K241)/P241,"")</f>
        <v/>
      </c>
    </row>
    <row r="242" ht="81" customHeight="1">
      <c r="A242" s="5" t="inlineStr">
        <is>
          <t>2026-01-26</t>
        </is>
      </c>
      <c r="B242" s="5" t="inlineStr">
        <is>
          <t>5周</t>
        </is>
      </c>
      <c r="C242" s="5" t="inlineStr">
        <is>
          <t>小红书</t>
        </is>
      </c>
      <c r="D242" s="5" t="n"/>
      <c r="E242" s="5" t="n"/>
      <c r="F242" s="5" t="inlineStr">
        <is>
          <t>https://www.xiaohongshu.com/discovery/item/6977412e000000001a022f60?xsec_token=CBf1DeNmr5DdHl3m0fhSfNCzxCRW5LBOty5otK6ByThNk=&amp;xsec_source=app_share&amp;type=video</t>
        </is>
      </c>
      <c r="G242" s="5" t="inlineStr">
        <is>
          <t>0001A1</t>
        </is>
      </c>
      <c r="H242" s="5" t="inlineStr">
        <is>
          <t>新年好物</t>
        </is>
      </c>
      <c r="I242" s="5" t="n">
        <v>200</v>
      </c>
      <c r="J242" s="5" t="n"/>
      <c r="K242" s="5" t="n">
        <v>107.5</v>
      </c>
      <c r="L242" s="5" t="n">
        <v>2688</v>
      </c>
      <c r="M242" s="5" t="n">
        <v>301</v>
      </c>
      <c r="N242" s="5" t="n">
        <v>105</v>
      </c>
      <c r="O242" s="5" t="n">
        <v>105</v>
      </c>
      <c r="P242" s="8">
        <f>IF(AND(M242&lt;&gt;"",M242&gt;0),M242+N242+O242,"")</f>
        <v/>
      </c>
      <c r="Q242" s="11">
        <f>IF(AND(L242&lt;&gt;"",L242&gt;0,P242&lt;&gt;""),P242/L242,"")</f>
        <v/>
      </c>
      <c r="R242" s="16">
        <f>IF(AND(P242&lt;&gt;"",P242&gt;0),(I242+J242+K242)/P242,"")</f>
        <v/>
      </c>
    </row>
    <row r="243" ht="81" customHeight="1">
      <c r="A243" s="5" t="inlineStr">
        <is>
          <t>2026-01-26</t>
        </is>
      </c>
      <c r="B243" s="5" t="inlineStr">
        <is>
          <t>5周</t>
        </is>
      </c>
      <c r="C243" s="5" t="inlineStr">
        <is>
          <t>小红书</t>
        </is>
      </c>
      <c r="D243" s="5" t="n"/>
      <c r="E243" s="5" t="n"/>
      <c r="F243" s="5" t="inlineStr">
        <is>
          <t>https://www.xiaohongshu.com/discovery/item/6976f986000000002103effb?xsec_token=CB-Wa-dNHmMAQxjUeXIQ6kMkAWVn5_LHTU18p8VwzS4IU=&amp;xsec_source=app_share&amp;type=video</t>
        </is>
      </c>
      <c r="G243" s="5" t="inlineStr">
        <is>
          <t>495</t>
        </is>
      </c>
      <c r="H243" s="5" t="inlineStr">
        <is>
          <t>口播</t>
        </is>
      </c>
      <c r="I243" s="5" t="n"/>
      <c r="J243" s="5" t="n"/>
      <c r="K243" s="5" t="n">
        <v>93</v>
      </c>
      <c r="L243" s="5" t="n">
        <v>2357</v>
      </c>
      <c r="M243" s="5" t="n">
        <v>135</v>
      </c>
      <c r="N243" s="5" t="n">
        <v>58</v>
      </c>
      <c r="O243" s="5" t="n">
        <v>16</v>
      </c>
      <c r="P243" s="8">
        <f>IF(AND(M243&lt;&gt;"",M243&gt;0),M243+N243+O243,"")</f>
        <v/>
      </c>
      <c r="Q243" s="11">
        <f>IF(AND(L243&lt;&gt;"",L243&gt;0,P243&lt;&gt;""),P243/L243,"")</f>
        <v/>
      </c>
      <c r="R243" s="16">
        <f>IF(AND(P243&lt;&gt;"",P243&gt;0),(I243+J243+K243)/P243,"")</f>
        <v/>
      </c>
    </row>
    <row r="244" ht="81" customHeight="1">
      <c r="A244" s="5" t="inlineStr">
        <is>
          <t>2026-01-26</t>
        </is>
      </c>
      <c r="B244" s="5" t="inlineStr">
        <is>
          <t>5周</t>
        </is>
      </c>
      <c r="C244" s="5" t="inlineStr">
        <is>
          <t>小红书</t>
        </is>
      </c>
      <c r="D244" s="5" t="n"/>
      <c r="E244" s="5" t="n"/>
      <c r="F244" s="5" t="inlineStr">
        <is>
          <t>https://www.xiaohongshu.com/discovery/item/697766db000000002202f420?xsec_token=CBevSNLQkRGztfNzJzNRVpM5_oHMj_iC-FXRWnqUwwjPA=&amp;xsec_source=app_share&amp;type=video</t>
        </is>
      </c>
      <c r="G244" s="5" t="inlineStr">
        <is>
          <t>495</t>
        </is>
      </c>
      <c r="H244" s="5" t="inlineStr">
        <is>
          <t>好物分享</t>
        </is>
      </c>
      <c r="I244" s="5" t="n"/>
      <c r="J244" s="5" t="n"/>
      <c r="K244" s="5" t="n">
        <v>93</v>
      </c>
      <c r="L244" s="5" t="n">
        <v>481</v>
      </c>
      <c r="M244" s="5" t="n">
        <v>26</v>
      </c>
      <c r="N244" s="5" t="n">
        <v>8</v>
      </c>
      <c r="O244" s="5" t="n">
        <v>3</v>
      </c>
      <c r="P244" s="8">
        <f>IF(AND(M244&lt;&gt;"",M244&gt;0),M244+N244+O244,"")</f>
        <v/>
      </c>
      <c r="Q244" s="11">
        <f>IF(AND(L244&lt;&gt;"",L244&gt;0,P244&lt;&gt;""),P244/L244,"")</f>
        <v/>
      </c>
      <c r="R244" s="16">
        <f>IF(AND(P244&lt;&gt;"",P244&gt;0),(I244+J244+K244)/P244,"")</f>
        <v/>
      </c>
    </row>
    <row r="245" ht="81" customHeight="1">
      <c r="A245" s="5" t="inlineStr">
        <is>
          <t>2026-01-27</t>
        </is>
      </c>
      <c r="B245" s="5" t="inlineStr">
        <is>
          <t>5周</t>
        </is>
      </c>
      <c r="C245" s="5" t="inlineStr">
        <is>
          <t>小红书</t>
        </is>
      </c>
      <c r="D245" s="5" t="n"/>
      <c r="E245" s="5" t="n"/>
      <c r="F245" s="5" t="inlineStr">
        <is>
          <t>https://www.xiaohongshu.com/discovery/item/69786305000000000c034186?xsec_token=CB_tzyxUbaz6-CGuU42XwA6XhoKtZieXhgGTY-9b0fYb0=&amp;xsec_source=app_share&amp;type=video</t>
        </is>
      </c>
      <c r="G245" s="5" t="inlineStr">
        <is>
          <t>495</t>
        </is>
      </c>
      <c r="H245" s="5" t="inlineStr">
        <is>
          <t>新年好物</t>
        </is>
      </c>
      <c r="I245" s="5" t="n"/>
      <c r="J245" s="5" t="n"/>
      <c r="K245" s="5" t="n">
        <v>93</v>
      </c>
      <c r="L245" s="5" t="n">
        <v>131</v>
      </c>
      <c r="M245" s="5" t="n">
        <v>5</v>
      </c>
      <c r="N245" s="5" t="n">
        <v>1</v>
      </c>
      <c r="O245" s="5" t="n">
        <v>0</v>
      </c>
      <c r="P245" s="8">
        <f>IF(AND(M245&lt;&gt;"",M245&gt;0),M245+N245+O245,"")</f>
        <v/>
      </c>
      <c r="Q245" s="11">
        <f>IF(AND(L245&lt;&gt;"",L245&gt;0,P245&lt;&gt;""),P245/L245,"")</f>
        <v/>
      </c>
      <c r="R245" s="16">
        <f>IF(AND(P245&lt;&gt;"",P245&gt;0),(I245+J245+K245)/P245,"")</f>
        <v/>
      </c>
    </row>
    <row r="246" ht="81" customHeight="1">
      <c r="A246" s="5" t="inlineStr">
        <is>
          <t>2026-01-27</t>
        </is>
      </c>
      <c r="B246" s="5" t="inlineStr">
        <is>
          <t>5周</t>
        </is>
      </c>
      <c r="C246" s="5" t="inlineStr">
        <is>
          <t>小红书</t>
        </is>
      </c>
      <c r="D246" s="5" t="n"/>
      <c r="E246" s="5" t="n"/>
      <c r="F246" s="5" t="inlineStr">
        <is>
          <t>https://www.xiaohongshu.com/discovery/item/69788639000000000b00aebd?xsec_token=CB5mvHXEjDf_7HcHLCnMX-jCRaModNS8C_MLkGOdTyz00=&amp;xsec_source=app_share&amp;type=video</t>
        </is>
      </c>
      <c r="G246" s="5" t="inlineStr">
        <is>
          <t>0001A1</t>
        </is>
      </c>
      <c r="H246" s="5" t="inlineStr">
        <is>
          <t>穿搭</t>
        </is>
      </c>
      <c r="I246" s="5" t="n">
        <v>100</v>
      </c>
      <c r="J246" s="5" t="n"/>
      <c r="K246" s="5" t="n">
        <v>107.5</v>
      </c>
      <c r="L246" s="5" t="n">
        <v>7162</v>
      </c>
      <c r="M246" s="5" t="n">
        <v>577</v>
      </c>
      <c r="N246" s="5" t="n">
        <v>120</v>
      </c>
      <c r="O246" s="5" t="n">
        <v>7</v>
      </c>
      <c r="P246" s="8">
        <f>IF(AND(M246&lt;&gt;"",M246&gt;0),M246+N246+O246,"")</f>
        <v/>
      </c>
      <c r="Q246" s="11">
        <f>IF(AND(L246&lt;&gt;"",L246&gt;0,P246&lt;&gt;""),P246/L246,"")</f>
        <v/>
      </c>
      <c r="R246" s="16">
        <f>IF(AND(P246&lt;&gt;"",P246&gt;0),(I246+J246+K246)/P246,"")</f>
        <v/>
      </c>
    </row>
    <row r="247" ht="81" customHeight="1">
      <c r="A247" s="5" t="inlineStr">
        <is>
          <t>2026-01-27</t>
        </is>
      </c>
      <c r="B247" s="5" t="inlineStr">
        <is>
          <t>5周</t>
        </is>
      </c>
      <c r="C247" s="5" t="inlineStr">
        <is>
          <t>小红书</t>
        </is>
      </c>
      <c r="D247" s="5" t="n"/>
      <c r="E247" s="5" t="n"/>
      <c r="F247" s="5" t="inlineStr">
        <is>
          <t>https://www.xiaohongshu.com/discovery/item/697890f2000000000b013944?xsec_token=CBx2_k5OBxEQv8jwvDig54WnE8CQ3oB8RV1sHVQQvyAAY=&amp;xsec_source=app_share&amp;type=video</t>
        </is>
      </c>
      <c r="G247" s="5" t="inlineStr">
        <is>
          <t>495</t>
        </is>
      </c>
      <c r="H247" s="5" t="inlineStr">
        <is>
          <t>新年好物</t>
        </is>
      </c>
      <c r="I247" s="5" t="n">
        <v>170</v>
      </c>
      <c r="J247" s="5" t="n"/>
      <c r="K247" s="5" t="n">
        <v>93</v>
      </c>
      <c r="L247" s="5" t="n">
        <v>2058</v>
      </c>
      <c r="M247" s="5" t="n">
        <v>143</v>
      </c>
      <c r="N247" s="5" t="n">
        <v>46</v>
      </c>
      <c r="O247" s="5" t="n">
        <v>5</v>
      </c>
      <c r="P247" s="8">
        <f>IF(AND(M247&lt;&gt;"",M247&gt;0),M247+N247+O247,"")</f>
        <v/>
      </c>
      <c r="Q247" s="11">
        <f>IF(AND(L247&lt;&gt;"",L247&gt;0,P247&lt;&gt;""),P247/L247,"")</f>
        <v/>
      </c>
      <c r="R247" s="16">
        <f>IF(AND(P247&lt;&gt;"",P247&gt;0),(I247+J247+K247)/P247,"")</f>
        <v/>
      </c>
    </row>
    <row r="248" ht="27" customHeight="1">
      <c r="A248" s="5" t="inlineStr">
        <is>
          <t>2026-01-28</t>
        </is>
      </c>
      <c r="B248" s="5" t="inlineStr">
        <is>
          <t>5周</t>
        </is>
      </c>
      <c r="C248" s="5" t="inlineStr">
        <is>
          <t>抖音</t>
        </is>
      </c>
      <c r="D248" s="5" t="n"/>
      <c r="E248" s="5" t="n"/>
      <c r="F248" s="5" t="inlineStr">
        <is>
          <t>https://v.douyin.com/cDC46W0_BnI/</t>
        </is>
      </c>
      <c r="G248" s="5" t="inlineStr">
        <is>
          <t>495</t>
        </is>
      </c>
      <c r="H248" s="5" t="inlineStr">
        <is>
          <t>穿搭</t>
        </is>
      </c>
      <c r="I248" s="5" t="n"/>
      <c r="J248" s="5" t="n"/>
      <c r="K248" s="5" t="n">
        <v>93</v>
      </c>
      <c r="L248" s="5" t="n">
        <v>6304</v>
      </c>
      <c r="M248" s="5" t="n">
        <v>1439</v>
      </c>
      <c r="N248" s="5" t="n">
        <v>147</v>
      </c>
      <c r="O248" s="5" t="n">
        <v>22</v>
      </c>
      <c r="P248" s="8">
        <f>IF(AND(M248&lt;&gt;"",M248&gt;0),M248+N248+O248,"")</f>
        <v/>
      </c>
      <c r="Q248" s="11">
        <f>IF(AND(L248&lt;&gt;"",L248&gt;0,P248&lt;&gt;""),P248/L248,"")</f>
        <v/>
      </c>
      <c r="R248" s="16">
        <f>IF(AND(P248&lt;&gt;"",P248&gt;0),(I248+J248+K248)/P248,"")</f>
        <v/>
      </c>
    </row>
    <row r="249" ht="27" customHeight="1">
      <c r="A249" s="5" t="inlineStr">
        <is>
          <t>2026-01-28</t>
        </is>
      </c>
      <c r="B249" s="5" t="inlineStr">
        <is>
          <t>5周</t>
        </is>
      </c>
      <c r="C249" s="5" t="inlineStr">
        <is>
          <t>抖音</t>
        </is>
      </c>
      <c r="D249" s="5" t="n"/>
      <c r="E249" s="5" t="n"/>
      <c r="F249" s="5" t="inlineStr">
        <is>
          <t>https://v.douyin.com/B95WmYMgksw/</t>
        </is>
      </c>
      <c r="G249" s="5" t="inlineStr">
        <is>
          <t>495</t>
        </is>
      </c>
      <c r="H249" s="5" t="inlineStr">
        <is>
          <t>新年好物</t>
        </is>
      </c>
      <c r="I249" s="5" t="n">
        <v>300</v>
      </c>
      <c r="J249" s="5" t="n"/>
      <c r="K249" s="5" t="n">
        <v>93</v>
      </c>
      <c r="L249" s="5" t="n">
        <v>7500</v>
      </c>
      <c r="M249" s="5" t="n">
        <v>3525</v>
      </c>
      <c r="N249" s="5" t="n">
        <v>78</v>
      </c>
      <c r="O249" s="5" t="n">
        <v>23</v>
      </c>
      <c r="P249" s="8">
        <f>IF(AND(M249&lt;&gt;"",M249&gt;0),M249+N249+O249,"")</f>
        <v/>
      </c>
      <c r="Q249" s="11">
        <f>IF(AND(L249&lt;&gt;"",L249&gt;0,P249&lt;&gt;""),P249/L249,"")</f>
        <v/>
      </c>
      <c r="R249" s="16">
        <f>IF(AND(P249&lt;&gt;"",P249&gt;0),(I249+J249+K249)/P249,"")</f>
        <v/>
      </c>
    </row>
    <row r="250" ht="27" customHeight="1">
      <c r="A250" s="5" t="inlineStr">
        <is>
          <t>2026-01-28</t>
        </is>
      </c>
      <c r="B250" s="5" t="inlineStr">
        <is>
          <t>5周</t>
        </is>
      </c>
      <c r="C250" s="5" t="inlineStr">
        <is>
          <t>抖音</t>
        </is>
      </c>
      <c r="D250" s="5" t="n"/>
      <c r="E250" s="5" t="n"/>
      <c r="F250" s="5" t="inlineStr">
        <is>
          <t>https://v.douyin.com/Z3ickg0sFvA/</t>
        </is>
      </c>
      <c r="G250" s="5" t="inlineStr">
        <is>
          <t>0002A1</t>
        </is>
      </c>
      <c r="H250" s="5" t="inlineStr">
        <is>
          <t>刘耀文</t>
        </is>
      </c>
      <c r="I250" s="5" t="n"/>
      <c r="J250" s="5" t="n"/>
      <c r="K250" s="5" t="n">
        <v>110.5</v>
      </c>
      <c r="L250" s="5" t="n">
        <v>5451</v>
      </c>
      <c r="M250" s="5" t="n">
        <v>2042</v>
      </c>
      <c r="N250" s="5" t="n">
        <v>160</v>
      </c>
      <c r="O250" s="5" t="n">
        <v>39</v>
      </c>
      <c r="P250" s="8">
        <f>IF(AND(M250&lt;&gt;"",M250&gt;0),M250+N250+O250,"")</f>
        <v/>
      </c>
      <c r="Q250" s="11">
        <f>IF(AND(L250&lt;&gt;"",L250&gt;0,P250&lt;&gt;""),P250/L250,"")</f>
        <v/>
      </c>
      <c r="R250" s="16">
        <f>IF(AND(P250&lt;&gt;"",P250&gt;0),(I250+J250+K250)/P250,"")</f>
        <v/>
      </c>
    </row>
    <row r="251">
      <c r="A251" s="5" t="inlineStr">
        <is>
          <t>2026-01-28</t>
        </is>
      </c>
      <c r="B251" s="5" t="inlineStr">
        <is>
          <t>5周</t>
        </is>
      </c>
      <c r="C251" s="5" t="inlineStr">
        <is>
          <t>快手</t>
        </is>
      </c>
      <c r="D251" s="5" t="n"/>
      <c r="E251" s="5" t="n"/>
      <c r="F251" s="5" t="inlineStr">
        <is>
          <t>https://v.kuaishou.com/J2ySc3KH</t>
        </is>
      </c>
      <c r="G251" s="5" t="inlineStr">
        <is>
          <t>495</t>
        </is>
      </c>
      <c r="H251" s="5" t="inlineStr">
        <is>
          <t>新年好物</t>
        </is>
      </c>
      <c r="I251" s="5" t="n"/>
      <c r="J251" s="5" t="n"/>
      <c r="K251" s="5" t="n">
        <v>93</v>
      </c>
      <c r="L251" s="5" t="n">
        <v>870</v>
      </c>
      <c r="M251" s="5" t="n">
        <v>20</v>
      </c>
      <c r="N251" s="5" t="n">
        <v>4</v>
      </c>
      <c r="O251" s="5" t="n">
        <v>4</v>
      </c>
      <c r="P251" s="8">
        <f>IF(AND(M251&lt;&gt;"",M251&gt;0),M251+N251+O251,"")</f>
        <v/>
      </c>
      <c r="Q251" s="11">
        <f>IF(AND(L251&lt;&gt;"",L251&gt;0,P251&lt;&gt;""),P251/L251,"")</f>
        <v/>
      </c>
      <c r="R251" s="16">
        <f>IF(AND(P251&lt;&gt;"",P251&gt;0),(I251+J251+K251)/P251,"")</f>
        <v/>
      </c>
    </row>
    <row r="252" ht="27" customHeight="1">
      <c r="A252" s="5" t="inlineStr">
        <is>
          <t>2026-01-28</t>
        </is>
      </c>
      <c r="B252" s="5" t="inlineStr">
        <is>
          <t>5周</t>
        </is>
      </c>
      <c r="C252" s="5" t="inlineStr">
        <is>
          <t>抖音</t>
        </is>
      </c>
      <c r="D252" s="5" t="n"/>
      <c r="E252" s="5" t="n"/>
      <c r="F252" s="5" t="inlineStr">
        <is>
          <t>https://v.douyin.com/QDGCEqlwu0U/</t>
        </is>
      </c>
      <c r="G252" s="5" t="inlineStr">
        <is>
          <t>495</t>
        </is>
      </c>
      <c r="H252" s="5" t="inlineStr">
        <is>
          <t>口播</t>
        </is>
      </c>
      <c r="I252" s="5" t="n">
        <v>600</v>
      </c>
      <c r="J252" s="5" t="n"/>
      <c r="K252" s="5" t="n">
        <v>93</v>
      </c>
      <c r="L252" s="5" t="n">
        <v>18000</v>
      </c>
      <c r="M252" s="5" t="n">
        <v>1540</v>
      </c>
      <c r="N252" s="5" t="n">
        <v>137</v>
      </c>
      <c r="O252" s="5" t="n">
        <v>46</v>
      </c>
      <c r="P252" s="8">
        <f>IF(AND(M252&lt;&gt;"",M252&gt;0),M252+N252+O252,"")</f>
        <v/>
      </c>
      <c r="Q252" s="11">
        <f>IF(AND(L252&lt;&gt;"",L252&gt;0,P252&lt;&gt;""),P252/L252,"")</f>
        <v/>
      </c>
      <c r="R252" s="16">
        <f>IF(AND(P252&lt;&gt;"",P252&gt;0),(I252+J252+K252)/P252,"")</f>
        <v/>
      </c>
    </row>
    <row r="253" ht="27" customHeight="1">
      <c r="A253" s="5" t="inlineStr">
        <is>
          <t>2026-01-28</t>
        </is>
      </c>
      <c r="B253" s="5" t="inlineStr">
        <is>
          <t>5周</t>
        </is>
      </c>
      <c r="C253" s="5" t="inlineStr">
        <is>
          <t>抖音</t>
        </is>
      </c>
      <c r="D253" s="5" t="n"/>
      <c r="E253" s="5" t="n"/>
      <c r="F253" s="5" t="inlineStr">
        <is>
          <t>https://v.douyin.com/U7y1xyh_BG8/</t>
        </is>
      </c>
      <c r="G253" s="5" t="inlineStr">
        <is>
          <t>495</t>
        </is>
      </c>
      <c r="H253" s="5" t="inlineStr">
        <is>
          <t>穿搭</t>
        </is>
      </c>
      <c r="I253" s="5" t="n">
        <v>80</v>
      </c>
      <c r="J253" s="5" t="n"/>
      <c r="K253" s="5" t="n">
        <v>93</v>
      </c>
      <c r="L253" s="5" t="n">
        <v>12000</v>
      </c>
      <c r="M253" s="5" t="n">
        <v>344</v>
      </c>
      <c r="N253" s="5" t="n">
        <v>33</v>
      </c>
      <c r="O253" s="5" t="n">
        <v>43</v>
      </c>
      <c r="P253" s="8">
        <f>IF(AND(M253&lt;&gt;"",M253&gt;0),M253+N253+O253,"")</f>
        <v/>
      </c>
      <c r="Q253" s="11">
        <f>IF(AND(L253&lt;&gt;"",L253&gt;0,P253&lt;&gt;""),P253/L253,"")</f>
        <v/>
      </c>
      <c r="R253" s="16">
        <f>IF(AND(P253&lt;&gt;"",P253&gt;0),(I253+J253+K253)/P253,"")</f>
        <v/>
      </c>
    </row>
    <row r="254" ht="81" customHeight="1">
      <c r="A254" s="5" t="inlineStr">
        <is>
          <t>2026-01-28</t>
        </is>
      </c>
      <c r="B254" s="5" t="inlineStr">
        <is>
          <t>5周</t>
        </is>
      </c>
      <c r="C254" s="5" t="inlineStr">
        <is>
          <t>小红书</t>
        </is>
      </c>
      <c r="D254" s="5" t="n"/>
      <c r="E254" s="5" t="n"/>
      <c r="F254" s="5" t="inlineStr">
        <is>
          <t>https://www.xiaohongshu.com/discovery/item/6979b7d1000000000d008565?xsec_token=CBTGAkQ4xx6CNxD4iMGUDlOwdbjInOVZU6-k15dnaFMvk=&amp;xsec_source=app_share</t>
        </is>
      </c>
      <c r="G254" s="5" t="inlineStr">
        <is>
          <t>495</t>
        </is>
      </c>
      <c r="H254" s="5" t="inlineStr">
        <is>
          <t>穿搭</t>
        </is>
      </c>
      <c r="I254" s="5" t="n">
        <v>200</v>
      </c>
      <c r="J254" s="5" t="n"/>
      <c r="K254" s="5" t="n">
        <v>93</v>
      </c>
      <c r="L254" s="5" t="n">
        <v>897</v>
      </c>
      <c r="M254" s="5" t="n">
        <v>733</v>
      </c>
      <c r="N254" s="5" t="n">
        <v>81</v>
      </c>
      <c r="O254" s="5" t="n">
        <v>13</v>
      </c>
      <c r="P254" s="8">
        <f>IF(AND(M254&lt;&gt;"",M254&gt;0),M254+N254+O254,"")</f>
        <v/>
      </c>
      <c r="Q254" s="11">
        <f>IF(AND(L254&lt;&gt;"",L254&gt;0,P254&lt;&gt;""),P254/L254,"")</f>
        <v/>
      </c>
      <c r="R254" s="16">
        <f>IF(AND(P254&lt;&gt;"",P254&gt;0),(I254+J254+K254)/P254,"")</f>
        <v/>
      </c>
    </row>
    <row r="255" ht="27" customHeight="1">
      <c r="A255" s="5" t="inlineStr">
        <is>
          <t>2026-01-29</t>
        </is>
      </c>
      <c r="B255" s="5" t="inlineStr">
        <is>
          <t>5周</t>
        </is>
      </c>
      <c r="C255" s="5" t="inlineStr">
        <is>
          <t>抖音</t>
        </is>
      </c>
      <c r="D255" s="5" t="n"/>
      <c r="E255" s="5" t="n"/>
      <c r="F255" s="5" t="inlineStr">
        <is>
          <t>https://v.douyin.com/cwh_ZAdz3r0/</t>
        </is>
      </c>
      <c r="G255" s="5" t="inlineStr">
        <is>
          <t>0002A1</t>
        </is>
      </c>
      <c r="H255" s="5" t="inlineStr">
        <is>
          <t>穿搭</t>
        </is>
      </c>
      <c r="I255" s="5" t="n"/>
      <c r="J255" s="5" t="n"/>
      <c r="K255" s="5" t="n">
        <v>110.5</v>
      </c>
      <c r="L255" s="5" t="n">
        <v>17000</v>
      </c>
      <c r="M255" s="5" t="n">
        <v>276</v>
      </c>
      <c r="N255" s="5" t="n">
        <v>46</v>
      </c>
      <c r="O255" s="5" t="n">
        <v>13</v>
      </c>
      <c r="P255" s="8">
        <f>IF(AND(M255&lt;&gt;"",M255&gt;0),M255+N255+O255,"")</f>
        <v/>
      </c>
      <c r="Q255" s="11">
        <f>IF(AND(L255&lt;&gt;"",L255&gt;0,P255&lt;&gt;""),P255/L255,"")</f>
        <v/>
      </c>
      <c r="R255" s="16">
        <f>IF(AND(P255&lt;&gt;"",P255&gt;0),(I255+J255+K255)/P255,"")</f>
        <v/>
      </c>
    </row>
    <row r="256" ht="27" customHeight="1">
      <c r="A256" s="5" t="inlineStr">
        <is>
          <t>2026-01-29</t>
        </is>
      </c>
      <c r="B256" s="5" t="inlineStr">
        <is>
          <t>5周</t>
        </is>
      </c>
      <c r="C256" s="5" t="inlineStr">
        <is>
          <t>抖音</t>
        </is>
      </c>
      <c r="D256" s="5" t="n"/>
      <c r="E256" s="5" t="n"/>
      <c r="F256" s="5" t="inlineStr">
        <is>
          <t>https://v.douyin.com/Om7BG73DXxY/</t>
        </is>
      </c>
      <c r="G256" s="5" t="inlineStr">
        <is>
          <t>495</t>
        </is>
      </c>
      <c r="H256" s="5" t="inlineStr">
        <is>
          <t>口播</t>
        </is>
      </c>
      <c r="I256" s="5" t="n">
        <v>400</v>
      </c>
      <c r="J256" s="5" t="n"/>
      <c r="K256" s="5" t="n">
        <v>93</v>
      </c>
      <c r="L256" s="5" t="n">
        <v>3200</v>
      </c>
      <c r="M256" s="5" t="n">
        <v>373</v>
      </c>
      <c r="N256" s="5" t="n">
        <v>31</v>
      </c>
      <c r="O256" s="5" t="n">
        <v>4</v>
      </c>
      <c r="P256" s="8">
        <f>IF(AND(M256&lt;&gt;"",M256&gt;0),M256+N256+O256,"")</f>
        <v/>
      </c>
      <c r="Q256" s="11">
        <f>IF(AND(L256&lt;&gt;"",L256&gt;0,P256&lt;&gt;""),P256/L256,"")</f>
        <v/>
      </c>
      <c r="R256" s="16">
        <f>IF(AND(P256&lt;&gt;"",P256&gt;0),(I256+J256+K256)/P256,"")</f>
        <v/>
      </c>
    </row>
    <row r="257" ht="81" customHeight="1">
      <c r="A257" s="5" t="inlineStr">
        <is>
          <t>2026-01-29</t>
        </is>
      </c>
      <c r="B257" s="5" t="inlineStr">
        <is>
          <t>5周</t>
        </is>
      </c>
      <c r="C257" s="5" t="inlineStr">
        <is>
          <t>小红书</t>
        </is>
      </c>
      <c r="D257" s="5" t="n"/>
      <c r="E257" s="5" t="n"/>
      <c r="F257" s="5" t="inlineStr">
        <is>
          <t>https://www.xiaohongshu.com/discovery/item/697acd540000000028008392?xsec_token=CBDB9ERF1GwagdKaDd_YWxGXCfU9bbZ9AJy20R3Dok9Sw=&amp;xsec_source=app_share&amp;type=video</t>
        </is>
      </c>
      <c r="G257" s="5" t="inlineStr">
        <is>
          <t>0001A1</t>
        </is>
      </c>
      <c r="H257" s="5" t="inlineStr">
        <is>
          <t>穿搭</t>
        </is>
      </c>
      <c r="I257" s="5" t="n">
        <v>100</v>
      </c>
      <c r="J257" s="5" t="n"/>
      <c r="K257" s="5" t="n">
        <v>107.5</v>
      </c>
      <c r="L257" s="5" t="n">
        <v>6716</v>
      </c>
      <c r="M257" s="5" t="n">
        <v>449</v>
      </c>
      <c r="N257" s="5" t="n">
        <v>197</v>
      </c>
      <c r="O257" s="5" t="n">
        <v>6</v>
      </c>
      <c r="P257" s="8">
        <f>IF(AND(M257&lt;&gt;"",M257&gt;0),M257+N257+O257,"")</f>
        <v/>
      </c>
      <c r="Q257" s="11">
        <f>IF(AND(L257&lt;&gt;"",L257&gt;0,P257&lt;&gt;""),P257/L257,"")</f>
        <v/>
      </c>
      <c r="R257" s="16">
        <f>IF(AND(P257&lt;&gt;"",P257&gt;0),(I257+J257+K257)/P257,"")</f>
        <v/>
      </c>
    </row>
    <row r="258" ht="81" customHeight="1">
      <c r="A258" s="5" t="inlineStr">
        <is>
          <t>2026-01-29</t>
        </is>
      </c>
      <c r="B258" s="5" t="inlineStr">
        <is>
          <t>5周</t>
        </is>
      </c>
      <c r="C258" s="5" t="inlineStr">
        <is>
          <t>小红书</t>
        </is>
      </c>
      <c r="D258" s="5" t="n"/>
      <c r="E258" s="5" t="n"/>
      <c r="F258" s="5" t="inlineStr">
        <is>
          <t>https://www.xiaohongshu.com/discovery/item/697ad453000000000b013501?xsec_token=CBl8Nr8X6GgcWNQIsDRRTEI76f-vZHV2xIX5sfmUlWnJE=&amp;xsec_source=app_share&amp;type=video</t>
        </is>
      </c>
      <c r="G258" s="5" t="inlineStr">
        <is>
          <t>0001A1</t>
        </is>
      </c>
      <c r="H258" s="5" t="inlineStr">
        <is>
          <t>穿搭</t>
        </is>
      </c>
      <c r="I258" s="5" t="n">
        <v>100</v>
      </c>
      <c r="J258" s="5" t="n"/>
      <c r="K258" s="5" t="n">
        <v>107.5</v>
      </c>
      <c r="L258" s="5" t="n">
        <v>7190</v>
      </c>
      <c r="M258" s="5" t="n">
        <v>509</v>
      </c>
      <c r="N258" s="5" t="n">
        <v>133</v>
      </c>
      <c r="O258" s="5" t="n">
        <v>21</v>
      </c>
      <c r="P258" s="8">
        <f>IF(AND(M258&lt;&gt;"",M258&gt;0),M258+N258+O258,"")</f>
        <v/>
      </c>
      <c r="Q258" s="11">
        <f>IF(AND(L258&lt;&gt;"",L258&gt;0,P258&lt;&gt;""),P258/L258,"")</f>
        <v/>
      </c>
      <c r="R258" s="16">
        <f>IF(AND(P258&lt;&gt;"",P258&gt;0),(I258+J258+K258)/P258,"")</f>
        <v/>
      </c>
    </row>
    <row r="259" ht="81" customHeight="1">
      <c r="A259" s="5" t="inlineStr">
        <is>
          <t>2026-01-29</t>
        </is>
      </c>
      <c r="B259" s="5" t="inlineStr">
        <is>
          <t>5周</t>
        </is>
      </c>
      <c r="C259" s="5" t="inlineStr">
        <is>
          <t>小红书</t>
        </is>
      </c>
      <c r="D259" s="5" t="n"/>
      <c r="E259" s="5" t="n"/>
      <c r="F259" s="5" t="inlineStr">
        <is>
          <t>https://www.xiaohongshu.com/discovery/item/697b65ec0000000009039703?xsec_token=CBEW__lh7NPliE6eLDF62IbxfI2d-YrAAITIM5jlRTCCM=&amp;xsec_source=app_share</t>
        </is>
      </c>
      <c r="G259" s="5" t="inlineStr">
        <is>
          <t>0002A1</t>
        </is>
      </c>
      <c r="H259" s="5" t="inlineStr">
        <is>
          <t>刘耀文</t>
        </is>
      </c>
      <c r="I259" s="5" t="n"/>
      <c r="J259" s="5" t="n"/>
      <c r="K259" s="5" t="n">
        <v>110.5</v>
      </c>
      <c r="L259" s="5" t="n">
        <v>675</v>
      </c>
      <c r="M259" s="5" t="n">
        <v>41</v>
      </c>
      <c r="N259" s="5" t="n">
        <v>4</v>
      </c>
      <c r="O259" s="5" t="n">
        <v>4</v>
      </c>
      <c r="P259" s="8">
        <f>IF(AND(M259&lt;&gt;"",M259&gt;0),M259+N259+O259,"")</f>
        <v/>
      </c>
      <c r="Q259" s="11">
        <f>IF(AND(L259&lt;&gt;"",L259&gt;0,P259&lt;&gt;""),P259/L259,"")</f>
        <v/>
      </c>
      <c r="R259" s="16">
        <f>IF(AND(P259&lt;&gt;"",P259&gt;0),(I259+J259+K259)/P259,"")</f>
        <v/>
      </c>
    </row>
    <row r="260" ht="27" customHeight="1">
      <c r="A260" s="5" t="inlineStr">
        <is>
          <t>2026-01-30</t>
        </is>
      </c>
      <c r="B260" s="5" t="inlineStr">
        <is>
          <t>5周</t>
        </is>
      </c>
      <c r="C260" s="5" t="inlineStr">
        <is>
          <t>抖音</t>
        </is>
      </c>
      <c r="D260" s="5" t="n"/>
      <c r="E260" s="5" t="n"/>
      <c r="F260" s="5" t="inlineStr">
        <is>
          <t>https://v.douyin.com/2frLzdysKO0/</t>
        </is>
      </c>
      <c r="G260" s="5" t="inlineStr">
        <is>
          <t>495</t>
        </is>
      </c>
      <c r="H260" s="5" t="inlineStr">
        <is>
          <t>口播</t>
        </is>
      </c>
      <c r="I260" s="5" t="n"/>
      <c r="J260" s="5" t="n"/>
      <c r="K260" s="5" t="n">
        <v>93</v>
      </c>
      <c r="L260" s="5" t="n">
        <v>3746</v>
      </c>
      <c r="M260" s="5" t="n">
        <v>133</v>
      </c>
      <c r="N260" s="5" t="n">
        <v>5</v>
      </c>
      <c r="O260" s="5" t="n">
        <v>60</v>
      </c>
      <c r="P260" s="8">
        <f>IF(AND(M260&lt;&gt;"",M260&gt;0),M260+N260+O260,"")</f>
        <v/>
      </c>
      <c r="Q260" s="11">
        <f>IF(AND(L260&lt;&gt;"",L260&gt;0,P260&lt;&gt;""),P260/L260,"")</f>
        <v/>
      </c>
      <c r="R260" s="16">
        <f>IF(AND(P260&lt;&gt;"",P260&gt;0),(I260+J260+K260)/P260,"")</f>
        <v/>
      </c>
    </row>
    <row r="261" ht="27" customHeight="1">
      <c r="A261" s="5" t="inlineStr">
        <is>
          <t>2026-01-30</t>
        </is>
      </c>
      <c r="B261" s="5" t="inlineStr">
        <is>
          <t>5周</t>
        </is>
      </c>
      <c r="C261" s="5" t="inlineStr">
        <is>
          <t>抖音</t>
        </is>
      </c>
      <c r="D261" s="5" t="n"/>
      <c r="E261" s="5" t="n"/>
      <c r="F261" s="5" t="inlineStr">
        <is>
          <t>https://v.douyin.com/uOvX2RqNoUw/ Gvs:/</t>
        </is>
      </c>
      <c r="G261" s="5" t="inlineStr">
        <is>
          <t>0001A1</t>
        </is>
      </c>
      <c r="H261" s="5" t="inlineStr">
        <is>
          <t>新年好物</t>
        </is>
      </c>
      <c r="I261" s="5" t="n">
        <v>350</v>
      </c>
      <c r="J261" s="5" t="n"/>
      <c r="K261" s="5" t="n">
        <v>107.5</v>
      </c>
      <c r="L261" s="5" t="n">
        <v>9949</v>
      </c>
      <c r="M261" s="5" t="n">
        <v>214</v>
      </c>
      <c r="N261" s="5" t="n">
        <v>54</v>
      </c>
      <c r="O261" s="5" t="n">
        <v>28</v>
      </c>
      <c r="P261" s="8">
        <f>IF(AND(M261&lt;&gt;"",M261&gt;0),M261+N261+O261,"")</f>
        <v/>
      </c>
      <c r="Q261" s="11">
        <f>IF(AND(L261&lt;&gt;"",L261&gt;0,P261&lt;&gt;""),P261/L261,"")</f>
        <v/>
      </c>
      <c r="R261" s="16">
        <f>IF(AND(P261&lt;&gt;"",P261&gt;0),(I261+J261+K261)/P261,"")</f>
        <v/>
      </c>
    </row>
    <row r="262" ht="27" customHeight="1">
      <c r="A262" s="5" t="inlineStr">
        <is>
          <t>2026-01-30</t>
        </is>
      </c>
      <c r="B262" s="5" t="inlineStr">
        <is>
          <t>5周</t>
        </is>
      </c>
      <c r="C262" s="5" t="inlineStr">
        <is>
          <t>抖音</t>
        </is>
      </c>
      <c r="D262" s="5" t="n"/>
      <c r="E262" s="5" t="n"/>
      <c r="F262" s="5" t="inlineStr">
        <is>
          <t>https://v.douyin.com/7O5dUg7RiZ8/</t>
        </is>
      </c>
      <c r="G262" s="5" t="inlineStr">
        <is>
          <t>0001A1</t>
        </is>
      </c>
      <c r="H262" s="5" t="inlineStr">
        <is>
          <t>李沛恩</t>
        </is>
      </c>
      <c r="I262" s="5" t="n"/>
      <c r="J262" s="5" t="n"/>
      <c r="K262" s="5" t="n">
        <v>107.5</v>
      </c>
      <c r="L262" s="5" t="n">
        <v>3894</v>
      </c>
      <c r="M262" s="5" t="n">
        <v>122</v>
      </c>
      <c r="N262" s="5" t="n">
        <v>1</v>
      </c>
      <c r="O262" s="5" t="n">
        <v>13</v>
      </c>
      <c r="P262" s="8">
        <f>IF(AND(M262&lt;&gt;"",M262&gt;0),M262+N262+O262,"")</f>
        <v/>
      </c>
      <c r="Q262" s="11">
        <f>IF(AND(L262&lt;&gt;"",L262&gt;0,P262&lt;&gt;""),P262/L262,"")</f>
        <v/>
      </c>
      <c r="R262" s="16">
        <f>IF(AND(P262&lt;&gt;"",P262&gt;0),(I262+J262+K262)/P262,"")</f>
        <v/>
      </c>
    </row>
    <row r="263" ht="27" customHeight="1">
      <c r="A263" s="5" t="inlineStr">
        <is>
          <t>2026-01-30</t>
        </is>
      </c>
      <c r="B263" s="5" t="inlineStr">
        <is>
          <t>5周</t>
        </is>
      </c>
      <c r="C263" s="5" t="inlineStr">
        <is>
          <t>抖音</t>
        </is>
      </c>
      <c r="D263" s="5" t="n"/>
      <c r="E263" s="5" t="n"/>
      <c r="F263" s="5" t="inlineStr">
        <is>
          <t>https://v.douyin.com/me8EIN7Ea90/ W@z.gB</t>
        </is>
      </c>
      <c r="G263" s="5" t="inlineStr">
        <is>
          <t>0002A1</t>
        </is>
      </c>
      <c r="H263" s="5" t="inlineStr">
        <is>
          <t>刘耀文</t>
        </is>
      </c>
      <c r="I263" s="5" t="n"/>
      <c r="J263" s="5" t="n"/>
      <c r="K263" s="5" t="n">
        <v>110.5</v>
      </c>
      <c r="L263" s="5" t="n">
        <v>1500</v>
      </c>
      <c r="M263" s="5" t="n">
        <v>127</v>
      </c>
      <c r="N263" s="5" t="n">
        <v>8</v>
      </c>
      <c r="O263" s="5" t="n">
        <v>29</v>
      </c>
      <c r="P263" s="8">
        <f>IF(AND(M263&lt;&gt;"",M263&gt;0),M263+N263+O263,"")</f>
        <v/>
      </c>
      <c r="Q263" s="11">
        <f>IF(AND(L263&lt;&gt;"",L263&gt;0,P263&lt;&gt;""),P263/L263,"")</f>
        <v/>
      </c>
      <c r="R263" s="16">
        <f>IF(AND(P263&lt;&gt;"",P263&gt;0),(I263+J263+K263)/P263,"")</f>
        <v/>
      </c>
    </row>
    <row r="264" ht="27" customHeight="1">
      <c r="A264" s="5" t="inlineStr">
        <is>
          <t>2026-01-30</t>
        </is>
      </c>
      <c r="B264" s="5" t="inlineStr">
        <is>
          <t>5周</t>
        </is>
      </c>
      <c r="C264" s="5" t="inlineStr">
        <is>
          <t>抖音</t>
        </is>
      </c>
      <c r="D264" s="5" t="n"/>
      <c r="E264" s="5" t="n"/>
      <c r="F264" s="5" t="inlineStr">
        <is>
          <t>https://v.douyin.com/Kp48vcXlkxs/</t>
        </is>
      </c>
      <c r="G264" s="5" t="inlineStr">
        <is>
          <t>0001A1</t>
        </is>
      </c>
      <c r="H264" s="5" t="inlineStr">
        <is>
          <t>赵一博</t>
        </is>
      </c>
      <c r="I264" s="5" t="n"/>
      <c r="J264" s="5" t="n"/>
      <c r="K264" s="5" t="n">
        <v>107.5</v>
      </c>
      <c r="L264" s="5" t="n">
        <v>7224</v>
      </c>
      <c r="M264" s="5" t="n">
        <v>328</v>
      </c>
      <c r="N264" s="5" t="n">
        <v>14</v>
      </c>
      <c r="O264" s="5" t="n">
        <v>26</v>
      </c>
      <c r="P264" s="8">
        <f>IF(AND(M264&lt;&gt;"",M264&gt;0),M264+N264+O264,"")</f>
        <v/>
      </c>
      <c r="Q264" s="11">
        <f>IF(AND(L264&lt;&gt;"",L264&gt;0,P264&lt;&gt;""),P264/L264,"")</f>
        <v/>
      </c>
      <c r="R264" s="16">
        <f>IF(AND(P264&lt;&gt;"",P264&gt;0),(I264+J264+K264)/P264,"")</f>
        <v/>
      </c>
    </row>
    <row r="265" ht="27" customHeight="1">
      <c r="A265" s="5" t="inlineStr">
        <is>
          <t>2026-01-30</t>
        </is>
      </c>
      <c r="B265" s="5" t="inlineStr">
        <is>
          <t>5周</t>
        </is>
      </c>
      <c r="C265" s="5" t="inlineStr">
        <is>
          <t>抖音</t>
        </is>
      </c>
      <c r="D265" s="5" t="n"/>
      <c r="E265" s="5" t="n"/>
      <c r="F265" s="5" t="inlineStr">
        <is>
          <t>https://v.douyin.com/2ej-YEUvM4s/</t>
        </is>
      </c>
      <c r="G265" s="5" t="inlineStr">
        <is>
          <t>0002A1</t>
        </is>
      </c>
      <c r="H265" s="5" t="inlineStr">
        <is>
          <t>刘耀文</t>
        </is>
      </c>
      <c r="I265" s="5" t="n"/>
      <c r="J265" s="5" t="n"/>
      <c r="K265" s="5" t="n">
        <v>110.5</v>
      </c>
      <c r="L265" s="5" t="n">
        <v>11000</v>
      </c>
      <c r="M265" s="5" t="n">
        <v>529</v>
      </c>
      <c r="N265" s="5" t="n">
        <v>21</v>
      </c>
      <c r="O265" s="5" t="n">
        <v>15</v>
      </c>
      <c r="P265" s="8">
        <f>IF(AND(M265&lt;&gt;"",M265&gt;0),M265+N265+O265,"")</f>
        <v/>
      </c>
      <c r="Q265" s="11">
        <f>IF(AND(L265&lt;&gt;"",L265&gt;0,P265&lt;&gt;""),P265/L265,"")</f>
        <v/>
      </c>
      <c r="R265" s="16">
        <f>IF(AND(P265&lt;&gt;"",P265&gt;0),(I265+J265+K265)/P265,"")</f>
        <v/>
      </c>
    </row>
    <row r="266">
      <c r="A266" s="5" t="inlineStr">
        <is>
          <t>2026-01-30</t>
        </is>
      </c>
      <c r="B266" s="5" t="inlineStr">
        <is>
          <t>5周</t>
        </is>
      </c>
      <c r="C266" s="5" t="inlineStr">
        <is>
          <t>快手</t>
        </is>
      </c>
      <c r="D266" s="5" t="n"/>
      <c r="E266" s="5" t="n"/>
      <c r="F266" s="5" t="inlineStr">
        <is>
          <t>https://v.kuaishou.com/Ks4zxZS3</t>
        </is>
      </c>
      <c r="G266" s="5" t="inlineStr">
        <is>
          <t>0002A1</t>
        </is>
      </c>
      <c r="H266" s="5" t="inlineStr">
        <is>
          <t>刘耀文</t>
        </is>
      </c>
      <c r="I266" s="5" t="n"/>
      <c r="J266" s="5" t="n"/>
      <c r="K266" s="5" t="n">
        <v>110.5</v>
      </c>
      <c r="L266" s="5" t="n">
        <v>4209</v>
      </c>
      <c r="M266" s="5" t="n">
        <v>622</v>
      </c>
      <c r="N266" s="5" t="n">
        <v>19</v>
      </c>
      <c r="O266" s="5" t="n">
        <v>8</v>
      </c>
      <c r="P266" s="8">
        <f>IF(AND(M266&lt;&gt;"",M266&gt;0),M266+N266+O266,"")</f>
        <v/>
      </c>
      <c r="Q266" s="11">
        <f>IF(AND(L266&lt;&gt;"",L266&gt;0,P266&lt;&gt;""),P266/L266,"")</f>
        <v/>
      </c>
      <c r="R266" s="16">
        <f>IF(AND(P266&lt;&gt;"",P266&gt;0),(I266+J266+K266)/P266,"")</f>
        <v/>
      </c>
    </row>
    <row r="267" ht="27" customHeight="1">
      <c r="A267" s="5" t="inlineStr">
        <is>
          <t>2026-01-30</t>
        </is>
      </c>
      <c r="B267" s="5" t="inlineStr">
        <is>
          <t>5周</t>
        </is>
      </c>
      <c r="C267" s="5" t="inlineStr">
        <is>
          <t>抖音</t>
        </is>
      </c>
      <c r="D267" s="5" t="n"/>
      <c r="E267" s="5" t="n"/>
      <c r="F267" s="5" t="inlineStr">
        <is>
          <t>https://v.douyin.com/SKqKQMoTOro/</t>
        </is>
      </c>
      <c r="G267" s="5" t="inlineStr">
        <is>
          <t>0002A1</t>
        </is>
      </c>
      <c r="H267" s="5" t="inlineStr">
        <is>
          <t>刘耀文</t>
        </is>
      </c>
      <c r="I267" s="5" t="n"/>
      <c r="J267" s="5" t="n"/>
      <c r="K267" s="5" t="n">
        <v>110.5</v>
      </c>
      <c r="L267" s="5" t="n">
        <v>13000</v>
      </c>
      <c r="M267" s="5" t="n">
        <v>1104</v>
      </c>
      <c r="N267" s="5" t="n">
        <v>12</v>
      </c>
      <c r="O267" s="5" t="n">
        <v>77</v>
      </c>
      <c r="P267" s="8">
        <f>IF(AND(M267&lt;&gt;"",M267&gt;0),M267+N267+O267,"")</f>
        <v/>
      </c>
      <c r="Q267" s="11">
        <f>IF(AND(L267&lt;&gt;"",L267&gt;0,P267&lt;&gt;""),P267/L267,"")</f>
        <v/>
      </c>
      <c r="R267" s="16">
        <f>IF(AND(P267&lt;&gt;"",P267&gt;0),(I267+J267+K267)/P267,"")</f>
        <v/>
      </c>
    </row>
    <row r="268" ht="27" customHeight="1">
      <c r="A268" s="5" t="inlineStr">
        <is>
          <t>2026-01-30</t>
        </is>
      </c>
      <c r="B268" s="5" t="inlineStr">
        <is>
          <t>5周</t>
        </is>
      </c>
      <c r="C268" s="5" t="inlineStr">
        <is>
          <t>抖音</t>
        </is>
      </c>
      <c r="D268" s="5" t="n"/>
      <c r="E268" s="5" t="n"/>
      <c r="F268" s="5" t="inlineStr">
        <is>
          <t>https://v.douyin.com/mPbYvEcqosM/</t>
        </is>
      </c>
      <c r="G268" s="5" t="inlineStr">
        <is>
          <t>495</t>
        </is>
      </c>
      <c r="H268" s="5" t="inlineStr">
        <is>
          <t>穿搭</t>
        </is>
      </c>
      <c r="I268" s="5" t="n"/>
      <c r="J268" s="5" t="n"/>
      <c r="K268" s="5" t="n">
        <v>93</v>
      </c>
      <c r="L268" s="5" t="n">
        <v>100000</v>
      </c>
      <c r="M268" s="5" t="n">
        <v>4897</v>
      </c>
      <c r="N268" s="5" t="n">
        <v>746</v>
      </c>
      <c r="O268" s="5" t="n">
        <v>122</v>
      </c>
      <c r="P268" s="8">
        <f>IF(AND(M268&lt;&gt;"",M268&gt;0),M268+N268+O268,"")</f>
        <v/>
      </c>
      <c r="Q268" s="11">
        <f>IF(AND(L268&lt;&gt;"",L268&gt;0,P268&lt;&gt;""),P268/L268,"")</f>
        <v/>
      </c>
      <c r="R268" s="16">
        <f>IF(AND(P268&lt;&gt;"",P268&gt;0),(I268+J268+K268)/P268,"")</f>
        <v/>
      </c>
    </row>
    <row r="269" ht="27" customHeight="1">
      <c r="A269" s="5" t="inlineStr">
        <is>
          <t>2026-01-30</t>
        </is>
      </c>
      <c r="B269" s="5" t="inlineStr">
        <is>
          <t>5周</t>
        </is>
      </c>
      <c r="C269" s="5" t="inlineStr">
        <is>
          <t>抖音</t>
        </is>
      </c>
      <c r="D269" s="5" t="n"/>
      <c r="E269" s="5" t="n"/>
      <c r="F269" s="5" t="inlineStr">
        <is>
          <t>https://v.douyin.com/VC8V46FgMuI/</t>
        </is>
      </c>
      <c r="G269" s="5" t="inlineStr">
        <is>
          <t>0002A1</t>
        </is>
      </c>
      <c r="H269" s="5" t="inlineStr">
        <is>
          <t>穿搭</t>
        </is>
      </c>
      <c r="I269" s="5" t="n">
        <v>500</v>
      </c>
      <c r="J269" s="5" t="n"/>
      <c r="K269" s="5" t="n">
        <v>110.5</v>
      </c>
      <c r="L269" s="5" t="n">
        <v>56000</v>
      </c>
      <c r="M269" s="5" t="n">
        <v>1748</v>
      </c>
      <c r="N269" s="5" t="n">
        <v>505</v>
      </c>
      <c r="O269" s="5" t="n">
        <v>71</v>
      </c>
      <c r="P269" s="8">
        <f>IF(AND(M269&lt;&gt;"",M269&gt;0),M269+N269+O269,"")</f>
        <v/>
      </c>
      <c r="Q269" s="11">
        <f>IF(AND(L269&lt;&gt;"",L269&gt;0,P269&lt;&gt;""),P269/L269,"")</f>
        <v/>
      </c>
      <c r="R269" s="16">
        <f>IF(AND(P269&lt;&gt;"",P269&gt;0),(I269+J269+K269)/P269,"")</f>
        <v/>
      </c>
    </row>
    <row r="270" ht="27" customHeight="1">
      <c r="A270" s="5" t="inlineStr">
        <is>
          <t>2026-01-30</t>
        </is>
      </c>
      <c r="B270" s="5" t="inlineStr">
        <is>
          <t>5周</t>
        </is>
      </c>
      <c r="C270" s="5" t="inlineStr">
        <is>
          <t>抖音</t>
        </is>
      </c>
      <c r="D270" s="5" t="n"/>
      <c r="E270" s="5" t="n"/>
      <c r="F270" s="5" t="inlineStr">
        <is>
          <t>https://v.douyin.com/0U4ub2tsCC4/</t>
        </is>
      </c>
      <c r="G270" s="5" t="inlineStr">
        <is>
          <t>1172W</t>
        </is>
      </c>
      <c r="H270" s="5" t="inlineStr">
        <is>
          <t>学生</t>
        </is>
      </c>
      <c r="I270" s="5" t="n"/>
      <c r="J270" s="5" t="n"/>
      <c r="K270" s="5" t="n">
        <v>57.5</v>
      </c>
      <c r="L270" s="5" t="n">
        <v>995000</v>
      </c>
      <c r="M270" s="5" t="n">
        <v>68000</v>
      </c>
      <c r="N270" s="5" t="n">
        <v>9577</v>
      </c>
      <c r="O270" s="5" t="n">
        <v>389</v>
      </c>
      <c r="P270" s="8">
        <f>IF(AND(M270&lt;&gt;"",M270&gt;0),M270+N270+O270,"")</f>
        <v/>
      </c>
      <c r="Q270" s="11">
        <f>IF(AND(L270&lt;&gt;"",L270&gt;0,P270&lt;&gt;""),P270/L270,"")</f>
        <v/>
      </c>
      <c r="R270" s="16">
        <f>IF(AND(P270&lt;&gt;"",P270&gt;0),(I270+J270+K270)/P270,"")</f>
        <v/>
      </c>
    </row>
    <row r="271" ht="27" customHeight="1">
      <c r="A271" s="5" t="inlineStr">
        <is>
          <t>2026-01-30</t>
        </is>
      </c>
      <c r="B271" s="5" t="inlineStr">
        <is>
          <t>5周</t>
        </is>
      </c>
      <c r="C271" s="5" t="inlineStr">
        <is>
          <t>抖音</t>
        </is>
      </c>
      <c r="D271" s="5" t="n"/>
      <c r="E271" s="5" t="n"/>
      <c r="F271" s="5" t="inlineStr">
        <is>
          <t>https://v.douyin.com/zdZdfoTaymI/</t>
        </is>
      </c>
      <c r="G271" s="5" t="inlineStr">
        <is>
          <t>495</t>
        </is>
      </c>
      <c r="H271" s="5" t="inlineStr">
        <is>
          <t>穿搭</t>
        </is>
      </c>
      <c r="I271" s="5" t="n">
        <v>200</v>
      </c>
      <c r="J271" s="5" t="n"/>
      <c r="K271" s="5" t="n">
        <v>93</v>
      </c>
      <c r="L271" s="5" t="n">
        <v>14000</v>
      </c>
      <c r="M271" s="5" t="n">
        <v>802</v>
      </c>
      <c r="N271" s="5" t="n">
        <v>35</v>
      </c>
      <c r="O271" s="5" t="n">
        <v>22</v>
      </c>
      <c r="P271" s="8">
        <f>IF(AND(M271&lt;&gt;"",M271&gt;0),M271+N271+O271,"")</f>
        <v/>
      </c>
      <c r="Q271" s="11">
        <f>IF(AND(L271&lt;&gt;"",L271&gt;0,P271&lt;&gt;""),P271/L271,"")</f>
        <v/>
      </c>
      <c r="R271" s="16">
        <f>IF(AND(P271&lt;&gt;"",P271&gt;0),(I271+J271+K271)/P271,"")</f>
        <v/>
      </c>
    </row>
    <row r="272" ht="81" customHeight="1">
      <c r="A272" s="5" t="inlineStr">
        <is>
          <t>2026-01-30</t>
        </is>
      </c>
      <c r="B272" s="5" t="inlineStr">
        <is>
          <t>5周</t>
        </is>
      </c>
      <c r="C272" s="5" t="inlineStr">
        <is>
          <t>小红书</t>
        </is>
      </c>
      <c r="D272" s="5" t="n"/>
      <c r="E272" s="5" t="n"/>
      <c r="F272" s="5" t="inlineStr">
        <is>
          <t>https://www.xiaohongshu.com/discovery/item/697c1bc7000000000a02a28d?xsec_token=CBsRUSH-7WJiBaMjU0-_5dILQ99yWYytUjxN2LV8t34dg=&amp;xsec_source=app_share&amp;type=video</t>
        </is>
      </c>
      <c r="G272" s="5" t="inlineStr">
        <is>
          <t>495</t>
        </is>
      </c>
      <c r="H272" s="5" t="inlineStr">
        <is>
          <t>穿搭</t>
        </is>
      </c>
      <c r="I272" s="5" t="n">
        <v>100</v>
      </c>
      <c r="J272" s="5" t="n"/>
      <c r="K272" s="5" t="n">
        <v>93</v>
      </c>
      <c r="L272" s="5" t="n">
        <v>8881</v>
      </c>
      <c r="M272" s="5" t="n">
        <v>558</v>
      </c>
      <c r="N272" s="5" t="n">
        <v>300</v>
      </c>
      <c r="O272" s="5" t="n">
        <v>15</v>
      </c>
      <c r="P272" s="8">
        <f>IF(AND(M272&lt;&gt;"",M272&gt;0),M272+N272+O272,"")</f>
        <v/>
      </c>
      <c r="Q272" s="11">
        <f>IF(AND(L272&lt;&gt;"",L272&gt;0,P272&lt;&gt;""),P272/L272,"")</f>
        <v/>
      </c>
      <c r="R272" s="16">
        <f>IF(AND(P272&lt;&gt;"",P272&gt;0),(I272+J272+K272)/P272,"")</f>
        <v/>
      </c>
    </row>
    <row r="273" ht="81" customHeight="1">
      <c r="A273" s="5" t="inlineStr">
        <is>
          <t>2026-01-30</t>
        </is>
      </c>
      <c r="B273" s="5" t="inlineStr">
        <is>
          <t>5周</t>
        </is>
      </c>
      <c r="C273" s="5" t="inlineStr">
        <is>
          <t>小红书</t>
        </is>
      </c>
      <c r="D273" s="5" t="n"/>
      <c r="E273" s="5" t="n"/>
      <c r="F273" s="5" t="inlineStr">
        <is>
          <t>https://www.xiaohongshu.com/discovery/item/697c286b000000001a02eef6?xsec_token=CBStbtHnfe84cMqpI-CUsFVmMNk0_TZxIr5G3O1JgUamY=&amp;xsec_source=app_share</t>
        </is>
      </c>
      <c r="G273" s="5" t="inlineStr">
        <is>
          <t>0001A1</t>
        </is>
      </c>
      <c r="H273" s="5" t="inlineStr">
        <is>
          <t>赵一博</t>
        </is>
      </c>
      <c r="I273" s="5" t="n"/>
      <c r="J273" s="5" t="n"/>
      <c r="K273" s="5" t="n">
        <v>107.5</v>
      </c>
      <c r="L273" s="5" t="n">
        <v>372</v>
      </c>
      <c r="M273" s="5" t="n">
        <v>18</v>
      </c>
      <c r="N273" s="5" t="n">
        <v>1</v>
      </c>
      <c r="O273" s="5" t="n">
        <v>5</v>
      </c>
      <c r="P273" s="8">
        <f>IF(AND(M273&lt;&gt;"",M273&gt;0),M273+N273+O273,"")</f>
        <v/>
      </c>
      <c r="Q273" s="11">
        <f>IF(AND(L273&lt;&gt;"",L273&gt;0,P273&lt;&gt;""),P273/L273,"")</f>
        <v/>
      </c>
      <c r="R273" s="16">
        <f>IF(AND(P273&lt;&gt;"",P273&gt;0),(I273+J273+K273)/P273,"")</f>
        <v/>
      </c>
    </row>
    <row r="274" ht="81" customHeight="1">
      <c r="A274" s="5" t="inlineStr">
        <is>
          <t>2026-01-30</t>
        </is>
      </c>
      <c r="B274" s="5" t="inlineStr">
        <is>
          <t>5周</t>
        </is>
      </c>
      <c r="C274" s="5" t="inlineStr">
        <is>
          <t>小红书</t>
        </is>
      </c>
      <c r="D274" s="5" t="n"/>
      <c r="E274" s="5" t="n"/>
      <c r="F274" s="5" t="inlineStr">
        <is>
          <t>https://www.xiaohongshu.com/discovery/item/6978516f000000001a02d38b?xsec_token=CB_tFM2iMKgG747iDIkbgT7ZL-vsAgbHWDIFeFggF22vE=&amp;xsec_source=app_share&amp;type=video</t>
        </is>
      </c>
      <c r="G274" s="5" t="inlineStr">
        <is>
          <t>0001A1</t>
        </is>
      </c>
      <c r="H274" s="5" t="inlineStr">
        <is>
          <t>赵一博</t>
        </is>
      </c>
      <c r="I274" s="5" t="n"/>
      <c r="J274" s="5" t="n"/>
      <c r="K274" s="5" t="n">
        <v>107.5</v>
      </c>
      <c r="L274" s="5" t="n">
        <v>319</v>
      </c>
      <c r="M274" s="5" t="n">
        <v>16</v>
      </c>
      <c r="N274" s="5" t="n">
        <v>4</v>
      </c>
      <c r="O274" s="5" t="n">
        <v>3</v>
      </c>
      <c r="P274" s="8">
        <f>IF(AND(M274&lt;&gt;"",M274&gt;0),M274+N274+O274,"")</f>
        <v/>
      </c>
      <c r="Q274" s="11">
        <f>IF(AND(L274&lt;&gt;"",L274&gt;0,P274&lt;&gt;""),P274/L274,"")</f>
        <v/>
      </c>
      <c r="R274" s="16">
        <f>IF(AND(P274&lt;&gt;"",P274&gt;0),(I274+J274+K274)/P274,"")</f>
        <v/>
      </c>
    </row>
    <row r="275" ht="81" customHeight="1">
      <c r="A275" s="5" t="inlineStr">
        <is>
          <t>2026-01-30</t>
        </is>
      </c>
      <c r="B275" s="5" t="inlineStr">
        <is>
          <t>5周</t>
        </is>
      </c>
      <c r="C275" s="5" t="inlineStr">
        <is>
          <t>小红书</t>
        </is>
      </c>
      <c r="D275" s="5" t="n"/>
      <c r="E275" s="5" t="n"/>
      <c r="F275" s="5" t="inlineStr">
        <is>
          <t>https://www.xiaohongshu.com/discovery/item/697c8916000000000a029999?xsec_token=CBsRUSH-7WJiBaMjU0-_5dIB8FA-FFbKMguC0mIyQkOcA=&amp;xsec_source=app_share&amp;type=video</t>
        </is>
      </c>
      <c r="G275" s="5" t="inlineStr">
        <is>
          <t>495</t>
        </is>
      </c>
      <c r="H275" s="5" t="inlineStr">
        <is>
          <t>口播</t>
        </is>
      </c>
      <c r="I275" s="5" t="n"/>
      <c r="J275" s="5" t="n"/>
      <c r="K275" s="5" t="n">
        <v>93</v>
      </c>
      <c r="L275" s="5" t="n">
        <v>6435</v>
      </c>
      <c r="M275" s="5" t="n">
        <v>229</v>
      </c>
      <c r="N275" s="5" t="n">
        <v>78</v>
      </c>
      <c r="O275" s="5" t="n">
        <v>34</v>
      </c>
      <c r="P275" s="8">
        <f>IF(AND(M275&lt;&gt;"",M275&gt;0),M275+N275+O275,"")</f>
        <v/>
      </c>
      <c r="Q275" s="11">
        <f>IF(AND(L275&lt;&gt;"",L275&gt;0,P275&lt;&gt;""),P275/L275,"")</f>
        <v/>
      </c>
      <c r="R275" s="16">
        <f>IF(AND(P275&lt;&gt;"",P275&gt;0),(I275+J275+K275)/P275,"")</f>
        <v/>
      </c>
    </row>
    <row r="276" ht="81" customHeight="1">
      <c r="A276" s="5" t="inlineStr">
        <is>
          <t>2026-01-30</t>
        </is>
      </c>
      <c r="B276" s="5" t="inlineStr">
        <is>
          <t>5周</t>
        </is>
      </c>
      <c r="C276" s="5" t="inlineStr">
        <is>
          <t>小红书</t>
        </is>
      </c>
      <c r="D276" s="5" t="n"/>
      <c r="E276" s="5" t="n"/>
      <c r="F276" s="5" t="inlineStr">
        <is>
          <t>https://www.xiaohongshu.com/discovery/item/697c8f1a0000000021028a02?xsec_token=CBhmSlxXC_dRV7MOAXix-U-KYUlF6Usm0NU0VG44DRKWY=&amp;xsec_source=app_share&amp;type=video</t>
        </is>
      </c>
      <c r="G276" s="5" t="inlineStr">
        <is>
          <t>0001A1</t>
        </is>
      </c>
      <c r="H276" s="5" t="inlineStr">
        <is>
          <t>口播</t>
        </is>
      </c>
      <c r="I276" s="5" t="n">
        <v>400</v>
      </c>
      <c r="J276" s="5" t="n"/>
      <c r="K276" s="5" t="n">
        <v>107.5</v>
      </c>
      <c r="L276" s="5" t="n">
        <v>1450</v>
      </c>
      <c r="M276" s="5" t="n">
        <v>233</v>
      </c>
      <c r="N276" s="5" t="n">
        <v>87</v>
      </c>
      <c r="O276" s="5" t="n">
        <v>31</v>
      </c>
      <c r="P276" s="8">
        <f>IF(AND(M276&lt;&gt;"",M276&gt;0),M276+N276+O276,"")</f>
        <v/>
      </c>
      <c r="Q276" s="11">
        <f>IF(AND(L276&lt;&gt;"",L276&gt;0,P276&lt;&gt;""),P276/L276,"")</f>
        <v/>
      </c>
      <c r="R276" s="16">
        <f>IF(AND(P276&lt;&gt;"",P276&gt;0),(I276+J276+K276)/P276,"")</f>
        <v/>
      </c>
    </row>
    <row r="277" ht="81" customHeight="1">
      <c r="A277" s="5" t="inlineStr">
        <is>
          <t>2026-01-30</t>
        </is>
      </c>
      <c r="B277" s="5" t="inlineStr">
        <is>
          <t>5周</t>
        </is>
      </c>
      <c r="C277" s="5" t="inlineStr">
        <is>
          <t>小红书</t>
        </is>
      </c>
      <c r="D277" s="5" t="n"/>
      <c r="E277" s="5" t="n"/>
      <c r="F277" s="5" t="inlineStr">
        <is>
          <t>https://www.xiaohongshu.com/discovery/item/697b0d76000000000a030302?xsec_token=CBrNraUh-BaXj58Bs-hdAO9v5KXUOOrqnf8v8kieFBoBI=&amp;xsec_source=app_share&amp;type=video</t>
        </is>
      </c>
      <c r="G277" s="5" t="inlineStr">
        <is>
          <t>1172W</t>
        </is>
      </c>
      <c r="H277" s="5" t="inlineStr">
        <is>
          <t>学生</t>
        </is>
      </c>
      <c r="I277" s="5" t="n">
        <v>200</v>
      </c>
      <c r="J277" s="5" t="n"/>
      <c r="K277" s="5" t="n">
        <v>57.5</v>
      </c>
      <c r="L277" s="5" t="n">
        <v>12193</v>
      </c>
      <c r="M277" s="5" t="n">
        <v>1278</v>
      </c>
      <c r="N277" s="5" t="n">
        <v>97</v>
      </c>
      <c r="O277" s="5" t="n">
        <v>36</v>
      </c>
      <c r="P277" s="8">
        <f>IF(AND(M277&lt;&gt;"",M277&gt;0),M277+N277+O277,"")</f>
        <v/>
      </c>
      <c r="Q277" s="11">
        <f>IF(AND(L277&lt;&gt;"",L277&gt;0,P277&lt;&gt;""),P277/L277,"")</f>
        <v/>
      </c>
      <c r="R277" s="16">
        <f>IF(AND(P277&lt;&gt;"",P277&gt;0),(I277+J277+K277)/P277,"")</f>
        <v/>
      </c>
    </row>
    <row r="278" ht="81" customHeight="1">
      <c r="A278" s="5" t="inlineStr">
        <is>
          <t>2026-01-30</t>
        </is>
      </c>
      <c r="B278" s="5" t="inlineStr">
        <is>
          <t>5周</t>
        </is>
      </c>
      <c r="C278" s="5" t="inlineStr">
        <is>
          <t>小红书</t>
        </is>
      </c>
      <c r="D278" s="5" t="n"/>
      <c r="E278" s="5" t="n"/>
      <c r="F278" s="5" t="inlineStr">
        <is>
          <t>https://www.xiaohongshu.com/discovery/item/697cc0bc000000002203909d?xsec_token=CBT7bV9ULQXoI30nBa2qCmUo70msUZn8YwsgR7WcCvpTk=&amp;xsec_source=app_share&amp;type=video</t>
        </is>
      </c>
      <c r="G278" s="5" t="inlineStr">
        <is>
          <t>0001A1</t>
        </is>
      </c>
      <c r="H278" s="5" t="inlineStr">
        <is>
          <t>口播</t>
        </is>
      </c>
      <c r="I278" s="5" t="n">
        <v>200</v>
      </c>
      <c r="J278" s="5" t="n"/>
      <c r="K278" s="5" t="n">
        <v>107.5</v>
      </c>
      <c r="L278" s="5" t="n">
        <v>8543</v>
      </c>
      <c r="M278" s="5" t="n">
        <v>1186</v>
      </c>
      <c r="N278" s="5" t="n">
        <v>187</v>
      </c>
      <c r="O278" s="5" t="n">
        <v>39</v>
      </c>
      <c r="P278" s="8">
        <f>IF(AND(M278&lt;&gt;"",M278&gt;0),M278+N278+O278,"")</f>
        <v/>
      </c>
      <c r="Q278" s="11">
        <f>IF(AND(L278&lt;&gt;"",L278&gt;0,P278&lt;&gt;""),P278/L278,"")</f>
        <v/>
      </c>
      <c r="R278" s="16">
        <f>IF(AND(P278&lt;&gt;"",P278&gt;0),(I278+J278+K278)/P278,"")</f>
        <v/>
      </c>
    </row>
    <row r="279" ht="27" customHeight="1">
      <c r="A279" s="5" t="inlineStr">
        <is>
          <t>2026-01-31</t>
        </is>
      </c>
      <c r="B279" s="5" t="inlineStr">
        <is>
          <t>5周</t>
        </is>
      </c>
      <c r="C279" s="5" t="inlineStr">
        <is>
          <t>抖音</t>
        </is>
      </c>
      <c r="D279" s="5" t="n"/>
      <c r="E279" s="5" t="n"/>
      <c r="F279" s="5" t="inlineStr">
        <is>
          <t>https://v.douyin.com/LEiTwwvlLX0/</t>
        </is>
      </c>
      <c r="G279" s="5" t="inlineStr">
        <is>
          <t>0002A1</t>
        </is>
      </c>
      <c r="H279" s="5" t="inlineStr">
        <is>
          <t>刘耀文</t>
        </is>
      </c>
      <c r="I279" s="5" t="n"/>
      <c r="J279" s="5" t="n"/>
      <c r="K279" s="5" t="n">
        <v>110.5</v>
      </c>
      <c r="L279" s="5" t="n">
        <v>2347</v>
      </c>
      <c r="M279" s="5" t="n">
        <v>229</v>
      </c>
      <c r="N279" s="5" t="n">
        <v>8</v>
      </c>
      <c r="O279" s="5" t="n">
        <v>30</v>
      </c>
      <c r="P279" s="8">
        <f>IF(AND(M279&lt;&gt;"",M279&gt;0),M279+N279+O279,"")</f>
        <v/>
      </c>
      <c r="Q279" s="11">
        <f>IF(AND(L279&lt;&gt;"",L279&gt;0,P279&lt;&gt;""),P279/L279,"")</f>
        <v/>
      </c>
      <c r="R279" s="16">
        <f>IF(AND(P279&lt;&gt;"",P279&gt;0),(I279+J279+K279)/P279,"")</f>
        <v/>
      </c>
    </row>
    <row r="280" ht="27" customHeight="1">
      <c r="A280" s="5" t="inlineStr">
        <is>
          <t>2026-01-31</t>
        </is>
      </c>
      <c r="B280" s="5" t="inlineStr">
        <is>
          <t>5周</t>
        </is>
      </c>
      <c r="C280" s="5" t="inlineStr">
        <is>
          <t>抖音</t>
        </is>
      </c>
      <c r="D280" s="5" t="n"/>
      <c r="E280" s="5" t="n"/>
      <c r="F280" s="5" t="inlineStr">
        <is>
          <t>https://v.douyin.com/esGbbDk4D_g/</t>
        </is>
      </c>
      <c r="G280" s="5" t="inlineStr">
        <is>
          <t>0001A1</t>
        </is>
      </c>
      <c r="H280" s="5" t="inlineStr">
        <is>
          <t>新年好物</t>
        </is>
      </c>
      <c r="I280" s="5" t="n">
        <v>600</v>
      </c>
      <c r="J280" s="5" t="n"/>
      <c r="K280" s="5" t="n">
        <v>107.5</v>
      </c>
      <c r="L280" s="5" t="n">
        <v>114000</v>
      </c>
      <c r="M280" s="5" t="n">
        <v>5911</v>
      </c>
      <c r="N280" s="5" t="n">
        <v>448</v>
      </c>
      <c r="O280" s="5" t="n">
        <v>132</v>
      </c>
      <c r="P280" s="8">
        <f>IF(AND(M280&lt;&gt;"",M280&gt;0),M280+N280+O280,"")</f>
        <v/>
      </c>
      <c r="Q280" s="11">
        <f>IF(AND(L280&lt;&gt;"",L280&gt;0,P280&lt;&gt;""),P280/L280,"")</f>
        <v/>
      </c>
      <c r="R280" s="16">
        <f>IF(AND(P280&lt;&gt;"",P280&gt;0),(I280+J280+K280)/P280,"")</f>
        <v/>
      </c>
    </row>
    <row r="281" ht="27" customHeight="1">
      <c r="A281" s="5" t="inlineStr">
        <is>
          <t>2026-01-31</t>
        </is>
      </c>
      <c r="B281" s="5" t="inlineStr">
        <is>
          <t>5周</t>
        </is>
      </c>
      <c r="C281" s="5" t="inlineStr">
        <is>
          <t>抖音</t>
        </is>
      </c>
      <c r="D281" s="5" t="n"/>
      <c r="E281" s="5" t="n"/>
      <c r="F281" s="5" t="inlineStr">
        <is>
          <t>https://v.douyin.com/rKTbRNepHj4/</t>
        </is>
      </c>
      <c r="G281" s="5" t="inlineStr">
        <is>
          <t>0002A1</t>
        </is>
      </c>
      <c r="H281" s="5" t="inlineStr">
        <is>
          <t>穿搭</t>
        </is>
      </c>
      <c r="I281" s="5" t="n">
        <v>100</v>
      </c>
      <c r="J281" s="5" t="n"/>
      <c r="K281" s="5" t="n">
        <v>110.5</v>
      </c>
      <c r="L281" s="5" t="n">
        <v>9800</v>
      </c>
      <c r="M281" s="5" t="n">
        <v>1329</v>
      </c>
      <c r="N281" s="5" t="n">
        <v>162</v>
      </c>
      <c r="O281" s="5" t="n">
        <v>33</v>
      </c>
      <c r="P281" s="8">
        <f>IF(AND(M281&lt;&gt;"",M281&gt;0),M281+N281+O281,"")</f>
        <v/>
      </c>
      <c r="Q281" s="11">
        <f>IF(AND(L281&lt;&gt;"",L281&gt;0,P281&lt;&gt;""),P281/L281,"")</f>
        <v/>
      </c>
      <c r="R281" s="16">
        <f>IF(AND(P281&lt;&gt;"",P281&gt;0),(I281+J281+K281)/P281,"")</f>
        <v/>
      </c>
    </row>
    <row r="282" ht="27" customHeight="1">
      <c r="A282" s="5" t="inlineStr">
        <is>
          <t>2026-01-31</t>
        </is>
      </c>
      <c r="B282" s="5" t="inlineStr">
        <is>
          <t>5周</t>
        </is>
      </c>
      <c r="C282" s="5" t="inlineStr">
        <is>
          <t>抖音</t>
        </is>
      </c>
      <c r="D282" s="5" t="n"/>
      <c r="E282" s="5" t="n"/>
      <c r="F282" s="5" t="inlineStr">
        <is>
          <t>https://v.douyin.com/AdKygdXAD50/</t>
        </is>
      </c>
      <c r="G282" s="5" t="inlineStr">
        <is>
          <t>495</t>
        </is>
      </c>
      <c r="H282" s="5" t="inlineStr">
        <is>
          <t>穿搭</t>
        </is>
      </c>
      <c r="I282" s="5" t="n">
        <v>300</v>
      </c>
      <c r="J282" s="5" t="n"/>
      <c r="K282" s="5" t="n">
        <v>93</v>
      </c>
      <c r="L282" s="5" t="n">
        <v>612000</v>
      </c>
      <c r="M282" s="5" t="n">
        <v>3626</v>
      </c>
      <c r="N282" s="5" t="n">
        <v>557</v>
      </c>
      <c r="O282" s="5" t="n">
        <v>236</v>
      </c>
      <c r="P282" s="8">
        <f>IF(AND(M282&lt;&gt;"",M282&gt;0),M282+N282+O282,"")</f>
        <v/>
      </c>
      <c r="Q282" s="11">
        <f>IF(AND(L282&lt;&gt;"",L282&gt;0,P282&lt;&gt;""),P282/L282,"")</f>
        <v/>
      </c>
      <c r="R282" s="16">
        <f>IF(AND(P282&lt;&gt;"",P282&gt;0),(I282+J282+K282)/P282,"")</f>
        <v/>
      </c>
    </row>
    <row r="283" ht="27" customHeight="1">
      <c r="A283" s="5" t="inlineStr">
        <is>
          <t>2026-01-31</t>
        </is>
      </c>
      <c r="B283" s="5" t="inlineStr">
        <is>
          <t>5周</t>
        </is>
      </c>
      <c r="C283" s="5" t="inlineStr">
        <is>
          <t>抖音</t>
        </is>
      </c>
      <c r="D283" s="5" t="n"/>
      <c r="E283" s="5" t="n"/>
      <c r="F283" s="5" t="inlineStr">
        <is>
          <t>https://v.douyin.com/busDubNUz7g/</t>
        </is>
      </c>
      <c r="G283" s="5" t="inlineStr">
        <is>
          <t>0001A1</t>
        </is>
      </c>
      <c r="H283" s="5" t="inlineStr">
        <is>
          <t>赵一博</t>
        </is>
      </c>
      <c r="I283" s="5" t="n"/>
      <c r="J283" s="5" t="n"/>
      <c r="K283" s="5" t="n">
        <v>107.5</v>
      </c>
      <c r="L283" s="5" t="n">
        <v>100000</v>
      </c>
      <c r="M283" s="5" t="n">
        <v>3487</v>
      </c>
      <c r="N283" s="5" t="n">
        <v>165</v>
      </c>
      <c r="O283" s="5" t="n">
        <v>89</v>
      </c>
      <c r="P283" s="8">
        <f>IF(AND(M283&lt;&gt;"",M283&gt;0),M283+N283+O283,"")</f>
        <v/>
      </c>
      <c r="Q283" s="11">
        <f>IF(AND(L283&lt;&gt;"",L283&gt;0,P283&lt;&gt;""),P283/L283,"")</f>
        <v/>
      </c>
      <c r="R283" s="16">
        <f>IF(AND(P283&lt;&gt;"",P283&gt;0),(I283+J283+K283)/P283,"")</f>
        <v/>
      </c>
    </row>
    <row r="284" ht="27" customHeight="1">
      <c r="A284" s="5" t="inlineStr">
        <is>
          <t>2026-01-31</t>
        </is>
      </c>
      <c r="B284" s="5" t="inlineStr">
        <is>
          <t>5周</t>
        </is>
      </c>
      <c r="C284" s="5" t="inlineStr">
        <is>
          <t>抖音</t>
        </is>
      </c>
      <c r="D284" s="5" t="n"/>
      <c r="E284" s="5" t="n"/>
      <c r="F284" s="5" t="inlineStr">
        <is>
          <t>https://v.douyin.com/LznkS-MQfZE/</t>
        </is>
      </c>
      <c r="G284" s="5" t="inlineStr">
        <is>
          <t>495</t>
        </is>
      </c>
      <c r="H284" s="5" t="inlineStr">
        <is>
          <t>合集</t>
        </is>
      </c>
      <c r="I284" s="5" t="n">
        <v>250</v>
      </c>
      <c r="J284" s="5" t="n"/>
      <c r="K284" s="5" t="n">
        <v>93</v>
      </c>
      <c r="L284" s="5" t="n">
        <v>6485</v>
      </c>
      <c r="M284" s="5" t="n">
        <v>136</v>
      </c>
      <c r="N284" s="5" t="n">
        <v>23</v>
      </c>
      <c r="O284" s="5" t="n">
        <v>16</v>
      </c>
      <c r="P284" s="8">
        <f>IF(AND(M284&lt;&gt;"",M284&gt;0),M284+N284+O284,"")</f>
        <v/>
      </c>
      <c r="Q284" s="11">
        <f>IF(AND(L284&lt;&gt;"",L284&gt;0,P284&lt;&gt;""),P284/L284,"")</f>
        <v/>
      </c>
      <c r="R284" s="16">
        <f>IF(AND(P284&lt;&gt;"",P284&gt;0),(I284+J284+K284)/P284,"")</f>
        <v/>
      </c>
    </row>
    <row r="285" ht="27" customHeight="1">
      <c r="A285" s="5" t="inlineStr">
        <is>
          <t>2026-01-31</t>
        </is>
      </c>
      <c r="B285" s="5" t="inlineStr">
        <is>
          <t>5周</t>
        </is>
      </c>
      <c r="C285" s="5" t="inlineStr">
        <is>
          <t>抖音</t>
        </is>
      </c>
      <c r="D285" s="5" t="n"/>
      <c r="E285" s="5" t="n"/>
      <c r="F285" s="5" t="inlineStr">
        <is>
          <t>https://v.douyin.com/4qyxtEYLJtU/</t>
        </is>
      </c>
      <c r="G285" s="5" t="inlineStr">
        <is>
          <t>0001A1</t>
        </is>
      </c>
      <c r="H285" s="5" t="inlineStr">
        <is>
          <t>赵一博</t>
        </is>
      </c>
      <c r="I285" s="5" t="n"/>
      <c r="J285" s="5" t="n"/>
      <c r="K285" s="5" t="n">
        <v>107.5</v>
      </c>
      <c r="L285" s="5" t="n">
        <v>17000</v>
      </c>
      <c r="M285" s="5" t="n">
        <v>171</v>
      </c>
      <c r="N285" s="5" t="n">
        <v>28</v>
      </c>
      <c r="O285" s="5" t="n">
        <v>7</v>
      </c>
      <c r="P285" s="8">
        <f>IF(AND(M285&lt;&gt;"",M285&gt;0),M285+N285+O285,"")</f>
        <v/>
      </c>
      <c r="Q285" s="11">
        <f>IF(AND(L285&lt;&gt;"",L285&gt;0,P285&lt;&gt;""),P285/L285,"")</f>
        <v/>
      </c>
      <c r="R285" s="16">
        <f>IF(AND(P285&lt;&gt;"",P285&gt;0),(I285+J285+K285)/P285,"")</f>
        <v/>
      </c>
    </row>
    <row r="286" ht="27" customHeight="1">
      <c r="A286" s="5" t="inlineStr">
        <is>
          <t>2026-01-31</t>
        </is>
      </c>
      <c r="B286" s="5" t="inlineStr">
        <is>
          <t>5周</t>
        </is>
      </c>
      <c r="C286" s="5" t="inlineStr">
        <is>
          <t>抖音</t>
        </is>
      </c>
      <c r="D286" s="5" t="n"/>
      <c r="E286" s="5" t="n"/>
      <c r="F286" s="5" t="inlineStr">
        <is>
          <t>https://v.douyin.com/3-qiNTu3mWQ/</t>
        </is>
      </c>
      <c r="G286" s="5" t="inlineStr">
        <is>
          <t>0002A1</t>
        </is>
      </c>
      <c r="H286" s="5" t="inlineStr">
        <is>
          <t>刘耀文</t>
        </is>
      </c>
      <c r="I286" s="5" t="n"/>
      <c r="J286" s="5" t="n"/>
      <c r="K286" s="5" t="n">
        <v>110.5</v>
      </c>
      <c r="L286" s="5" t="n">
        <v>2236</v>
      </c>
      <c r="M286" s="5" t="n">
        <v>170</v>
      </c>
      <c r="N286" s="5" t="n">
        <v>9</v>
      </c>
      <c r="O286" s="5" t="n">
        <v>20</v>
      </c>
      <c r="P286" s="8">
        <f>IF(AND(M286&lt;&gt;"",M286&gt;0),M286+N286+O286,"")</f>
        <v/>
      </c>
      <c r="Q286" s="11">
        <f>IF(AND(L286&lt;&gt;"",L286&gt;0,P286&lt;&gt;""),P286/L286,"")</f>
        <v/>
      </c>
      <c r="R286" s="16">
        <f>IF(AND(P286&lt;&gt;"",P286&gt;0),(I286+J286+K286)/P286,"")</f>
        <v/>
      </c>
    </row>
    <row r="287" ht="27" customHeight="1">
      <c r="A287" s="5" t="inlineStr">
        <is>
          <t>2026-01-31</t>
        </is>
      </c>
      <c r="B287" s="5" t="inlineStr">
        <is>
          <t>5周</t>
        </is>
      </c>
      <c r="C287" s="5" t="inlineStr">
        <is>
          <t>抖音</t>
        </is>
      </c>
      <c r="D287" s="5" t="n"/>
      <c r="E287" s="5" t="n"/>
      <c r="F287" s="5" t="inlineStr">
        <is>
          <t>https://v.douyin.com/Tdwy6jTEKjA/</t>
        </is>
      </c>
      <c r="G287" s="5" t="inlineStr">
        <is>
          <t>0002A1</t>
        </is>
      </c>
      <c r="H287" s="5" t="inlineStr">
        <is>
          <t>好物分享</t>
        </is>
      </c>
      <c r="I287" s="5" t="n">
        <v>500</v>
      </c>
      <c r="J287" s="5" t="n"/>
      <c r="K287" s="5" t="n">
        <v>110.5</v>
      </c>
      <c r="L287" s="5" t="n">
        <v>115000</v>
      </c>
      <c r="M287" s="5" t="n">
        <v>1159</v>
      </c>
      <c r="N287" s="5" t="n">
        <v>39</v>
      </c>
      <c r="O287" s="5" t="n">
        <v>58</v>
      </c>
      <c r="P287" s="8">
        <f>IF(AND(M287&lt;&gt;"",M287&gt;0),M287+N287+O287,"")</f>
        <v/>
      </c>
      <c r="Q287" s="11">
        <f>IF(AND(L287&lt;&gt;"",L287&gt;0,P287&lt;&gt;""),P287/L287,"")</f>
        <v/>
      </c>
      <c r="R287" s="16">
        <f>IF(AND(P287&lt;&gt;"",P287&gt;0),(I287+J287+K287)/P287,"")</f>
        <v/>
      </c>
    </row>
    <row r="288" ht="27" customHeight="1">
      <c r="A288" s="5" t="inlineStr">
        <is>
          <t>2026-01-31</t>
        </is>
      </c>
      <c r="B288" s="5" t="inlineStr">
        <is>
          <t>5周</t>
        </is>
      </c>
      <c r="C288" s="5" t="inlineStr">
        <is>
          <t>抖音</t>
        </is>
      </c>
      <c r="D288" s="5" t="n"/>
      <c r="E288" s="5" t="n"/>
      <c r="F288" s="5" t="inlineStr">
        <is>
          <t>https://v.douyin.com/hLUossacogk/</t>
        </is>
      </c>
      <c r="G288" s="5" t="inlineStr">
        <is>
          <t>0001A1</t>
        </is>
      </c>
      <c r="H288" s="5" t="inlineStr">
        <is>
          <t>口播</t>
        </is>
      </c>
      <c r="I288" s="5" t="n">
        <v>1700</v>
      </c>
      <c r="J288" s="5" t="n"/>
      <c r="K288" s="5" t="n">
        <v>107.5</v>
      </c>
      <c r="L288" s="5" t="n">
        <v>246000</v>
      </c>
      <c r="M288" s="5" t="n">
        <v>8893</v>
      </c>
      <c r="N288" s="5" t="n">
        <v>611</v>
      </c>
      <c r="O288" s="5" t="n">
        <v>180</v>
      </c>
      <c r="P288" s="8">
        <f>IF(AND(M288&lt;&gt;"",M288&gt;0),M288+N288+O288,"")</f>
        <v/>
      </c>
      <c r="Q288" s="11">
        <f>IF(AND(L288&lt;&gt;"",L288&gt;0,P288&lt;&gt;""),P288/L288,"")</f>
        <v/>
      </c>
      <c r="R288" s="16">
        <f>IF(AND(P288&lt;&gt;"",P288&gt;0),(I288+J288+K288)/P288,"")</f>
        <v/>
      </c>
    </row>
    <row r="289" ht="27" customHeight="1">
      <c r="A289" s="5" t="inlineStr">
        <is>
          <t>2026-01-31</t>
        </is>
      </c>
      <c r="B289" s="5" t="inlineStr">
        <is>
          <t>5周</t>
        </is>
      </c>
      <c r="C289" s="5" t="inlineStr">
        <is>
          <t>抖音</t>
        </is>
      </c>
      <c r="D289" s="5" t="n"/>
      <c r="E289" s="5" t="n"/>
      <c r="F289" s="5" t="inlineStr">
        <is>
          <t>https://v.douyin.com/n0DhIqoZnO4/</t>
        </is>
      </c>
      <c r="G289" s="5" t="inlineStr">
        <is>
          <t>495</t>
        </is>
      </c>
      <c r="H289" s="5" t="inlineStr">
        <is>
          <t>李沛恩江衡</t>
        </is>
      </c>
      <c r="I289" s="5" t="n"/>
      <c r="J289" s="5" t="n"/>
      <c r="K289" s="5" t="n">
        <v>93</v>
      </c>
      <c r="L289" s="5" t="n">
        <v>21368</v>
      </c>
      <c r="M289" s="5" t="n">
        <v>44</v>
      </c>
      <c r="N289" s="5" t="n">
        <v>1</v>
      </c>
      <c r="O289" s="5" t="n">
        <v>6</v>
      </c>
      <c r="P289" s="8">
        <f>IF(AND(M289&lt;&gt;"",M289&gt;0),M289+N289+O289,"")</f>
        <v/>
      </c>
      <c r="Q289" s="11">
        <f>IF(AND(L289&lt;&gt;"",L289&gt;0,P289&lt;&gt;""),P289/L289,"")</f>
        <v/>
      </c>
      <c r="R289" s="16">
        <f>IF(AND(P289&lt;&gt;"",P289&gt;0),(I289+J289+K289)/P289,"")</f>
        <v/>
      </c>
    </row>
    <row r="290" ht="27" customHeight="1">
      <c r="A290" s="5" t="inlineStr">
        <is>
          <t>2026-01-31</t>
        </is>
      </c>
      <c r="B290" s="5" t="inlineStr">
        <is>
          <t>5周</t>
        </is>
      </c>
      <c r="C290" s="5" t="inlineStr">
        <is>
          <t>抖音</t>
        </is>
      </c>
      <c r="D290" s="5" t="n"/>
      <c r="E290" s="5" t="n"/>
      <c r="F290" s="5" t="inlineStr">
        <is>
          <t>https://v.douyin.com/yFfXxxLSKQc/</t>
        </is>
      </c>
      <c r="G290" s="5" t="inlineStr">
        <is>
          <t>495</t>
        </is>
      </c>
      <c r="H290" s="5" t="inlineStr">
        <is>
          <t>穿搭</t>
        </is>
      </c>
      <c r="I290" s="5" t="n"/>
      <c r="J290" s="5" t="n"/>
      <c r="K290" s="5" t="n">
        <v>93</v>
      </c>
      <c r="L290" s="5" t="n">
        <v>14000</v>
      </c>
      <c r="M290" s="5" t="n">
        <v>761</v>
      </c>
      <c r="N290" s="5" t="n">
        <v>35</v>
      </c>
      <c r="O290" s="5" t="n">
        <v>18</v>
      </c>
      <c r="P290" s="8">
        <f>IF(AND(M290&lt;&gt;"",M290&gt;0),M290+N290+O290,"")</f>
        <v/>
      </c>
      <c r="Q290" s="11">
        <f>IF(AND(L290&lt;&gt;"",L290&gt;0,P290&lt;&gt;""),P290/L290,"")</f>
        <v/>
      </c>
      <c r="R290" s="16">
        <f>IF(AND(P290&lt;&gt;"",P290&gt;0),(I290+J290+K290)/P290,"")</f>
        <v/>
      </c>
    </row>
    <row r="291" ht="81" customHeight="1">
      <c r="A291" s="5" t="inlineStr">
        <is>
          <t>2026-01-31</t>
        </is>
      </c>
      <c r="B291" s="5" t="inlineStr">
        <is>
          <t>5周</t>
        </is>
      </c>
      <c r="C291" s="5" t="inlineStr">
        <is>
          <t>小红书</t>
        </is>
      </c>
      <c r="D291" s="5" t="n"/>
      <c r="E291" s="5" t="n"/>
      <c r="F291" s="5" t="inlineStr">
        <is>
          <t>https://www.xiaohongshu.com/discovery/item/697d75f6000000000e03f6fa?xsec_token=CBytEeE4eMs4OyiEp05-ev-TTnTnrVRrk8lnF2QqkQOkM=&amp;xsec_source=app_share&amp;type=video</t>
        </is>
      </c>
      <c r="G291" s="5" t="inlineStr">
        <is>
          <t>495</t>
        </is>
      </c>
      <c r="H291" s="5" t="inlineStr">
        <is>
          <t>新年好物</t>
        </is>
      </c>
      <c r="I291" s="5" t="n">
        <v>100</v>
      </c>
      <c r="J291" s="5" t="n"/>
      <c r="K291" s="5" t="n">
        <v>93</v>
      </c>
      <c r="L291" s="5" t="n">
        <v>3736</v>
      </c>
      <c r="M291" s="5" t="n">
        <v>171</v>
      </c>
      <c r="N291" s="5" t="n">
        <v>80</v>
      </c>
      <c r="O291" s="5" t="n">
        <v>41</v>
      </c>
      <c r="P291" s="8">
        <f>IF(AND(M291&lt;&gt;"",M291&gt;0),M291+N291+O291,"")</f>
        <v/>
      </c>
      <c r="Q291" s="11">
        <f>IF(AND(L291&lt;&gt;"",L291&gt;0,P291&lt;&gt;""),P291/L291,"")</f>
        <v/>
      </c>
      <c r="R291" s="16">
        <f>IF(AND(P291&lt;&gt;"",P291&gt;0),(I291+J291+K291)/P291,"")</f>
        <v/>
      </c>
    </row>
    <row r="292" ht="81" customHeight="1">
      <c r="A292" s="5" t="inlineStr">
        <is>
          <t>2026-01-31</t>
        </is>
      </c>
      <c r="B292" s="5" t="inlineStr">
        <is>
          <t>5周</t>
        </is>
      </c>
      <c r="C292" s="5" t="inlineStr">
        <is>
          <t>小红书</t>
        </is>
      </c>
      <c r="D292" s="5" t="n"/>
      <c r="E292" s="5" t="n"/>
      <c r="F292" s="5" t="inlineStr">
        <is>
          <t>https://www.xiaohongshu.com/discovery/item/697d887d000000000b0129ff?xsec_token=CBytEeE4eMs4OyiEp05-ev-bf05VpgPsgY3KoXN5nm5iM=&amp;xsec_source=app_share&amp;type=video</t>
        </is>
      </c>
      <c r="G292" s="5" t="inlineStr">
        <is>
          <t>0002A1</t>
        </is>
      </c>
      <c r="H292" s="5" t="inlineStr">
        <is>
          <t>口播</t>
        </is>
      </c>
      <c r="I292" s="5" t="n">
        <v>420</v>
      </c>
      <c r="J292" s="5" t="n"/>
      <c r="K292" s="5" t="n">
        <v>110.5</v>
      </c>
      <c r="L292" s="5" t="n">
        <v>3503</v>
      </c>
      <c r="M292" s="5" t="n">
        <v>306</v>
      </c>
      <c r="N292" s="5" t="n">
        <v>52</v>
      </c>
      <c r="O292" s="5" t="n">
        <v>18</v>
      </c>
      <c r="P292" s="8">
        <f>IF(AND(M292&lt;&gt;"",M292&gt;0),M292+N292+O292,"")</f>
        <v/>
      </c>
      <c r="Q292" s="11">
        <f>IF(AND(L292&lt;&gt;"",L292&gt;0,P292&lt;&gt;""),P292/L292,"")</f>
        <v/>
      </c>
      <c r="R292" s="16">
        <f>IF(AND(P292&lt;&gt;"",P292&gt;0),(I292+J292+K292)/P292,"")</f>
        <v/>
      </c>
    </row>
    <row r="293" ht="81" customHeight="1">
      <c r="A293" s="5" t="inlineStr">
        <is>
          <t>2026-01-31</t>
        </is>
      </c>
      <c r="B293" s="5" t="inlineStr">
        <is>
          <t>5周</t>
        </is>
      </c>
      <c r="C293" s="5" t="inlineStr">
        <is>
          <t>小红书</t>
        </is>
      </c>
      <c r="D293" s="5" t="n"/>
      <c r="E293" s="5" t="n"/>
      <c r="F293" s="5" t="inlineStr">
        <is>
          <t>https://www.xiaohongshu.com/discovery/item/697d9cdd000000001a024eab?xsec_token=CBytEeE4eMs4OyiEp05-ev-bIj8fXcbvkTY0egCLSPgJs=&amp;xsec_source=app_share&amp;type=video</t>
        </is>
      </c>
      <c r="G293" s="5" t="inlineStr">
        <is>
          <t>1217W</t>
        </is>
      </c>
      <c r="H293" s="5" t="inlineStr">
        <is>
          <t>开箱</t>
        </is>
      </c>
      <c r="I293" s="5" t="n">
        <v>300</v>
      </c>
      <c r="J293" s="5" t="n"/>
      <c r="K293" s="5" t="n">
        <v>54</v>
      </c>
      <c r="L293" s="5" t="n">
        <v>43644</v>
      </c>
      <c r="M293" s="5" t="n">
        <v>3327</v>
      </c>
      <c r="N293" s="5" t="n">
        <v>502</v>
      </c>
      <c r="O293" s="5" t="n">
        <v>89</v>
      </c>
      <c r="P293" s="8">
        <f>IF(AND(M293&lt;&gt;"",M293&gt;0),M293+N293+O293,"")</f>
        <v/>
      </c>
      <c r="Q293" s="11">
        <f>IF(AND(L293&lt;&gt;"",L293&gt;0,P293&lt;&gt;""),P293/L293,"")</f>
        <v/>
      </c>
      <c r="R293" s="16">
        <f>IF(AND(P293&lt;&gt;"",P293&gt;0),(I293+J293+K293)/P293,"")</f>
        <v/>
      </c>
    </row>
    <row r="294" ht="81" customHeight="1">
      <c r="A294" s="5" t="inlineStr">
        <is>
          <t>2026-01-31</t>
        </is>
      </c>
      <c r="B294" s="5" t="inlineStr">
        <is>
          <t>5周</t>
        </is>
      </c>
      <c r="C294" s="5" t="inlineStr">
        <is>
          <t>小红书</t>
        </is>
      </c>
      <c r="D294" s="5" t="n"/>
      <c r="E294" s="5" t="n"/>
      <c r="F294" s="5" t="inlineStr">
        <is>
          <t>https://www.xiaohongshu.com/discovery/item/697dd578000000000a03d5ac?xsec_token=CBZZ3EKJw2077TJW6yB0NTN4pS9VmYf1p9m2SzRDdnlkk=&amp;xsec_source=app_share&amp;type=video</t>
        </is>
      </c>
      <c r="G294" s="5" t="inlineStr">
        <is>
          <t>495</t>
        </is>
      </c>
      <c r="H294" s="5" t="inlineStr">
        <is>
          <t>学生</t>
        </is>
      </c>
      <c r="I294" s="5" t="n">
        <v>300</v>
      </c>
      <c r="J294" s="5" t="n"/>
      <c r="K294" s="5" t="n">
        <v>93</v>
      </c>
      <c r="L294" s="5" t="n">
        <v>326040</v>
      </c>
      <c r="M294" s="5" t="n">
        <v>25113</v>
      </c>
      <c r="N294" s="5" t="n">
        <v>5329</v>
      </c>
      <c r="O294" s="5" t="n">
        <v>421</v>
      </c>
      <c r="P294" s="8">
        <f>IF(AND(M294&lt;&gt;"",M294&gt;0),M294+N294+O294,"")</f>
        <v/>
      </c>
      <c r="Q294" s="11">
        <f>IF(AND(L294&lt;&gt;"",L294&gt;0,P294&lt;&gt;""),P294/L294,"")</f>
        <v/>
      </c>
      <c r="R294" s="16">
        <f>IF(AND(P294&lt;&gt;"",P294&gt;0),(I294+J294+K294)/P294,"")</f>
        <v/>
      </c>
    </row>
    <row r="295" ht="81" customHeight="1">
      <c r="A295" s="5" t="inlineStr">
        <is>
          <t>2026-01-31</t>
        </is>
      </c>
      <c r="B295" s="5" t="inlineStr">
        <is>
          <t>5周</t>
        </is>
      </c>
      <c r="C295" s="5" t="inlineStr">
        <is>
          <t>小红书</t>
        </is>
      </c>
      <c r="D295" s="5" t="n"/>
      <c r="E295" s="5" t="n"/>
      <c r="F295" s="5" t="inlineStr">
        <is>
          <t>https://www.xiaohongshu.com/discovery/item/697de4c60000000028023138?xsec_token=CBytEeE4eMs4OyiEp05-ev-akudJsEzX4QZbLuBJ3hkzc=&amp;xsec_source=app_share&amp;type=video</t>
        </is>
      </c>
      <c r="G295" s="5" t="inlineStr">
        <is>
          <t>0002A1</t>
        </is>
      </c>
      <c r="H295" s="5" t="inlineStr">
        <is>
          <t>刘耀文</t>
        </is>
      </c>
      <c r="I295" s="5" t="n"/>
      <c r="J295" s="5" t="n"/>
      <c r="K295" s="5" t="n">
        <v>110.5</v>
      </c>
      <c r="L295" s="5" t="n">
        <v>2844</v>
      </c>
      <c r="M295" s="5" t="n">
        <v>168</v>
      </c>
      <c r="N295" s="5" t="n">
        <v>24</v>
      </c>
      <c r="O295" s="5" t="n">
        <v>26</v>
      </c>
      <c r="P295" s="8">
        <f>IF(AND(M295&lt;&gt;"",M295&gt;0),M295+N295+O295,"")</f>
        <v/>
      </c>
      <c r="Q295" s="11">
        <f>IF(AND(L295&lt;&gt;"",L295&gt;0,P295&lt;&gt;""),P295/L295,"")</f>
        <v/>
      </c>
      <c r="R295" s="16">
        <f>IF(AND(P295&lt;&gt;"",P295&gt;0),(I295+J295+K295)/P295,"")</f>
        <v/>
      </c>
    </row>
    <row r="296" ht="81" customHeight="1">
      <c r="A296" s="5" t="inlineStr">
        <is>
          <t>2026-01-31</t>
        </is>
      </c>
      <c r="B296" s="5" t="inlineStr">
        <is>
          <t>5周</t>
        </is>
      </c>
      <c r="C296" s="5" t="inlineStr">
        <is>
          <t>小红书</t>
        </is>
      </c>
      <c r="D296" s="5" t="n"/>
      <c r="E296" s="5" t="n"/>
      <c r="F296" s="5" t="inlineStr">
        <is>
          <t>https://www.xiaohongshu.com/discovery/item/697df7f2000000000b01289e?xsec_token=CBytEeE4eMs4OyiEp05-ev-ZtrCkev66zCtrSMNK1Dy74=&amp;xsec_source=app_share&amp;type=video</t>
        </is>
      </c>
      <c r="G296" s="5" t="inlineStr">
        <is>
          <t>0001A1</t>
        </is>
      </c>
      <c r="H296" s="5" t="inlineStr">
        <is>
          <t>口播</t>
        </is>
      </c>
      <c r="I296" s="5" t="n">
        <v>200</v>
      </c>
      <c r="J296" s="5" t="n"/>
      <c r="K296" s="5" t="n">
        <v>107.5</v>
      </c>
      <c r="L296" s="5" t="n">
        <v>1582</v>
      </c>
      <c r="M296" s="5" t="n">
        <v>560</v>
      </c>
      <c r="N296" s="5" t="n">
        <v>138</v>
      </c>
      <c r="O296" s="5" t="n">
        <v>19</v>
      </c>
      <c r="P296" s="8">
        <f>IF(AND(M296&lt;&gt;"",M296&gt;0),M296+N296+O296,"")</f>
        <v/>
      </c>
      <c r="Q296" s="11">
        <f>IF(AND(L296&lt;&gt;"",L296&gt;0,P296&lt;&gt;""),P296/L296,"")</f>
        <v/>
      </c>
      <c r="R296" s="16">
        <f>IF(AND(P296&lt;&gt;"",P296&gt;0),(I296+J296+K296)/P296,"")</f>
        <v/>
      </c>
    </row>
    <row r="297" ht="81" customHeight="1">
      <c r="A297" s="5" t="inlineStr">
        <is>
          <t>2026-01-31</t>
        </is>
      </c>
      <c r="B297" s="5" t="inlineStr">
        <is>
          <t>5周</t>
        </is>
      </c>
      <c r="C297" s="5" t="inlineStr">
        <is>
          <t>小红书</t>
        </is>
      </c>
      <c r="D297" s="5" t="n"/>
      <c r="E297" s="5" t="n"/>
      <c r="F297" s="5" t="inlineStr">
        <is>
          <t>https://www.xiaohongshu.com/discovery/item/697e05de000000000d00a805?xsec_token=CBZ6e6lbouSrmd_0KqTmQONDGwWCkpzWZQL6ZyRzsuxt8=&amp;xsec_source=app_share&amp;type=video</t>
        </is>
      </c>
      <c r="G297" s="5" t="inlineStr">
        <is>
          <t>1217W</t>
        </is>
      </c>
      <c r="H297" s="5" t="inlineStr">
        <is>
          <t>学生</t>
        </is>
      </c>
      <c r="I297" s="5" t="n"/>
      <c r="J297" s="5" t="n"/>
      <c r="K297" s="5" t="n">
        <v>54</v>
      </c>
      <c r="L297" s="5" t="n">
        <v>2694</v>
      </c>
      <c r="M297" s="5" t="n">
        <v>276</v>
      </c>
      <c r="N297" s="5" t="n">
        <v>31</v>
      </c>
      <c r="O297" s="5" t="n">
        <v>26</v>
      </c>
      <c r="P297" s="8">
        <f>IF(AND(M297&lt;&gt;"",M297&gt;0),M297+N297+O297,"")</f>
        <v/>
      </c>
      <c r="Q297" s="11">
        <f>IF(AND(L297&lt;&gt;"",L297&gt;0,P297&lt;&gt;""),P297/L297,"")</f>
        <v/>
      </c>
      <c r="R297" s="16">
        <f>IF(AND(P297&lt;&gt;"",P297&gt;0),(I297+J297+K297)/P297,"")</f>
        <v/>
      </c>
    </row>
    <row r="298" ht="67.5" customHeight="1">
      <c r="A298" s="5" t="inlineStr">
        <is>
          <t>2026-01-17</t>
        </is>
      </c>
      <c r="B298" s="5" t="inlineStr">
        <is>
          <t>3周</t>
        </is>
      </c>
      <c r="C298" s="5" t="inlineStr">
        <is>
          <t>小红书</t>
        </is>
      </c>
      <c r="D298" s="5" t="n"/>
      <c r="E298" s="5" t="n"/>
      <c r="F298" s="5" t="inlineStr">
        <is>
          <t>https://www.xiaohongshu.com/discovery/item/696b3a200000000022031267?xsec_token=CB1HfxD-0Yu5734uoxHTQEzMaYAVvAKtl5qT3oBGNgkko=&amp;xsec_source=app_share</t>
        </is>
      </c>
      <c r="G298" s="5" t="inlineStr">
        <is>
          <t>0001A1</t>
        </is>
      </c>
      <c r="H298" s="5" t="inlineStr">
        <is>
          <t>李沛恩江衡</t>
        </is>
      </c>
      <c r="I298" s="5" t="n"/>
      <c r="J298" s="5" t="n"/>
      <c r="K298" s="5" t="n">
        <v>107.5</v>
      </c>
      <c r="L298" s="5" t="n">
        <v>342</v>
      </c>
      <c r="M298" s="5" t="n">
        <v>22</v>
      </c>
      <c r="N298" s="5" t="n">
        <v>2</v>
      </c>
      <c r="O298" s="5" t="n">
        <v>1</v>
      </c>
      <c r="P298" s="8">
        <f>IF(AND(M298&lt;&gt;"",M298&gt;0),M298+N298+O298,"")</f>
        <v/>
      </c>
      <c r="Q298" s="11">
        <f>IF(AND(L298&lt;&gt;"",L298&gt;0,P298&lt;&gt;""),P298/L298,"")</f>
        <v/>
      </c>
      <c r="R298" s="16">
        <f>IF(AND(P298&lt;&gt;"",P298&gt;0),(I298+J298+K298)/P298,"")</f>
        <v/>
      </c>
    </row>
    <row r="299" ht="27" customHeight="1">
      <c r="A299" s="5" t="inlineStr">
        <is>
          <t>2026-01-18</t>
        </is>
      </c>
      <c r="B299" s="5" t="inlineStr">
        <is>
          <t>3周</t>
        </is>
      </c>
      <c r="C299" s="5" t="inlineStr">
        <is>
          <t>抖音</t>
        </is>
      </c>
      <c r="D299" s="5" t="n"/>
      <c r="E299" s="5" t="n"/>
      <c r="F299" s="5" t="inlineStr">
        <is>
          <t>https://v.douyin.com/YHPcoVZi3NQ/</t>
        </is>
      </c>
      <c r="G299" s="5" t="inlineStr">
        <is>
          <t>0001A1</t>
        </is>
      </c>
      <c r="H299" s="5" t="inlineStr">
        <is>
          <t>李沛恩江衡</t>
        </is>
      </c>
      <c r="I299" s="5" t="n"/>
      <c r="J299" s="5" t="n"/>
      <c r="K299" s="5" t="n">
        <v>107.5</v>
      </c>
      <c r="L299" s="5" t="n">
        <v>3020</v>
      </c>
      <c r="M299" s="5" t="n">
        <v>99</v>
      </c>
      <c r="N299" s="5" t="n">
        <v>10</v>
      </c>
      <c r="O299" s="5" t="n">
        <v>16</v>
      </c>
      <c r="P299" s="8">
        <f>IF(AND(M299&lt;&gt;"",M299&gt;0),M299+N299+O299,"")</f>
        <v/>
      </c>
      <c r="Q299" s="11">
        <f>IF(AND(L299&lt;&gt;"",L299&gt;0,P299&lt;&gt;""),P299/L299,"")</f>
        <v/>
      </c>
      <c r="R299" s="16">
        <f>IF(AND(P299&lt;&gt;"",P299&gt;0),(I299+J299+K299)/P299,"")</f>
        <v/>
      </c>
    </row>
    <row r="300" ht="27" customHeight="1">
      <c r="A300" s="5" t="inlineStr">
        <is>
          <t>2026-01-19</t>
        </is>
      </c>
      <c r="B300" s="5" t="inlineStr">
        <is>
          <t>4周</t>
        </is>
      </c>
      <c r="C300" s="5" t="inlineStr">
        <is>
          <t>抖音</t>
        </is>
      </c>
      <c r="D300" s="5" t="n"/>
      <c r="E300" s="5" t="n"/>
      <c r="F300" s="5" t="inlineStr">
        <is>
          <t>https://v.douyin.com/S0iKRKy1Obg/</t>
        </is>
      </c>
      <c r="G300" s="5" t="inlineStr">
        <is>
          <t>0001A1</t>
        </is>
      </c>
      <c r="H300" s="5" t="inlineStr">
        <is>
          <t>李沛恩江衡</t>
        </is>
      </c>
      <c r="I300" s="5" t="n"/>
      <c r="J300" s="5" t="n"/>
      <c r="K300" s="5" t="n">
        <v>107.5</v>
      </c>
      <c r="L300" s="5" t="n">
        <v>31000</v>
      </c>
      <c r="M300" s="5" t="n">
        <v>765</v>
      </c>
      <c r="N300" s="5" t="n">
        <v>52</v>
      </c>
      <c r="O300" s="5" t="n">
        <v>57</v>
      </c>
      <c r="P300" s="8">
        <f>IF(AND(M300&lt;&gt;"",M300&gt;0),M300+N300+O300,"")</f>
        <v/>
      </c>
      <c r="Q300" s="11">
        <f>IF(AND(L300&lt;&gt;"",L300&gt;0,P300&lt;&gt;""),P300/L300,"")</f>
        <v/>
      </c>
      <c r="R300" s="16">
        <f>IF(AND(P300&lt;&gt;"",P300&gt;0),(I300+J300+K300)/P300,"")</f>
        <v/>
      </c>
    </row>
    <row r="301" ht="81" customHeight="1">
      <c r="A301" s="5" t="inlineStr">
        <is>
          <t>2026-01-19</t>
        </is>
      </c>
      <c r="B301" s="5" t="inlineStr">
        <is>
          <t>4周</t>
        </is>
      </c>
      <c r="C301" s="5" t="inlineStr">
        <is>
          <t>小红书</t>
        </is>
      </c>
      <c r="D301" s="5" t="n"/>
      <c r="E301" s="5" t="n"/>
      <c r="F301" s="5" t="inlineStr">
        <is>
          <t>https://www.xiaohongshu.com/discovery/item/696dff1f000000000e00e748?xsec_token=CBJxeReSL97gOkDMIP4fPvvFK8E-tRrZbpUITqMib9S_Y=&amp;xsec_source=app_share&amp;type=video</t>
        </is>
      </c>
      <c r="G301" s="5" t="inlineStr">
        <is>
          <t>0001A1</t>
        </is>
      </c>
      <c r="H301" s="5" t="inlineStr">
        <is>
          <t>李沛恩江衡</t>
        </is>
      </c>
      <c r="I301" s="5" t="n"/>
      <c r="J301" s="5" t="n"/>
      <c r="K301" s="5" t="n">
        <v>107.5</v>
      </c>
      <c r="L301" s="5" t="n">
        <v>1174</v>
      </c>
      <c r="M301" s="5" t="n">
        <v>105</v>
      </c>
      <c r="N301" s="5" t="n">
        <v>6</v>
      </c>
      <c r="O301" s="5" t="n">
        <v>10</v>
      </c>
      <c r="P301" s="8">
        <f>IF(AND(M301&lt;&gt;"",M301&gt;0),M301+N301+O301,"")</f>
        <v/>
      </c>
      <c r="Q301" s="11">
        <f>IF(AND(L301&lt;&gt;"",L301&gt;0,P301&lt;&gt;""),P301/L301,"")</f>
        <v/>
      </c>
      <c r="R301" s="16">
        <f>IF(AND(P301&lt;&gt;"",P301&gt;0),(I301+J301+K301)/P301,"")</f>
        <v/>
      </c>
    </row>
    <row r="302" ht="27" customHeight="1">
      <c r="A302" s="5" t="inlineStr">
        <is>
          <t>2026-01-20</t>
        </is>
      </c>
      <c r="B302" s="5" t="inlineStr">
        <is>
          <t>4周</t>
        </is>
      </c>
      <c r="C302" s="5" t="inlineStr">
        <is>
          <t>抖音</t>
        </is>
      </c>
      <c r="D302" s="5" t="n"/>
      <c r="E302" s="5" t="n"/>
      <c r="F302" s="5" t="inlineStr">
        <is>
          <t>https://v.douyin.com/7hxLW3YJS94/</t>
        </is>
      </c>
      <c r="G302" s="5" t="inlineStr">
        <is>
          <t>0001A1</t>
        </is>
      </c>
      <c r="H302" s="5" t="inlineStr">
        <is>
          <t>李沛恩江衡</t>
        </is>
      </c>
      <c r="I302" s="5" t="n"/>
      <c r="J302" s="5" t="n"/>
      <c r="K302" s="5" t="n">
        <v>107.5</v>
      </c>
      <c r="L302" s="5" t="n">
        <v>16000</v>
      </c>
      <c r="M302" s="5" t="n">
        <v>834</v>
      </c>
      <c r="N302" s="5" t="n">
        <v>23</v>
      </c>
      <c r="O302" s="5" t="n">
        <v>96</v>
      </c>
      <c r="P302" s="8">
        <f>IF(AND(M302&lt;&gt;"",M302&gt;0),M302+N302+O302,"")</f>
        <v/>
      </c>
      <c r="Q302" s="11">
        <f>IF(AND(L302&lt;&gt;"",L302&gt;0,P302&lt;&gt;""),P302/L302,"")</f>
        <v/>
      </c>
      <c r="R302" s="16">
        <f>IF(AND(P302&lt;&gt;"",P302&gt;0),(I302+J302+K302)/P302,"")</f>
        <v/>
      </c>
    </row>
    <row r="303" ht="81" customHeight="1">
      <c r="A303" s="5" t="inlineStr">
        <is>
          <t>2026-01-20</t>
        </is>
      </c>
      <c r="B303" s="5" t="inlineStr">
        <is>
          <t>4周</t>
        </is>
      </c>
      <c r="C303" s="5" t="inlineStr">
        <is>
          <t>小红书</t>
        </is>
      </c>
      <c r="D303" s="5" t="n"/>
      <c r="E303" s="5" t="n"/>
      <c r="F303" s="5" t="inlineStr">
        <is>
          <t>https://www.xiaohongshu.com/discovery/item/696f52cb000000002202cb17?xsec_token=CBXfSsI2kgOZafMQ-4wbyTuQ2p--ogARFrH1Fzxb53Fhw=&amp;xsec_source=app_share&amp;type=video</t>
        </is>
      </c>
      <c r="G303" s="5" t="inlineStr">
        <is>
          <t>0001A1</t>
        </is>
      </c>
      <c r="H303" s="5" t="inlineStr">
        <is>
          <t>李沛恩江衡</t>
        </is>
      </c>
      <c r="I303" s="5" t="n"/>
      <c r="J303" s="5" t="n"/>
      <c r="K303" s="5" t="n">
        <v>107.5</v>
      </c>
      <c r="L303" s="5" t="n">
        <v>7978</v>
      </c>
      <c r="M303" s="5" t="n">
        <v>518</v>
      </c>
      <c r="N303" s="5" t="n">
        <v>20</v>
      </c>
      <c r="O303" s="5" t="n">
        <v>44</v>
      </c>
      <c r="P303" s="8">
        <f>IF(AND(M303&lt;&gt;"",M303&gt;0),M303+N303+O303,"")</f>
        <v/>
      </c>
      <c r="Q303" s="11">
        <f>IF(AND(L303&lt;&gt;"",L303&gt;0,P303&lt;&gt;""),P303/L303,"")</f>
        <v/>
      </c>
      <c r="R303" s="16">
        <f>IF(AND(P303&lt;&gt;"",P303&gt;0),(I303+J303+K303)/P303,"")</f>
        <v/>
      </c>
    </row>
    <row r="304" ht="27" customHeight="1">
      <c r="A304" s="5" t="inlineStr">
        <is>
          <t>2026-01-21</t>
        </is>
      </c>
      <c r="B304" s="5" t="inlineStr">
        <is>
          <t>4周</t>
        </is>
      </c>
      <c r="C304" s="5" t="inlineStr">
        <is>
          <t>抖音</t>
        </is>
      </c>
      <c r="D304" s="5" t="n"/>
      <c r="E304" s="5" t="n"/>
      <c r="F304" s="5" t="inlineStr">
        <is>
          <t>https://v.douyin.com/fEIcdg9qntE/</t>
        </is>
      </c>
      <c r="G304" s="5" t="inlineStr">
        <is>
          <t>0001A1</t>
        </is>
      </c>
      <c r="H304" s="5" t="inlineStr">
        <is>
          <t>李沛恩江衡</t>
        </is>
      </c>
      <c r="I304" s="5" t="n"/>
      <c r="J304" s="5" t="n"/>
      <c r="K304" s="5" t="n">
        <v>107.5</v>
      </c>
      <c r="L304" s="5" t="n">
        <v>10000</v>
      </c>
      <c r="M304" s="5" t="n">
        <v>326</v>
      </c>
      <c r="N304" s="5" t="n">
        <v>10</v>
      </c>
      <c r="O304" s="5" t="n">
        <v>16</v>
      </c>
      <c r="P304" s="8">
        <f>IF(AND(M304&lt;&gt;"",M304&gt;0),M304+N304+O304,"")</f>
        <v/>
      </c>
      <c r="Q304" s="11">
        <f>IF(AND(L304&lt;&gt;"",L304&gt;0,P304&lt;&gt;""),P304/L304,"")</f>
        <v/>
      </c>
      <c r="R304" s="16">
        <f>IF(AND(P304&lt;&gt;"",P304&gt;0),(I304+J304+K304)/P304,"")</f>
        <v/>
      </c>
    </row>
    <row r="305" ht="27" customHeight="1">
      <c r="A305" s="5" t="inlineStr">
        <is>
          <t>2026-01-21</t>
        </is>
      </c>
      <c r="B305" s="5" t="inlineStr">
        <is>
          <t>4周</t>
        </is>
      </c>
      <c r="C305" s="5" t="inlineStr">
        <is>
          <t>抖音</t>
        </is>
      </c>
      <c r="D305" s="5" t="n"/>
      <c r="E305" s="5" t="n"/>
      <c r="F305" s="5" t="inlineStr">
        <is>
          <t>https://v.douyin.com/PNFz0kzDXz4/</t>
        </is>
      </c>
      <c r="G305" s="5" t="inlineStr">
        <is>
          <t>0001A1</t>
        </is>
      </c>
      <c r="H305" s="5" t="inlineStr">
        <is>
          <t>李沛恩江衡</t>
        </is>
      </c>
      <c r="I305" s="5" t="n"/>
      <c r="J305" s="5" t="n"/>
      <c r="K305" s="5" t="n">
        <v>107.5</v>
      </c>
      <c r="L305" s="5" t="n">
        <v>680</v>
      </c>
      <c r="M305" s="5" t="n">
        <v>60</v>
      </c>
      <c r="N305" s="5" t="n">
        <v>3</v>
      </c>
      <c r="O305" s="5" t="n">
        <v>9</v>
      </c>
      <c r="P305" s="8">
        <f>IF(AND(M305&lt;&gt;"",M305&gt;0),M305+N305+O305,"")</f>
        <v/>
      </c>
      <c r="Q305" s="11">
        <f>IF(AND(L305&lt;&gt;"",L305&gt;0,P305&lt;&gt;""),P305/L305,"")</f>
        <v/>
      </c>
      <c r="R305" s="16">
        <f>IF(AND(P305&lt;&gt;"",P305&gt;0),(I305+J305+K305)/P305,"")</f>
        <v/>
      </c>
    </row>
    <row r="306" ht="81" customHeight="1">
      <c r="A306" s="5" t="inlineStr">
        <is>
          <t>2026-01-23</t>
        </is>
      </c>
      <c r="B306" s="5" t="inlineStr">
        <is>
          <t>4周</t>
        </is>
      </c>
      <c r="C306" s="5" t="inlineStr">
        <is>
          <t>小红书</t>
        </is>
      </c>
      <c r="D306" s="5" t="n"/>
      <c r="E306" s="5" t="n"/>
      <c r="F306" s="5" t="inlineStr">
        <is>
          <t>https://www.xiaohongshu.com/discovery/item/6973518e000000000a02de06?xsec_token=CBQ-BtFwuRWy0ajxqIgRgNvXmJOFu87zzV6R2-ebYSb8Y=&amp;xsec_source=app_share</t>
        </is>
      </c>
      <c r="G306" s="5" t="inlineStr">
        <is>
          <t>0001A1</t>
        </is>
      </c>
      <c r="H306" s="5" t="inlineStr">
        <is>
          <t>李沛恩江衡</t>
        </is>
      </c>
      <c r="I306" s="5" t="n"/>
      <c r="J306" s="5" t="n"/>
      <c r="K306" s="5" t="n">
        <v>107.5</v>
      </c>
      <c r="L306" s="5" t="n">
        <v>479</v>
      </c>
      <c r="M306" s="5" t="n">
        <v>27</v>
      </c>
      <c r="N306" s="5" t="n">
        <v>2</v>
      </c>
      <c r="O306" s="5" t="n">
        <v>4</v>
      </c>
      <c r="P306" s="8">
        <f>IF(AND(M306&lt;&gt;"",M306&gt;0),M306+N306+O306,"")</f>
        <v/>
      </c>
      <c r="Q306" s="11">
        <f>IF(AND(L306&lt;&gt;"",L306&gt;0,P306&lt;&gt;""),P306/L306,"")</f>
        <v/>
      </c>
      <c r="R306" s="16">
        <f>IF(AND(P306&lt;&gt;"",P306&gt;0),(I306+J306+K306)/P306,"")</f>
        <v/>
      </c>
    </row>
    <row r="307" ht="67.5" customHeight="1">
      <c r="A307" s="5" t="inlineStr">
        <is>
          <t>2026-01-24</t>
        </is>
      </c>
      <c r="B307" s="5" t="inlineStr">
        <is>
          <t>4周</t>
        </is>
      </c>
      <c r="C307" s="5" t="inlineStr">
        <is>
          <t>小红书</t>
        </is>
      </c>
      <c r="D307" s="5" t="n"/>
      <c r="E307" s="5" t="n"/>
      <c r="F307" s="5" t="inlineStr">
        <is>
          <t>https://www.xiaohongshu.com/discovery/item/697451bb000000001a03138b?xsec_token=CBktUnkroBnQXq89sE2_GDjRy9M2ZkKJEa5WpggS4_x_w=&amp;xsec_source=app_share</t>
        </is>
      </c>
      <c r="G307" s="5" t="inlineStr">
        <is>
          <t>0001A1</t>
        </is>
      </c>
      <c r="H307" s="5" t="inlineStr">
        <is>
          <t>李沛恩江衡</t>
        </is>
      </c>
      <c r="I307" s="5" t="n"/>
      <c r="J307" s="5" t="n"/>
      <c r="K307" s="5" t="n">
        <v>107.5</v>
      </c>
      <c r="L307" s="5" t="n">
        <v>276</v>
      </c>
      <c r="M307" s="5" t="n">
        <v>27</v>
      </c>
      <c r="N307" s="5" t="n">
        <v>0</v>
      </c>
      <c r="O307" s="5" t="n">
        <v>0</v>
      </c>
      <c r="P307" s="8">
        <f>IF(AND(M307&lt;&gt;"",M307&gt;0),M307+N307+O307,"")</f>
        <v/>
      </c>
      <c r="Q307" s="11">
        <f>IF(AND(L307&lt;&gt;"",L307&gt;0,P307&lt;&gt;""),P307/L307,"")</f>
        <v/>
      </c>
      <c r="R307" s="16">
        <f>IF(AND(P307&lt;&gt;"",P307&gt;0),(I307+J307+K307)/P307,"")</f>
        <v/>
      </c>
    </row>
    <row r="308" ht="27" customHeight="1">
      <c r="A308" s="5" t="inlineStr">
        <is>
          <t>2026-01-25</t>
        </is>
      </c>
      <c r="B308" s="5" t="inlineStr">
        <is>
          <t>4周</t>
        </is>
      </c>
      <c r="C308" s="5" t="inlineStr">
        <is>
          <t>抖音</t>
        </is>
      </c>
      <c r="D308" s="5" t="n"/>
      <c r="E308" s="5" t="n"/>
      <c r="F308" s="5" t="inlineStr">
        <is>
          <t>https://v.douyin.com/WazUxWMq2TY/</t>
        </is>
      </c>
      <c r="G308" s="5" t="inlineStr">
        <is>
          <t>0001A1</t>
        </is>
      </c>
      <c r="H308" s="5" t="inlineStr">
        <is>
          <t>李沛恩江衡</t>
        </is>
      </c>
      <c r="I308" s="5" t="n"/>
      <c r="J308" s="5" t="n"/>
      <c r="K308" s="5" t="n">
        <v>107.5</v>
      </c>
      <c r="L308" s="5" t="n">
        <v>11000</v>
      </c>
      <c r="M308" s="5" t="n">
        <v>148</v>
      </c>
      <c r="N308" s="5" t="n">
        <v>7</v>
      </c>
      <c r="O308" s="5" t="n">
        <v>6</v>
      </c>
      <c r="P308" s="8">
        <f>IF(AND(M308&lt;&gt;"",M308&gt;0),M308+N308+O308,"")</f>
        <v/>
      </c>
      <c r="Q308" s="11">
        <f>IF(AND(L308&lt;&gt;"",L308&gt;0,P308&lt;&gt;""),P308/L308,"")</f>
        <v/>
      </c>
      <c r="R308" s="16">
        <f>IF(AND(P308&lt;&gt;"",P308&gt;0),(I308+J308+K308)/P308,"")</f>
        <v/>
      </c>
    </row>
    <row r="309" ht="27" customHeight="1">
      <c r="A309" s="5" t="inlineStr">
        <is>
          <t>2026-01-25</t>
        </is>
      </c>
      <c r="B309" s="5" t="inlineStr">
        <is>
          <t>4周</t>
        </is>
      </c>
      <c r="C309" s="5" t="inlineStr">
        <is>
          <t>抖音</t>
        </is>
      </c>
      <c r="D309" s="5" t="n"/>
      <c r="E309" s="5" t="n"/>
      <c r="F309" s="5" t="inlineStr">
        <is>
          <t>https://v.douyin.com/FtPpAiwCxHw/</t>
        </is>
      </c>
      <c r="G309" s="5" t="inlineStr">
        <is>
          <t>0001A1</t>
        </is>
      </c>
      <c r="H309" s="5" t="inlineStr">
        <is>
          <t>李沛恩江衡</t>
        </is>
      </c>
      <c r="I309" s="5" t="n"/>
      <c r="J309" s="5" t="n"/>
      <c r="K309" s="5" t="n">
        <v>107.5</v>
      </c>
      <c r="L309" s="5" t="n">
        <v>2270</v>
      </c>
      <c r="M309" s="5" t="n">
        <v>106</v>
      </c>
      <c r="N309" s="5" t="n">
        <v>3</v>
      </c>
      <c r="O309" s="5" t="n">
        <v>2</v>
      </c>
      <c r="P309" s="8">
        <f>IF(AND(M309&lt;&gt;"",M309&gt;0),M309+N309+O309,"")</f>
        <v/>
      </c>
      <c r="Q309" s="11">
        <f>IF(AND(L309&lt;&gt;"",L309&gt;0,P309&lt;&gt;""),P309/L309,"")</f>
        <v/>
      </c>
      <c r="R309" s="16">
        <f>IF(AND(P309&lt;&gt;"",P309&gt;0),(I309+J309+K309)/P309,"")</f>
        <v/>
      </c>
    </row>
    <row r="310" ht="27" customHeight="1">
      <c r="A310" s="5" t="inlineStr">
        <is>
          <t>2026-01-31</t>
        </is>
      </c>
      <c r="B310" s="5" t="inlineStr">
        <is>
          <t>5周</t>
        </is>
      </c>
      <c r="C310" s="5" t="inlineStr">
        <is>
          <t>抖音</t>
        </is>
      </c>
      <c r="D310" s="5" t="n"/>
      <c r="E310" s="5" t="n"/>
      <c r="F310" s="5" t="inlineStr">
        <is>
          <t>https://v.douyin.com/n0DhIqoZnO4/</t>
        </is>
      </c>
      <c r="G310" s="5" t="inlineStr">
        <is>
          <t>0001A1</t>
        </is>
      </c>
      <c r="H310" s="5" t="inlineStr">
        <is>
          <t>李沛恩江衡</t>
        </is>
      </c>
      <c r="I310" s="5" t="n"/>
      <c r="J310" s="5" t="n"/>
      <c r="K310" s="5" t="n">
        <v>107.5</v>
      </c>
      <c r="L310" s="5" t="n">
        <v>21368</v>
      </c>
      <c r="M310" s="5" t="n">
        <v>44</v>
      </c>
      <c r="N310" s="5" t="n">
        <v>1</v>
      </c>
      <c r="O310" s="5" t="n">
        <v>6</v>
      </c>
      <c r="P310" s="8">
        <f>IF(AND(M310&lt;&gt;"",M310&gt;0),M310+N310+O310,"")</f>
        <v/>
      </c>
      <c r="Q310" s="11">
        <f>IF(AND(L310&lt;&gt;"",L310&gt;0,P310&lt;&gt;""),P310/L310,"")</f>
        <v/>
      </c>
      <c r="R310" s="16">
        <f>IF(AND(P310&lt;&gt;"",P310&gt;0),(I310+J310+K310)/P310,"")</f>
        <v/>
      </c>
    </row>
    <row r="311" ht="27" customHeight="1">
      <c r="A311" s="5" t="inlineStr">
        <is>
          <t>2026-02-01</t>
        </is>
      </c>
      <c r="B311" s="5" t="inlineStr">
        <is>
          <t>5周</t>
        </is>
      </c>
      <c r="C311" s="5" t="inlineStr">
        <is>
          <t>抖音</t>
        </is>
      </c>
      <c r="D311" s="5" t="n"/>
      <c r="E311" s="5" t="n"/>
      <c r="F311" s="5" t="inlineStr">
        <is>
          <t>https://v.douyin.com/d4aJ1TKVR-g/</t>
        </is>
      </c>
      <c r="G311" s="5" t="inlineStr">
        <is>
          <t>001A1</t>
        </is>
      </c>
      <c r="H311" s="5" t="inlineStr">
        <is>
          <t>赵一博</t>
        </is>
      </c>
      <c r="I311" s="5" t="n"/>
      <c r="J311" s="5" t="n"/>
      <c r="K311" s="5" t="n">
        <v>107.5</v>
      </c>
      <c r="L311" s="5" t="n">
        <v>21000</v>
      </c>
      <c r="M311" s="5" t="n">
        <v>1663</v>
      </c>
      <c r="N311" s="5" t="n">
        <v>61</v>
      </c>
      <c r="O311" s="5" t="n">
        <v>62</v>
      </c>
      <c r="P311" s="8">
        <f>IF(AND(M311&lt;&gt;"",M311&gt;0),M311+N311+O311,"")</f>
        <v/>
      </c>
      <c r="Q311" s="11">
        <f>IF(AND(L311&lt;&gt;"",L311&gt;0,P311&lt;&gt;""),P311/L311,"")</f>
        <v/>
      </c>
      <c r="R311" s="16">
        <f>IF(AND(P311&lt;&gt;"",P311&gt;0),(I311+J311+K311)/P311,"")</f>
        <v/>
      </c>
    </row>
    <row r="312" ht="27" customHeight="1">
      <c r="A312" s="5" t="inlineStr">
        <is>
          <t>2026-02-01</t>
        </is>
      </c>
      <c r="B312" s="5" t="inlineStr">
        <is>
          <t>5周</t>
        </is>
      </c>
      <c r="C312" s="5" t="inlineStr">
        <is>
          <t>抖音</t>
        </is>
      </c>
      <c r="D312" s="5" t="n"/>
      <c r="E312" s="5" t="n"/>
      <c r="F312" s="5" t="inlineStr">
        <is>
          <t>https://v.douyin.com/52L0xKQoFSY/</t>
        </is>
      </c>
      <c r="G312" s="5" t="inlineStr">
        <is>
          <t>495</t>
        </is>
      </c>
      <c r="H312" s="5" t="inlineStr">
        <is>
          <t>穿搭</t>
        </is>
      </c>
      <c r="I312" s="5" t="n">
        <v>100</v>
      </c>
      <c r="J312" s="5" t="n"/>
      <c r="K312" s="5" t="n">
        <v>93</v>
      </c>
      <c r="L312" s="5" t="n">
        <v>9236</v>
      </c>
      <c r="M312" s="5" t="n">
        <v>577</v>
      </c>
      <c r="N312" s="5" t="n">
        <v>13</v>
      </c>
      <c r="O312" s="5" t="n">
        <v>14</v>
      </c>
      <c r="P312" s="8">
        <f>IF(AND(M312&lt;&gt;"",M312&gt;0),M312+N312+O312,"")</f>
        <v/>
      </c>
      <c r="Q312" s="11">
        <f>IF(AND(L312&lt;&gt;"",L312&gt;0,P312&lt;&gt;""),P312/L312,"")</f>
        <v/>
      </c>
      <c r="R312" s="16">
        <f>IF(AND(P312&lt;&gt;"",P312&gt;0),(I312+J312+K312)/P312,"")</f>
        <v/>
      </c>
    </row>
    <row r="313" ht="27" customHeight="1">
      <c r="A313" s="5" t="inlineStr">
        <is>
          <t>2026-02-01</t>
        </is>
      </c>
      <c r="B313" s="5" t="inlineStr">
        <is>
          <t>5周</t>
        </is>
      </c>
      <c r="C313" s="5" t="inlineStr">
        <is>
          <t>快手</t>
        </is>
      </c>
      <c r="D313" s="5" t="n"/>
      <c r="E313" s="5" t="n"/>
      <c r="F313" s="5" t="inlineStr">
        <is>
          <t>https://www.kuaishou.com/f/X-65kWjp6l0oPDlq</t>
        </is>
      </c>
      <c r="G313" s="5" t="inlineStr">
        <is>
          <t>1225</t>
        </is>
      </c>
      <c r="H313" s="5" t="inlineStr">
        <is>
          <t>学生</t>
        </is>
      </c>
      <c r="I313" s="5" t="n"/>
      <c r="J313" s="5" t="n"/>
      <c r="K313" s="5" t="n">
        <v>55.5</v>
      </c>
      <c r="L313" s="5" t="n">
        <v>106000</v>
      </c>
      <c r="M313" s="5" t="n">
        <v>5073</v>
      </c>
      <c r="N313" s="5" t="n">
        <v>237</v>
      </c>
      <c r="O313" s="5" t="n">
        <v>196</v>
      </c>
      <c r="P313" s="8">
        <f>IF(AND(M313&lt;&gt;"",M313&gt;0),M313+N313+O313,"")</f>
        <v/>
      </c>
      <c r="Q313" s="11">
        <f>IF(AND(L313&lt;&gt;"",L313&gt;0,P313&lt;&gt;""),P313/L313,"")</f>
        <v/>
      </c>
      <c r="R313" s="16">
        <f>IF(AND(P313&lt;&gt;"",P313&gt;0),(I313+J313+K313)/P313,"")</f>
        <v/>
      </c>
    </row>
    <row r="314" ht="27" customHeight="1">
      <c r="A314" s="5" t="inlineStr">
        <is>
          <t>2026-02-01</t>
        </is>
      </c>
      <c r="B314" s="5" t="inlineStr">
        <is>
          <t>5周</t>
        </is>
      </c>
      <c r="C314" s="5" t="inlineStr">
        <is>
          <t>抖音</t>
        </is>
      </c>
      <c r="D314" s="5" t="n"/>
      <c r="E314" s="5" t="n"/>
      <c r="F314" s="5" t="inlineStr">
        <is>
          <t>https://v.douyin.com/JsvB4YnAMHc/</t>
        </is>
      </c>
      <c r="G314" s="5" t="inlineStr">
        <is>
          <t>1225</t>
        </is>
      </c>
      <c r="H314" s="5" t="inlineStr">
        <is>
          <t>学生</t>
        </is>
      </c>
      <c r="I314" s="5" t="n"/>
      <c r="J314" s="5" t="n"/>
      <c r="K314" s="5" t="n">
        <v>55.5</v>
      </c>
      <c r="L314" s="5" t="n">
        <v>9689</v>
      </c>
      <c r="M314" s="5" t="n">
        <v>918</v>
      </c>
      <c r="N314" s="5" t="n">
        <v>51</v>
      </c>
      <c r="O314" s="5" t="n">
        <v>43</v>
      </c>
      <c r="P314" s="8">
        <f>IF(AND(M314&lt;&gt;"",M314&gt;0),M314+N314+O314,"")</f>
        <v/>
      </c>
      <c r="Q314" s="11">
        <f>IF(AND(L314&lt;&gt;"",L314&gt;0,P314&lt;&gt;""),P314/L314,"")</f>
        <v/>
      </c>
      <c r="R314" s="16">
        <f>IF(AND(P314&lt;&gt;"",P314&gt;0),(I314+J314+K314)/P314,"")</f>
        <v/>
      </c>
    </row>
    <row r="315" ht="27" customHeight="1">
      <c r="A315" s="5" t="inlineStr">
        <is>
          <t>2026-02-01</t>
        </is>
      </c>
      <c r="B315" s="5" t="inlineStr">
        <is>
          <t>5周</t>
        </is>
      </c>
      <c r="C315" s="5" t="inlineStr">
        <is>
          <t>抖音</t>
        </is>
      </c>
      <c r="D315" s="5" t="n"/>
      <c r="E315" s="5" t="n"/>
      <c r="F315" s="5" t="inlineStr">
        <is>
          <t>https://v.douyin.com/OCAyzhwWx9Y/</t>
        </is>
      </c>
      <c r="G315" s="5" t="inlineStr">
        <is>
          <t>0002A1</t>
        </is>
      </c>
      <c r="H315" s="5" t="inlineStr">
        <is>
          <t>刘耀文</t>
        </is>
      </c>
      <c r="I315" s="5" t="n"/>
      <c r="J315" s="5" t="n"/>
      <c r="K315" s="5" t="n">
        <v>110.5</v>
      </c>
      <c r="L315" s="5" t="n">
        <v>9808</v>
      </c>
      <c r="M315" s="5" t="n">
        <v>747</v>
      </c>
      <c r="N315" s="5" t="n">
        <v>12</v>
      </c>
      <c r="O315" s="5" t="n">
        <v>18</v>
      </c>
      <c r="P315" s="8">
        <f>IF(AND(M315&lt;&gt;"",M315&gt;0),M315+N315+O315,"")</f>
        <v/>
      </c>
      <c r="Q315" s="11">
        <f>IF(AND(L315&lt;&gt;"",L315&gt;0,P315&lt;&gt;""),P315/L315,"")</f>
        <v/>
      </c>
      <c r="R315" s="16">
        <f>IF(AND(P315&lt;&gt;"",P315&gt;0),(I315+J315+K315)/P315,"")</f>
        <v/>
      </c>
    </row>
    <row r="316" ht="27" customHeight="1">
      <c r="A316" s="5" t="inlineStr">
        <is>
          <t>2026-02-01</t>
        </is>
      </c>
      <c r="B316" s="5" t="inlineStr">
        <is>
          <t>5周</t>
        </is>
      </c>
      <c r="C316" s="5" t="inlineStr">
        <is>
          <t>抖音</t>
        </is>
      </c>
      <c r="D316" s="5" t="n"/>
      <c r="E316" s="5" t="n"/>
      <c r="F316" s="5" t="inlineStr">
        <is>
          <t>https://v.douyin.com/YszXNRG3oxU/</t>
        </is>
      </c>
      <c r="G316" s="5" t="inlineStr">
        <is>
          <t>1225</t>
        </is>
      </c>
      <c r="H316" s="5" t="inlineStr">
        <is>
          <t>学生</t>
        </is>
      </c>
      <c r="I316" s="5" t="n">
        <v>100</v>
      </c>
      <c r="J316" s="5" t="n"/>
      <c r="K316" s="5" t="n">
        <v>55.5</v>
      </c>
      <c r="L316" s="5" t="n">
        <v>12000</v>
      </c>
      <c r="M316" s="5" t="n">
        <v>430</v>
      </c>
      <c r="N316" s="5" t="n">
        <v>12</v>
      </c>
      <c r="O316" s="5" t="n">
        <v>40</v>
      </c>
      <c r="P316" s="8">
        <f>IF(AND(M316&lt;&gt;"",M316&gt;0),M316+N316+O316,"")</f>
        <v/>
      </c>
      <c r="Q316" s="11">
        <f>IF(AND(L316&lt;&gt;"",L316&gt;0,P316&lt;&gt;""),P316/L316,"")</f>
        <v/>
      </c>
      <c r="R316" s="16">
        <f>IF(AND(P316&lt;&gt;"",P316&gt;0),(I316+J316+K316)/P316,"")</f>
        <v/>
      </c>
    </row>
    <row r="317" ht="27" customHeight="1">
      <c r="A317" s="5" t="inlineStr">
        <is>
          <t>2026-02-01</t>
        </is>
      </c>
      <c r="B317" s="5" t="inlineStr">
        <is>
          <t>5周</t>
        </is>
      </c>
      <c r="C317" s="5" t="inlineStr">
        <is>
          <t>抖音</t>
        </is>
      </c>
      <c r="D317" s="5" t="n"/>
      <c r="E317" s="5" t="n"/>
      <c r="F317" s="5" t="inlineStr">
        <is>
          <t>https://v.douyin.com/q-GFzoDEkN8/</t>
        </is>
      </c>
      <c r="G317" s="5" t="inlineStr">
        <is>
          <t>495</t>
        </is>
      </c>
      <c r="H317" s="5" t="inlineStr">
        <is>
          <t>新年好物</t>
        </is>
      </c>
      <c r="I317" s="5" t="n">
        <v>75</v>
      </c>
      <c r="J317" s="5" t="n"/>
      <c r="K317" s="5" t="n">
        <v>93</v>
      </c>
      <c r="L317" s="5" t="n">
        <v>6077</v>
      </c>
      <c r="M317" s="5" t="n">
        <v>405</v>
      </c>
      <c r="N317" s="5" t="n">
        <v>21</v>
      </c>
      <c r="O317" s="5" t="n">
        <v>16</v>
      </c>
      <c r="P317" s="8">
        <f>IF(AND(M317&lt;&gt;"",M317&gt;0),M317+N317+O317,"")</f>
        <v/>
      </c>
      <c r="Q317" s="11">
        <f>IF(AND(L317&lt;&gt;"",L317&gt;0,P317&lt;&gt;""),P317/L317,"")</f>
        <v/>
      </c>
      <c r="R317" s="16">
        <f>IF(AND(P317&lt;&gt;"",P317&gt;0),(I317+J317+K317)/P317,"")</f>
        <v/>
      </c>
    </row>
    <row r="318" ht="67.5" customHeight="1">
      <c r="A318" s="5" t="inlineStr">
        <is>
          <t>2026-02-01</t>
        </is>
      </c>
      <c r="B318" s="5" t="inlineStr">
        <is>
          <t>5周</t>
        </is>
      </c>
      <c r="C318" s="5" t="inlineStr">
        <is>
          <t>小红书</t>
        </is>
      </c>
      <c r="D318" s="5" t="n"/>
      <c r="E318" s="5" t="n"/>
      <c r="F318" s="5" t="inlineStr">
        <is>
          <t>https://www.xiaohongshu.com/discovery/item/697edd96000000002801e7dc?xsec_token=CB2oSZRDAhzm-QQiqquw8yFYAv7VHgj9F7l1bf4MXlVeQ=&amp;xsec_source=app_share</t>
        </is>
      </c>
      <c r="G318" s="5" t="inlineStr">
        <is>
          <t>0002A1</t>
        </is>
      </c>
      <c r="H318" s="5" t="inlineStr">
        <is>
          <t>刘耀文</t>
        </is>
      </c>
      <c r="I318" s="5" t="n"/>
      <c r="J318" s="5" t="n"/>
      <c r="K318" s="5" t="n">
        <v>110.5</v>
      </c>
      <c r="L318" s="5" t="n">
        <v>61</v>
      </c>
      <c r="M318" s="5" t="n">
        <v>10</v>
      </c>
      <c r="N318" s="5" t="n">
        <v>0</v>
      </c>
      <c r="O318" s="5" t="n">
        <v>0</v>
      </c>
      <c r="P318" s="8">
        <f>IF(AND(M318&lt;&gt;"",M318&gt;0),M318+N318+O318,"")</f>
        <v/>
      </c>
      <c r="Q318" s="11">
        <f>IF(AND(L318&lt;&gt;"",L318&gt;0,P318&lt;&gt;""),P318/L318,"")</f>
        <v/>
      </c>
      <c r="R318" s="16">
        <f>IF(AND(P318&lt;&gt;"",P318&gt;0),(I318+J318+K318)/P318,"")</f>
        <v/>
      </c>
    </row>
    <row r="319" ht="81" customHeight="1">
      <c r="A319" s="5" t="inlineStr">
        <is>
          <t>2026-02-01</t>
        </is>
      </c>
      <c r="B319" s="5" t="inlineStr">
        <is>
          <t>5周</t>
        </is>
      </c>
      <c r="C319" s="5" t="inlineStr">
        <is>
          <t>小红书</t>
        </is>
      </c>
      <c r="D319" s="5" t="n"/>
      <c r="E319" s="5" t="n"/>
      <c r="F319" s="5" t="inlineStr">
        <is>
          <t>https://www.xiaohongshu.com/discovery/item/697f2825000000002801f76b?xsec_token=CB-nB8sW4o3DWalFfDIFDx8ab9XV39uC-ky_I75w8P6MI=&amp;xsec_source=app_share&amp;type=video</t>
        </is>
      </c>
      <c r="G319" s="5" t="inlineStr">
        <is>
          <t>495</t>
        </is>
      </c>
      <c r="H319" s="5" t="inlineStr">
        <is>
          <t>穿搭</t>
        </is>
      </c>
      <c r="I319" s="5" t="n"/>
      <c r="J319" s="5" t="n"/>
      <c r="K319" s="5" t="n">
        <v>93</v>
      </c>
      <c r="L319" s="5" t="n">
        <v>1855</v>
      </c>
      <c r="M319" s="5" t="n">
        <v>142</v>
      </c>
      <c r="N319" s="5" t="n">
        <v>14</v>
      </c>
      <c r="O319" s="5" t="n">
        <v>10</v>
      </c>
      <c r="P319" s="8">
        <f>IF(AND(M319&lt;&gt;"",M319&gt;0),M319+N319+O319,"")</f>
        <v/>
      </c>
      <c r="Q319" s="11">
        <f>IF(AND(L319&lt;&gt;"",L319&gt;0,P319&lt;&gt;""),P319/L319,"")</f>
        <v/>
      </c>
      <c r="R319" s="16">
        <f>IF(AND(P319&lt;&gt;"",P319&gt;0),(I319+J319+K319)/P319,"")</f>
        <v/>
      </c>
    </row>
    <row r="320" ht="81" customHeight="1">
      <c r="A320" s="5" t="inlineStr">
        <is>
          <t>2026-02-01</t>
        </is>
      </c>
      <c r="B320" s="5" t="inlineStr">
        <is>
          <t>5周</t>
        </is>
      </c>
      <c r="C320" s="5" t="inlineStr">
        <is>
          <t>小红书</t>
        </is>
      </c>
      <c r="D320" s="5" t="n"/>
      <c r="E320" s="5" t="n"/>
      <c r="F320" s="5" t="inlineStr">
        <is>
          <t>https://www.xiaohongshu.com/discovery/item/697f376a000000000a030b17?xsec_token=CB-nB8sW4o3DWalFfDIFDx8UFzmQ9n22i41rx5FFXp8fo=&amp;xsec_source=app_share&amp;type=video</t>
        </is>
      </c>
      <c r="G320" s="5" t="inlineStr">
        <is>
          <t>495</t>
        </is>
      </c>
      <c r="H320" s="5" t="inlineStr">
        <is>
          <t>穿搭</t>
        </is>
      </c>
      <c r="I320" s="5" t="n">
        <v>100</v>
      </c>
      <c r="J320" s="5" t="n"/>
      <c r="K320" s="5" t="n">
        <v>93</v>
      </c>
      <c r="L320" s="5" t="n">
        <v>14445</v>
      </c>
      <c r="M320" s="5" t="n">
        <v>1032</v>
      </c>
      <c r="N320" s="5" t="n">
        <v>269</v>
      </c>
      <c r="O320" s="5" t="n">
        <v>33</v>
      </c>
      <c r="P320" s="8">
        <f>IF(AND(M320&lt;&gt;"",M320&gt;0),M320+N320+O320,"")</f>
        <v/>
      </c>
      <c r="Q320" s="11">
        <f>IF(AND(L320&lt;&gt;"",L320&gt;0,P320&lt;&gt;""),P320/L320,"")</f>
        <v/>
      </c>
      <c r="R320" s="16">
        <f>IF(AND(P320&lt;&gt;"",P320&gt;0),(I320+J320+K320)/P320,"")</f>
        <v/>
      </c>
    </row>
    <row r="321" ht="81" customHeight="1">
      <c r="A321" s="5" t="inlineStr">
        <is>
          <t>2026-02-01</t>
        </is>
      </c>
      <c r="B321" s="5" t="inlineStr">
        <is>
          <t>5周</t>
        </is>
      </c>
      <c r="C321" s="5" t="inlineStr">
        <is>
          <t>小红书</t>
        </is>
      </c>
      <c r="D321" s="5" t="n"/>
      <c r="E321" s="5" t="n"/>
      <c r="F321" s="5" t="inlineStr">
        <is>
          <t>https://www.xiaohongshu.com/discovery/item/6974b65c000000000a03f148?xsec_token=CBv4yt6tvV7ThOYKeyinkyxtqWAW520BCNNMMyX2K1nBw=&amp;xsec_source=app_share&amp;type=video</t>
        </is>
      </c>
      <c r="G321" s="5" t="inlineStr">
        <is>
          <t>1225</t>
        </is>
      </c>
      <c r="H321" s="5" t="inlineStr">
        <is>
          <t>学生</t>
        </is>
      </c>
      <c r="I321" s="5" t="n">
        <v>1000</v>
      </c>
      <c r="J321" s="5" t="n"/>
      <c r="K321" s="5" t="n">
        <v>55.5</v>
      </c>
      <c r="L321" s="5" t="n">
        <v>44841</v>
      </c>
      <c r="M321" s="5" t="n">
        <v>2711</v>
      </c>
      <c r="N321" s="5" t="n">
        <v>209</v>
      </c>
      <c r="O321" s="5" t="n">
        <v>76</v>
      </c>
      <c r="P321" s="8">
        <f>IF(AND(M321&lt;&gt;"",M321&gt;0),M321+N321+O321,"")</f>
        <v/>
      </c>
      <c r="Q321" s="11">
        <f>IF(AND(L321&lt;&gt;"",L321&gt;0,P321&lt;&gt;""),P321/L321,"")</f>
        <v/>
      </c>
      <c r="R321" s="16">
        <f>IF(AND(P321&lt;&gt;"",P321&gt;0),(I321+J321+K321)/P321,"")</f>
        <v/>
      </c>
    </row>
    <row r="322" ht="94.5" customHeight="1">
      <c r="A322" s="5" t="inlineStr">
        <is>
          <t>2026-02-01</t>
        </is>
      </c>
      <c r="B322" s="5" t="inlineStr">
        <is>
          <t>5周</t>
        </is>
      </c>
      <c r="C322" s="5" t="inlineStr">
        <is>
          <t>小红书</t>
        </is>
      </c>
      <c r="D322" s="5" t="n"/>
      <c r="E322" s="5" t="n"/>
      <c r="F322" s="5" t="inlineStr">
        <is>
          <t>https://www.xiaohongshu.com/discovery/item/697f486f0000000022039f71?xsec_token=CB-nB8sW4o3DWalFfDIFDx8Y39zKflT-dSuSc8-oB3YMA=&amp;xsec_source=app_share&amp;type=video</t>
        </is>
      </c>
      <c r="G322" s="5" t="inlineStr">
        <is>
          <t>001A1</t>
        </is>
      </c>
      <c r="H322" s="5" t="inlineStr">
        <is>
          <t>赵一博</t>
        </is>
      </c>
      <c r="I322" s="5" t="n"/>
      <c r="J322" s="5" t="n"/>
      <c r="K322" s="5" t="n">
        <v>107.5</v>
      </c>
      <c r="L322" s="5" t="n">
        <v>4950</v>
      </c>
      <c r="M322" s="5" t="n">
        <v>375</v>
      </c>
      <c r="N322" s="5" t="n">
        <v>50</v>
      </c>
      <c r="O322" s="5" t="n">
        <v>17</v>
      </c>
      <c r="P322" s="8">
        <f>IF(AND(M322&lt;&gt;"",M322&gt;0),M322+N322+O322,"")</f>
        <v/>
      </c>
      <c r="Q322" s="11">
        <f>IF(AND(L322&lt;&gt;"",L322&gt;0,P322&lt;&gt;""),P322/L322,"")</f>
        <v/>
      </c>
      <c r="R322" s="16">
        <f>IF(AND(P322&lt;&gt;"",P322&gt;0),(I322+J322+K322)/P322,"")</f>
        <v/>
      </c>
    </row>
    <row r="323" ht="27" customHeight="1">
      <c r="A323" s="5" t="inlineStr">
        <is>
          <t>2026-02-02</t>
        </is>
      </c>
      <c r="B323" s="5" t="inlineStr">
        <is>
          <t>6周</t>
        </is>
      </c>
      <c r="C323" s="5" t="inlineStr">
        <is>
          <t>抖音</t>
        </is>
      </c>
      <c r="D323" s="5" t="n"/>
      <c r="E323" s="5" t="n"/>
      <c r="F323" s="5" t="inlineStr">
        <is>
          <t>https://v.douyin.com/2BqUR0qMLsQ/</t>
        </is>
      </c>
      <c r="G323" s="5" t="inlineStr">
        <is>
          <t>495</t>
        </is>
      </c>
      <c r="H323" s="5" t="inlineStr">
        <is>
          <t>穿搭</t>
        </is>
      </c>
      <c r="I323" s="5" t="n"/>
      <c r="J323" s="5" t="n"/>
      <c r="K323" s="5" t="n">
        <v>93</v>
      </c>
      <c r="L323" s="5" t="n">
        <v>3527</v>
      </c>
      <c r="M323" s="5" t="n">
        <v>129</v>
      </c>
      <c r="N323" s="5" t="n">
        <v>7</v>
      </c>
      <c r="O323" s="5" t="n">
        <v>19</v>
      </c>
      <c r="P323" s="8">
        <f>IF(AND(M323&lt;&gt;"",M323&gt;0),M323+N323+O323,"")</f>
        <v/>
      </c>
      <c r="Q323" s="11">
        <f>IF(AND(L323&lt;&gt;"",L323&gt;0,P323&lt;&gt;""),P323/L323,"")</f>
        <v/>
      </c>
      <c r="R323" s="16">
        <f>IF(AND(P323&lt;&gt;"",P323&gt;0),(I323+J323+K323)/P323,"")</f>
        <v/>
      </c>
    </row>
    <row r="324" ht="27" customHeight="1">
      <c r="A324" s="5" t="inlineStr">
        <is>
          <t>2026-02-02</t>
        </is>
      </c>
      <c r="B324" s="5" t="inlineStr">
        <is>
          <t>6周</t>
        </is>
      </c>
      <c r="C324" s="5" t="inlineStr">
        <is>
          <t>抖音</t>
        </is>
      </c>
      <c r="D324" s="5" t="n"/>
      <c r="E324" s="5" t="n"/>
      <c r="F324" s="5" t="inlineStr">
        <is>
          <t>https://v.douyin.com/io2ZeDrbtSw/</t>
        </is>
      </c>
      <c r="G324" s="5" t="inlineStr">
        <is>
          <t>495</t>
        </is>
      </c>
      <c r="H324" s="5" t="inlineStr">
        <is>
          <t>跳舞</t>
        </is>
      </c>
      <c r="I324" s="5" t="n"/>
      <c r="J324" s="5" t="n"/>
      <c r="K324" s="5" t="n">
        <v>93</v>
      </c>
      <c r="L324" s="5" t="n">
        <v>25000</v>
      </c>
      <c r="M324" s="5" t="n">
        <v>2589</v>
      </c>
      <c r="N324" s="5" t="n">
        <v>121</v>
      </c>
      <c r="O324" s="5" t="n">
        <v>59</v>
      </c>
      <c r="P324" s="8">
        <f>IF(AND(M324&lt;&gt;"",M324&gt;0),M324+N324+O324,"")</f>
        <v/>
      </c>
      <c r="Q324" s="11">
        <f>IF(AND(L324&lt;&gt;"",L324&gt;0,P324&lt;&gt;""),P324/L324,"")</f>
        <v/>
      </c>
      <c r="R324" s="16">
        <f>IF(AND(P324&lt;&gt;"",P324&gt;0),(I324+J324+K324)/P324,"")</f>
        <v/>
      </c>
    </row>
    <row r="325" ht="81" customHeight="1">
      <c r="A325" s="5" t="inlineStr">
        <is>
          <t>2026-02-02</t>
        </is>
      </c>
      <c r="B325" s="5" t="inlineStr">
        <is>
          <t>6周</t>
        </is>
      </c>
      <c r="C325" s="5" t="inlineStr">
        <is>
          <t>小红书</t>
        </is>
      </c>
      <c r="D325" s="5" t="n"/>
      <c r="E325" s="5" t="n"/>
      <c r="F325" s="5" t="inlineStr">
        <is>
          <t>https://www.xiaohongshu.com/discovery/item/6980203a000000001a037c78?xsec_token=CB9XDBVMatU9Or9wGA7kBCPmsGgSo_SVGywKzJjHsMVAU=&amp;xsec_source=app_share&amp;type=video</t>
        </is>
      </c>
      <c r="G325" s="5" t="inlineStr">
        <is>
          <t>495</t>
        </is>
      </c>
      <c r="H325" s="5" t="inlineStr">
        <is>
          <t>口播</t>
        </is>
      </c>
      <c r="I325" s="5" t="n"/>
      <c r="J325" s="5" t="n"/>
      <c r="K325" s="5" t="n">
        <v>93</v>
      </c>
      <c r="L325" s="5" t="n">
        <v>1012</v>
      </c>
      <c r="M325" s="5" t="n">
        <v>441</v>
      </c>
      <c r="N325" s="5" t="n">
        <v>123</v>
      </c>
      <c r="O325" s="5" t="n">
        <v>39</v>
      </c>
      <c r="P325" s="8">
        <f>IF(AND(M325&lt;&gt;"",M325&gt;0),M325+N325+O325,"")</f>
        <v/>
      </c>
      <c r="Q325" s="11">
        <f>IF(AND(L325&lt;&gt;"",L325&gt;0,P325&lt;&gt;""),P325/L325,"")</f>
        <v/>
      </c>
      <c r="R325" s="16">
        <f>IF(AND(P325&lt;&gt;"",P325&gt;0),(I325+J325+K325)/P325,"")</f>
        <v/>
      </c>
    </row>
    <row r="326" ht="81" customHeight="1">
      <c r="A326" s="5" t="inlineStr">
        <is>
          <t>2026-02-02</t>
        </is>
      </c>
      <c r="B326" s="5" t="inlineStr">
        <is>
          <t>6周</t>
        </is>
      </c>
      <c r="C326" s="5" t="inlineStr">
        <is>
          <t>小红书</t>
        </is>
      </c>
      <c r="D326" s="5" t="n"/>
      <c r="E326" s="5" t="n"/>
      <c r="F326" s="5" t="inlineStr">
        <is>
          <t>https://www.xiaohongshu.com/discovery/item/698028f70000000028020e41?xsec_token=CBqcvuHMr-oSgnoQzmm1-Sf87cq4TCvNj_l5vt8zBcbFk=&amp;xsec_source=app_share&amp;type=video</t>
        </is>
      </c>
      <c r="G326" s="5" t="inlineStr">
        <is>
          <t>1217W</t>
        </is>
      </c>
      <c r="H326" s="5" t="inlineStr">
        <is>
          <t>学生</t>
        </is>
      </c>
      <c r="I326" s="5" t="n"/>
      <c r="J326" s="5" t="n"/>
      <c r="K326" s="5" t="n">
        <v>54</v>
      </c>
      <c r="L326" s="5" t="n">
        <v>121568</v>
      </c>
      <c r="M326" s="5" t="n">
        <v>7938</v>
      </c>
      <c r="N326" s="5" t="n">
        <v>1050</v>
      </c>
      <c r="O326" s="5" t="n">
        <v>115</v>
      </c>
      <c r="P326" s="8">
        <f>IF(AND(M326&lt;&gt;"",M326&gt;0),M326+N326+O326,"")</f>
        <v/>
      </c>
      <c r="Q326" s="11">
        <f>IF(AND(L326&lt;&gt;"",L326&gt;0,P326&lt;&gt;""),P326/L326,"")</f>
        <v/>
      </c>
      <c r="R326" s="16">
        <f>IF(AND(P326&lt;&gt;"",P326&gt;0),(I326+J326+K326)/P326,"")</f>
        <v/>
      </c>
    </row>
    <row r="327" ht="81" customHeight="1">
      <c r="A327" s="5" t="inlineStr">
        <is>
          <t>2026-02-02</t>
        </is>
      </c>
      <c r="B327" s="5" t="inlineStr">
        <is>
          <t>6周</t>
        </is>
      </c>
      <c r="C327" s="5" t="inlineStr">
        <is>
          <t>小红书</t>
        </is>
      </c>
      <c r="D327" s="5" t="n"/>
      <c r="E327" s="5" t="n"/>
      <c r="F327" s="5" t="inlineStr">
        <is>
          <t>https://www.xiaohongshu.com/discovery/item/698051b2000000000b01168f?xsec_token=CBEzi2NfX0Z11exSl_HraO3yqdKHYJj4RIE7KSQWgIfr8=&amp;xsec_source=app_share&amp;type=video</t>
        </is>
      </c>
      <c r="G327" s="5" t="inlineStr">
        <is>
          <t>0002A1</t>
        </is>
      </c>
      <c r="H327" s="5" t="inlineStr">
        <is>
          <t>口播</t>
        </is>
      </c>
      <c r="I327" s="5" t="n">
        <v>300</v>
      </c>
      <c r="J327" s="5" t="n"/>
      <c r="K327" s="5" t="n">
        <v>110.5</v>
      </c>
      <c r="L327" s="5" t="n">
        <v>2168</v>
      </c>
      <c r="M327" s="5" t="n">
        <v>328</v>
      </c>
      <c r="N327" s="5" t="n">
        <v>142</v>
      </c>
      <c r="O327" s="5" t="n">
        <v>20</v>
      </c>
      <c r="P327" s="8">
        <f>IF(AND(M327&lt;&gt;"",M327&gt;0),M327+N327+O327,"")</f>
        <v/>
      </c>
      <c r="Q327" s="11">
        <f>IF(AND(L327&lt;&gt;"",L327&gt;0,P327&lt;&gt;""),P327/L327,"")</f>
        <v/>
      </c>
      <c r="R327" s="16">
        <f>IF(AND(P327&lt;&gt;"",P327&gt;0),(I327+J327+K327)/P327,"")</f>
        <v/>
      </c>
    </row>
    <row r="328" ht="27" customHeight="1">
      <c r="A328" s="5" t="inlineStr">
        <is>
          <t>2026-02-03</t>
        </is>
      </c>
      <c r="B328" s="5" t="inlineStr">
        <is>
          <t>6周</t>
        </is>
      </c>
      <c r="C328" s="5" t="inlineStr">
        <is>
          <t>抖音</t>
        </is>
      </c>
      <c r="D328" s="5" t="n"/>
      <c r="E328" s="5" t="n"/>
      <c r="F328" s="5" t="inlineStr">
        <is>
          <t>https://v.douyin.com/e_KlPgsiopw/</t>
        </is>
      </c>
      <c r="G328" s="5" t="inlineStr">
        <is>
          <t>0002A1</t>
        </is>
      </c>
      <c r="H328" s="5" t="inlineStr">
        <is>
          <t>刘耀文</t>
        </is>
      </c>
      <c r="I328" s="5" t="n"/>
      <c r="J328" s="5" t="n"/>
      <c r="K328" s="5" t="n">
        <v>110.5</v>
      </c>
      <c r="L328" s="5" t="n">
        <v>255</v>
      </c>
      <c r="M328" s="5" t="n">
        <v>48</v>
      </c>
      <c r="N328" s="5" t="n">
        <v>1</v>
      </c>
      <c r="O328" s="5" t="n">
        <v>16</v>
      </c>
      <c r="P328" s="8">
        <f>IF(AND(M328&lt;&gt;"",M328&gt;0),M328+N328+O328,"")</f>
        <v/>
      </c>
      <c r="Q328" s="11">
        <f>IF(AND(L328&lt;&gt;"",L328&gt;0,P328&lt;&gt;""),P328/L328,"")</f>
        <v/>
      </c>
      <c r="R328" s="16">
        <f>IF(AND(P328&lt;&gt;"",P328&gt;0),(I328+J328+K328)/P328,"")</f>
        <v/>
      </c>
    </row>
    <row r="329" ht="27" customHeight="1">
      <c r="A329" s="5" t="inlineStr">
        <is>
          <t>2026-02-03</t>
        </is>
      </c>
      <c r="B329" s="5" t="inlineStr">
        <is>
          <t>6周</t>
        </is>
      </c>
      <c r="C329" s="5" t="inlineStr">
        <is>
          <t>抖音</t>
        </is>
      </c>
      <c r="D329" s="5" t="n"/>
      <c r="E329" s="5" t="n"/>
      <c r="F329" s="5" t="inlineStr">
        <is>
          <t>https://v.douyin.com/X9sdiIIm0No/</t>
        </is>
      </c>
      <c r="G329" s="5" t="inlineStr">
        <is>
          <t>001A1</t>
        </is>
      </c>
      <c r="H329" s="5" t="inlineStr">
        <is>
          <t>穿搭</t>
        </is>
      </c>
      <c r="I329" s="5" t="n"/>
      <c r="J329" s="5" t="n"/>
      <c r="K329" s="5" t="n">
        <v>107.5</v>
      </c>
      <c r="L329" s="5" t="n">
        <v>88000</v>
      </c>
      <c r="M329" s="5" t="n">
        <v>6600</v>
      </c>
      <c r="N329" s="5" t="n">
        <v>1259</v>
      </c>
      <c r="O329" s="5" t="n">
        <v>95</v>
      </c>
      <c r="P329" s="8">
        <f>IF(AND(M329&lt;&gt;"",M329&gt;0),M329+N329+O329,"")</f>
        <v/>
      </c>
      <c r="Q329" s="11">
        <f>IF(AND(L329&lt;&gt;"",L329&gt;0,P329&lt;&gt;""),P329/L329,"")</f>
        <v/>
      </c>
      <c r="R329" s="16">
        <f>IF(AND(P329&lt;&gt;"",P329&gt;0),(I329+J329+K329)/P329,"")</f>
        <v/>
      </c>
    </row>
    <row r="330" ht="81" customHeight="1">
      <c r="A330" s="5" t="inlineStr">
        <is>
          <t>2026-02-03</t>
        </is>
      </c>
      <c r="B330" s="5" t="inlineStr">
        <is>
          <t>6周</t>
        </is>
      </c>
      <c r="C330" s="5" t="inlineStr">
        <is>
          <t>小红书</t>
        </is>
      </c>
      <c r="D330" s="5" t="n"/>
      <c r="E330" s="5" t="n"/>
      <c r="F330" s="5" t="inlineStr">
        <is>
          <t>https://www.xiaohongshu.com/discovery/item/69816a8e000000001a02ca08?xsec_token=CBCXQ1rEZ-60n8PJVl7Aa4P-vrlqAHQPDubHTop7viPME=&amp;xsec_source=app_share&amp;type=video</t>
        </is>
      </c>
      <c r="G330" s="5" t="inlineStr">
        <is>
          <t>1225</t>
        </is>
      </c>
      <c r="H330" s="5" t="inlineStr">
        <is>
          <t>口播</t>
        </is>
      </c>
      <c r="I330" s="5" t="n"/>
      <c r="J330" s="5" t="n"/>
      <c r="K330" s="5" t="n">
        <v>55.5</v>
      </c>
      <c r="L330" s="5" t="n">
        <v>1231</v>
      </c>
      <c r="M330" s="5" t="n">
        <v>263</v>
      </c>
      <c r="N330" s="5" t="n">
        <v>93</v>
      </c>
      <c r="O330" s="5" t="n">
        <v>48</v>
      </c>
      <c r="P330" s="8">
        <f>IF(AND(M330&lt;&gt;"",M330&gt;0),M330+N330+O330,"")</f>
        <v/>
      </c>
      <c r="Q330" s="11">
        <f>IF(AND(L330&lt;&gt;"",L330&gt;0,P330&lt;&gt;""),P330/L330,"")</f>
        <v/>
      </c>
      <c r="R330" s="16">
        <f>IF(AND(P330&lt;&gt;"",P330&gt;0),(I330+J330+K330)/P330,"")</f>
        <v/>
      </c>
    </row>
    <row r="331" ht="81" customHeight="1">
      <c r="A331" s="5" t="inlineStr">
        <is>
          <t>2026-02-03</t>
        </is>
      </c>
      <c r="B331" s="5" t="inlineStr">
        <is>
          <t>6周</t>
        </is>
      </c>
      <c r="C331" s="5" t="inlineStr">
        <is>
          <t>小红书</t>
        </is>
      </c>
      <c r="D331" s="5" t="n"/>
      <c r="E331" s="5" t="n"/>
      <c r="F331" s="5" t="inlineStr">
        <is>
          <t>https://www.xiaohongshu.com/discovery/item/698197f10000000022020819?xsec_token=CB3oCTtylSwi4zkosb8bLMOLVAQ1UbSVjNciK0YSCjQE4=&amp;xsec_source=app_share&amp;type=video</t>
        </is>
      </c>
      <c r="G331" s="5" t="inlineStr">
        <is>
          <t>0002A1</t>
        </is>
      </c>
      <c r="H331" s="5" t="inlineStr">
        <is>
          <t>刘耀文</t>
        </is>
      </c>
      <c r="I331" s="5" t="n"/>
      <c r="J331" s="5" t="n"/>
      <c r="K331" s="5" t="n">
        <v>110.5</v>
      </c>
      <c r="L331" s="5" t="n">
        <v>1728</v>
      </c>
      <c r="M331" s="5" t="n">
        <v>155</v>
      </c>
      <c r="N331" s="5" t="n">
        <v>14</v>
      </c>
      <c r="O331" s="5" t="n">
        <v>1</v>
      </c>
      <c r="P331" s="8">
        <f>IF(AND(M331&lt;&gt;"",M331&gt;0),M331+N331+O331,"")</f>
        <v/>
      </c>
      <c r="Q331" s="11">
        <f>IF(AND(L331&lt;&gt;"",L331&gt;0,P331&lt;&gt;""),P331/L331,"")</f>
        <v/>
      </c>
      <c r="R331" s="16">
        <f>IF(AND(P331&lt;&gt;"",P331&gt;0),(I331+J331+K331)/P331,"")</f>
        <v/>
      </c>
    </row>
    <row r="332" ht="94.5" customHeight="1">
      <c r="A332" s="5" t="inlineStr">
        <is>
          <t>2026-02-03</t>
        </is>
      </c>
      <c r="B332" s="5" t="inlineStr">
        <is>
          <t>6周</t>
        </is>
      </c>
      <c r="C332" s="5" t="inlineStr">
        <is>
          <t>小红书</t>
        </is>
      </c>
      <c r="D332" s="5" t="n"/>
      <c r="E332" s="5" t="n"/>
      <c r="F332" s="5" t="inlineStr">
        <is>
          <t>https://www.xiaohongshu.com/discovery/item/6981c543000000001a027f77?xsec_token=CB8e6yQWsMAqSo-wwWunnMbKVNFXnfxkMBoL0Y87XMPag=&amp;xsec_source=app_share&amp;type=video</t>
        </is>
      </c>
      <c r="G332" s="5" t="inlineStr">
        <is>
          <t>1217W</t>
        </is>
      </c>
      <c r="H332" s="5" t="inlineStr">
        <is>
          <t>学生</t>
        </is>
      </c>
      <c r="I332" s="5" t="n">
        <v>300</v>
      </c>
      <c r="J332" s="5" t="n"/>
      <c r="K332" s="5" t="n">
        <v>54</v>
      </c>
      <c r="L332" s="5" t="n">
        <v>12227</v>
      </c>
      <c r="M332" s="5" t="n">
        <v>960</v>
      </c>
      <c r="N332" s="5" t="n">
        <v>47</v>
      </c>
      <c r="O332" s="5" t="n">
        <v>63</v>
      </c>
      <c r="P332" s="8">
        <f>IF(AND(M332&lt;&gt;"",M332&gt;0),M332+N332+O332,"")</f>
        <v/>
      </c>
      <c r="Q332" s="11">
        <f>IF(AND(L332&lt;&gt;"",L332&gt;0,P332&lt;&gt;""),P332/L332,"")</f>
        <v/>
      </c>
      <c r="R332" s="16">
        <f>IF(AND(P332&lt;&gt;"",P332&gt;0),(I332+J332+K332)/P332,"")</f>
        <v/>
      </c>
    </row>
    <row r="333" ht="27" customHeight="1">
      <c r="A333" s="5" t="inlineStr">
        <is>
          <t>2026-02-04</t>
        </is>
      </c>
      <c r="B333" s="5" t="inlineStr">
        <is>
          <t>6周</t>
        </is>
      </c>
      <c r="C333" s="5" t="inlineStr">
        <is>
          <t>抖音</t>
        </is>
      </c>
      <c r="D333" s="5" t="n"/>
      <c r="E333" s="5" t="n"/>
      <c r="F333" s="5" t="inlineStr">
        <is>
          <t>https://v.douyin.com/HKfTHvL1tmY/</t>
        </is>
      </c>
      <c r="G333" s="5" t="inlineStr">
        <is>
          <t>1217W</t>
        </is>
      </c>
      <c r="H333" s="5" t="inlineStr">
        <is>
          <t>学生</t>
        </is>
      </c>
      <c r="I333" s="5" t="n">
        <v>200</v>
      </c>
      <c r="J333" s="5" t="n"/>
      <c r="K333" s="5" t="n">
        <v>54</v>
      </c>
      <c r="L333" s="5" t="n">
        <v>211000</v>
      </c>
      <c r="M333" s="5" t="n">
        <v>8377</v>
      </c>
      <c r="N333" s="5" t="n">
        <v>1887</v>
      </c>
      <c r="O333" s="5" t="n">
        <v>159</v>
      </c>
      <c r="P333" s="8">
        <f>IF(AND(M333&lt;&gt;"",M333&gt;0),M333+N333+O333,"")</f>
        <v/>
      </c>
      <c r="Q333" s="11">
        <f>IF(AND(L333&lt;&gt;"",L333&gt;0,P333&lt;&gt;""),P333/L333,"")</f>
        <v/>
      </c>
      <c r="R333" s="16">
        <f>IF(AND(P333&lt;&gt;"",P333&gt;0),(I333+J333+K333)/P333,"")</f>
        <v/>
      </c>
    </row>
    <row r="334" ht="27" customHeight="1">
      <c r="A334" s="5" t="inlineStr">
        <is>
          <t>2026-02-04</t>
        </is>
      </c>
      <c r="B334" s="5" t="inlineStr">
        <is>
          <t>6周</t>
        </is>
      </c>
      <c r="C334" s="5" t="inlineStr">
        <is>
          <t>抖音</t>
        </is>
      </c>
      <c r="D334" s="5" t="n"/>
      <c r="E334" s="5" t="n"/>
      <c r="F334" s="5" t="inlineStr">
        <is>
          <t>https://v.douyin.com/gqOefwTa4Zo/</t>
        </is>
      </c>
      <c r="G334" s="5" t="inlineStr">
        <is>
          <t>001A1</t>
        </is>
      </c>
      <c r="H334" s="5" t="inlineStr">
        <is>
          <t>口播</t>
        </is>
      </c>
      <c r="I334" s="5" t="n"/>
      <c r="J334" s="5" t="n"/>
      <c r="K334" s="5" t="n">
        <v>107.5</v>
      </c>
      <c r="L334" s="5" t="n">
        <v>1000</v>
      </c>
      <c r="M334" s="5" t="n">
        <v>19</v>
      </c>
      <c r="N334" s="5" t="n">
        <v>4</v>
      </c>
      <c r="O334" s="5" t="n">
        <v>0</v>
      </c>
      <c r="P334" s="8">
        <f>IF(AND(M334&lt;&gt;"",M334&gt;0),M334+N334+O334,"")</f>
        <v/>
      </c>
      <c r="Q334" s="11">
        <f>IF(AND(L334&lt;&gt;"",L334&gt;0,P334&lt;&gt;""),P334/L334,"")</f>
        <v/>
      </c>
      <c r="R334" s="16">
        <f>IF(AND(P334&lt;&gt;"",P334&gt;0),(I334+J334+K334)/P334,"")</f>
        <v/>
      </c>
    </row>
    <row r="335" ht="27" customHeight="1">
      <c r="A335" s="5" t="inlineStr">
        <is>
          <t>2026-02-04</t>
        </is>
      </c>
      <c r="B335" s="5" t="inlineStr">
        <is>
          <t>6周</t>
        </is>
      </c>
      <c r="C335" s="5" t="inlineStr">
        <is>
          <t>抖音</t>
        </is>
      </c>
      <c r="D335" s="5" t="n"/>
      <c r="E335" s="5" t="n"/>
      <c r="F335" s="5" t="inlineStr">
        <is>
          <t>https://v.douyin.com/45BVNUNmh90/</t>
        </is>
      </c>
      <c r="G335" s="5" t="inlineStr">
        <is>
          <t>1217W</t>
        </is>
      </c>
      <c r="H335" s="5" t="inlineStr">
        <is>
          <t>学生</t>
        </is>
      </c>
      <c r="I335" s="5" t="n"/>
      <c r="J335" s="5" t="n"/>
      <c r="K335" s="5" t="n">
        <v>54</v>
      </c>
      <c r="L335" s="5" t="n">
        <v>7200</v>
      </c>
      <c r="M335" s="5" t="n">
        <v>333</v>
      </c>
      <c r="N335" s="5" t="n">
        <v>5</v>
      </c>
      <c r="O335" s="5" t="n">
        <v>63</v>
      </c>
      <c r="P335" s="8">
        <f>IF(AND(M335&lt;&gt;"",M335&gt;0),M335+N335+O335,"")</f>
        <v/>
      </c>
      <c r="Q335" s="11">
        <f>IF(AND(L335&lt;&gt;"",L335&gt;0,P335&lt;&gt;""),P335/L335,"")</f>
        <v/>
      </c>
      <c r="R335" s="16">
        <f>IF(AND(P335&lt;&gt;"",P335&gt;0),(I335+J335+K335)/P335,"")</f>
        <v/>
      </c>
    </row>
    <row r="336" ht="27" customHeight="1">
      <c r="A336" s="5" t="inlineStr">
        <is>
          <t>2026-02-05</t>
        </is>
      </c>
      <c r="B336" s="5" t="inlineStr">
        <is>
          <t>6周</t>
        </is>
      </c>
      <c r="C336" s="5" t="inlineStr">
        <is>
          <t>抖音</t>
        </is>
      </c>
      <c r="D336" s="5" t="n"/>
      <c r="E336" s="5" t="n"/>
      <c r="F336" s="5" t="inlineStr">
        <is>
          <t>https://v.douyin.com/EK5rLJkV3e4/</t>
        </is>
      </c>
      <c r="G336" s="5" t="inlineStr">
        <is>
          <t>495</t>
        </is>
      </c>
      <c r="H336" s="5" t="inlineStr">
        <is>
          <t>穿搭</t>
        </is>
      </c>
      <c r="I336" s="5" t="n">
        <v>100</v>
      </c>
      <c r="J336" s="5" t="n"/>
      <c r="K336" s="5" t="n">
        <v>93</v>
      </c>
      <c r="L336" s="5" t="n">
        <v>13000</v>
      </c>
      <c r="M336" s="5" t="n">
        <v>1286</v>
      </c>
      <c r="N336" s="5" t="n">
        <v>40</v>
      </c>
      <c r="O336" s="5" t="n">
        <v>57</v>
      </c>
      <c r="P336" s="8">
        <f>IF(AND(M336&lt;&gt;"",M336&gt;0),M336+N336+O336,"")</f>
        <v/>
      </c>
      <c r="Q336" s="11">
        <f>IF(AND(L336&lt;&gt;"",L336&gt;0,P336&lt;&gt;""),P336/L336,"")</f>
        <v/>
      </c>
      <c r="R336" s="16">
        <f>IF(AND(P336&lt;&gt;"",P336&gt;0),(I336+J336+K336)/P336,"")</f>
        <v/>
      </c>
    </row>
    <row r="337" ht="27" customHeight="1">
      <c r="A337" s="5" t="inlineStr">
        <is>
          <t>2026-02-06</t>
        </is>
      </c>
      <c r="B337" s="5" t="inlineStr">
        <is>
          <t>6周</t>
        </is>
      </c>
      <c r="C337" s="5" t="inlineStr">
        <is>
          <t>抖音</t>
        </is>
      </c>
      <c r="D337" s="5" t="n"/>
      <c r="E337" s="5" t="n"/>
      <c r="F337" s="5" t="inlineStr">
        <is>
          <t>https://v.douyin.com/k_9-xM_Lvuk/</t>
        </is>
      </c>
      <c r="G337" s="5" t="inlineStr">
        <is>
          <t>1217W</t>
        </is>
      </c>
      <c r="H337" s="5" t="inlineStr">
        <is>
          <t>学生</t>
        </is>
      </c>
      <c r="I337" s="5" t="n"/>
      <c r="J337" s="5" t="n"/>
      <c r="K337" s="5" t="n">
        <v>54</v>
      </c>
      <c r="L337" s="5" t="n">
        <v>7054</v>
      </c>
      <c r="M337" s="5" t="n">
        <v>264</v>
      </c>
      <c r="N337" s="5" t="n">
        <v>10</v>
      </c>
      <c r="O337" s="5" t="n">
        <v>47</v>
      </c>
      <c r="P337" s="8">
        <f>IF(AND(M337&lt;&gt;"",M337&gt;0),M337+N337+O337,"")</f>
        <v/>
      </c>
      <c r="Q337" s="11">
        <f>IF(AND(L337&lt;&gt;"",L337&gt;0,P337&lt;&gt;""),P337/L337,"")</f>
        <v/>
      </c>
      <c r="R337" s="16">
        <f>IF(AND(P337&lt;&gt;"",P337&gt;0),(I337+J337+K337)/P337,"")</f>
        <v/>
      </c>
    </row>
    <row r="338" ht="27" customHeight="1">
      <c r="A338" s="5" t="inlineStr">
        <is>
          <t>2026-02-06</t>
        </is>
      </c>
      <c r="B338" s="5" t="inlineStr">
        <is>
          <t>6周</t>
        </is>
      </c>
      <c r="C338" s="5" t="inlineStr">
        <is>
          <t>抖音</t>
        </is>
      </c>
      <c r="D338" s="5" t="n"/>
      <c r="E338" s="5" t="n"/>
      <c r="F338" s="5" t="inlineStr">
        <is>
          <t>https://v.douyin.com/9mwSGHaitpY/</t>
        </is>
      </c>
      <c r="G338" s="5" t="inlineStr">
        <is>
          <t>1217W</t>
        </is>
      </c>
      <c r="H338" s="5" t="inlineStr">
        <is>
          <t>学生</t>
        </is>
      </c>
      <c r="I338" s="5" t="n">
        <v>100</v>
      </c>
      <c r="J338" s="5" t="n"/>
      <c r="K338" s="5" t="n">
        <v>54</v>
      </c>
      <c r="L338" s="5" t="n">
        <v>11000</v>
      </c>
      <c r="M338" s="5" t="n">
        <v>1186</v>
      </c>
      <c r="N338" s="5" t="n">
        <v>108</v>
      </c>
      <c r="O338" s="5" t="n">
        <v>19</v>
      </c>
      <c r="P338" s="8">
        <f>IF(AND(M338&lt;&gt;"",M338&gt;0),M338+N338+O338,"")</f>
        <v/>
      </c>
      <c r="Q338" s="11">
        <f>IF(AND(L338&lt;&gt;"",L338&gt;0,P338&lt;&gt;""),P338/L338,"")</f>
        <v/>
      </c>
      <c r="R338" s="16">
        <f>IF(AND(P338&lt;&gt;"",P338&gt;0),(I338+J338+K338)/P338,"")</f>
        <v/>
      </c>
    </row>
    <row r="339" ht="27" customHeight="1">
      <c r="A339" s="5" t="inlineStr">
        <is>
          <t>2026-02-06</t>
        </is>
      </c>
      <c r="B339" s="5" t="inlineStr">
        <is>
          <t>6周</t>
        </is>
      </c>
      <c r="C339" s="5" t="inlineStr">
        <is>
          <t>快手</t>
        </is>
      </c>
      <c r="D339" s="5" t="n"/>
      <c r="E339" s="5" t="n"/>
      <c r="F339" s="5" t="inlineStr">
        <is>
          <t>https://www.kuaishou.com/f/X58hLsrAr0wY1D9</t>
        </is>
      </c>
      <c r="G339" s="5" t="inlineStr">
        <is>
          <t>0002A1</t>
        </is>
      </c>
      <c r="H339" s="5" t="inlineStr">
        <is>
          <t>刘耀文</t>
        </is>
      </c>
      <c r="I339" s="5" t="n"/>
      <c r="J339" s="5" t="n"/>
      <c r="K339" s="5" t="n">
        <v>110.5</v>
      </c>
      <c r="L339" s="5" t="n">
        <v>27000</v>
      </c>
      <c r="M339" s="5" t="n">
        <v>2000</v>
      </c>
      <c r="N339" s="5" t="n">
        <v>204</v>
      </c>
      <c r="O339" s="5" t="n">
        <v>28</v>
      </c>
      <c r="P339" s="8">
        <f>IF(AND(M339&lt;&gt;"",M339&gt;0),M339+N339+O339,"")</f>
        <v/>
      </c>
      <c r="Q339" s="11">
        <f>IF(AND(L339&lt;&gt;"",L339&gt;0,P339&lt;&gt;""),P339/L339,"")</f>
        <v/>
      </c>
      <c r="R339" s="16">
        <f>IF(AND(P339&lt;&gt;"",P339&gt;0),(I339+J339+K339)/P339,"")</f>
        <v/>
      </c>
    </row>
    <row r="340" ht="27" customHeight="1">
      <c r="A340" s="5" t="inlineStr">
        <is>
          <t>2026-02-06</t>
        </is>
      </c>
      <c r="B340" s="5" t="inlineStr">
        <is>
          <t>6周</t>
        </is>
      </c>
      <c r="C340" s="5" t="inlineStr">
        <is>
          <t>抖音</t>
        </is>
      </c>
      <c r="D340" s="5" t="n"/>
      <c r="E340" s="5" t="n"/>
      <c r="F340" s="5" t="inlineStr">
        <is>
          <t>https://v.douyin.com/ocL985nw7-w/</t>
        </is>
      </c>
      <c r="G340" s="5" t="inlineStr">
        <is>
          <t>0002A1</t>
        </is>
      </c>
      <c r="H340" s="5" t="inlineStr">
        <is>
          <t>刘耀文</t>
        </is>
      </c>
      <c r="I340" s="5" t="n"/>
      <c r="J340" s="5" t="n"/>
      <c r="K340" s="5" t="n">
        <v>110.5</v>
      </c>
      <c r="L340" s="5" t="n">
        <v>4835</v>
      </c>
      <c r="M340" s="5" t="n">
        <v>323</v>
      </c>
      <c r="N340" s="5" t="n">
        <v>19</v>
      </c>
      <c r="O340" s="5" t="n">
        <v>17</v>
      </c>
      <c r="P340" s="8">
        <f>IF(AND(M340&lt;&gt;"",M340&gt;0),M340+N340+O340,"")</f>
        <v/>
      </c>
      <c r="Q340" s="11">
        <f>IF(AND(L340&lt;&gt;"",L340&gt;0,P340&lt;&gt;""),P340/L340,"")</f>
        <v/>
      </c>
      <c r="R340" s="16">
        <f>IF(AND(P340&lt;&gt;"",P340&gt;0),(I340+J340+K340)/P340,"")</f>
        <v/>
      </c>
    </row>
    <row r="341" ht="27" customHeight="1">
      <c r="A341" s="5" t="inlineStr">
        <is>
          <t>2026-02-06</t>
        </is>
      </c>
      <c r="B341" s="5" t="inlineStr">
        <is>
          <t>6周</t>
        </is>
      </c>
      <c r="C341" s="5" t="inlineStr">
        <is>
          <t>抖音</t>
        </is>
      </c>
      <c r="D341" s="5" t="n"/>
      <c r="E341" s="5" t="n"/>
      <c r="F341" s="5" t="inlineStr">
        <is>
          <t>https://v.douyin.com/52AtNziMKbI/</t>
        </is>
      </c>
      <c r="G341" s="5" t="inlineStr">
        <is>
          <t>495</t>
        </is>
      </c>
      <c r="H341" s="5" t="inlineStr">
        <is>
          <t>穿搭</t>
        </is>
      </c>
      <c r="I341" s="5" t="n">
        <v>75</v>
      </c>
      <c r="J341" s="5" t="n"/>
      <c r="K341" s="5" t="n">
        <v>93</v>
      </c>
      <c r="L341" s="5" t="n">
        <v>7527</v>
      </c>
      <c r="M341" s="5" t="n">
        <v>396</v>
      </c>
      <c r="N341" s="5" t="n">
        <v>30</v>
      </c>
      <c r="O341" s="5" t="n">
        <v>22</v>
      </c>
      <c r="P341" s="8">
        <f>IF(AND(M341&lt;&gt;"",M341&gt;0),M341+N341+O341,"")</f>
        <v/>
      </c>
      <c r="Q341" s="11">
        <f>IF(AND(L341&lt;&gt;"",L341&gt;0,P341&lt;&gt;""),P341/L341,"")</f>
        <v/>
      </c>
      <c r="R341" s="16">
        <f>IF(AND(P341&lt;&gt;"",P341&gt;0),(I341+J341+K341)/P341,"")</f>
        <v/>
      </c>
    </row>
    <row r="342" ht="27" customHeight="1">
      <c r="A342" s="5" t="inlineStr">
        <is>
          <t>2026-02-06</t>
        </is>
      </c>
      <c r="B342" s="5" t="inlineStr">
        <is>
          <t>6周</t>
        </is>
      </c>
      <c r="C342" s="5" t="inlineStr">
        <is>
          <t>抖音</t>
        </is>
      </c>
      <c r="D342" s="5" t="n"/>
      <c r="E342" s="5" t="n"/>
      <c r="F342" s="5" t="inlineStr">
        <is>
          <t>https://v.douyin.com/FOwaMAbxEiE/</t>
        </is>
      </c>
      <c r="G342" s="5" t="inlineStr">
        <is>
          <t>1217W</t>
        </is>
      </c>
      <c r="H342" s="5" t="inlineStr">
        <is>
          <t>学生</t>
        </is>
      </c>
      <c r="I342" s="5" t="n">
        <v>150</v>
      </c>
      <c r="J342" s="5" t="n"/>
      <c r="K342" s="5" t="n">
        <v>54</v>
      </c>
      <c r="L342" s="5" t="n">
        <v>26000</v>
      </c>
      <c r="M342" s="5" t="n">
        <v>1617</v>
      </c>
      <c r="N342" s="5" t="n">
        <v>35</v>
      </c>
      <c r="O342" s="5" t="n">
        <v>110</v>
      </c>
      <c r="P342" s="8">
        <f>IF(AND(M342&lt;&gt;"",M342&gt;0),M342+N342+O342,"")</f>
        <v/>
      </c>
      <c r="Q342" s="11">
        <f>IF(AND(L342&lt;&gt;"",L342&gt;0,P342&lt;&gt;""),P342/L342,"")</f>
        <v/>
      </c>
      <c r="R342" s="16">
        <f>IF(AND(P342&lt;&gt;"",P342&gt;0),(I342+J342+K342)/P342,"")</f>
        <v/>
      </c>
    </row>
    <row r="343" ht="27" customHeight="1">
      <c r="A343" s="5" t="inlineStr">
        <is>
          <t>2026-02-06</t>
        </is>
      </c>
      <c r="B343" s="5" t="inlineStr">
        <is>
          <t>6周</t>
        </is>
      </c>
      <c r="C343" s="5" t="inlineStr">
        <is>
          <t>抖音</t>
        </is>
      </c>
      <c r="D343" s="5" t="n"/>
      <c r="E343" s="5" t="n"/>
      <c r="F343" s="5" t="inlineStr">
        <is>
          <t>https://v.douyin.com/f8zfkLKDkAU/</t>
        </is>
      </c>
      <c r="G343" s="5" t="inlineStr">
        <is>
          <t>0002A1</t>
        </is>
      </c>
      <c r="H343" s="5" t="inlineStr">
        <is>
          <t>穿搭</t>
        </is>
      </c>
      <c r="I343" s="5" t="n"/>
      <c r="J343" s="5" t="n"/>
      <c r="K343" s="5" t="n">
        <v>110.5</v>
      </c>
      <c r="L343" s="5" t="n">
        <v>3212</v>
      </c>
      <c r="M343" s="5" t="n">
        <v>172</v>
      </c>
      <c r="N343" s="5" t="n">
        <v>22</v>
      </c>
      <c r="O343" s="5" t="n">
        <v>3</v>
      </c>
      <c r="P343" s="8">
        <f>IF(AND(M343&lt;&gt;"",M343&gt;0),M343+N343+O343,"")</f>
        <v/>
      </c>
      <c r="Q343" s="11">
        <f>IF(AND(L343&lt;&gt;"",L343&gt;0,P343&lt;&gt;""),P343/L343,"")</f>
        <v/>
      </c>
      <c r="R343" s="16">
        <f>IF(AND(P343&lt;&gt;"",P343&gt;0),(I343+J343+K343)/P343,"")</f>
        <v/>
      </c>
    </row>
    <row r="344" ht="27" customHeight="1">
      <c r="A344" s="5" t="inlineStr">
        <is>
          <t>2026-02-06</t>
        </is>
      </c>
      <c r="B344" s="5" t="inlineStr">
        <is>
          <t>6周</t>
        </is>
      </c>
      <c r="C344" s="5" t="inlineStr">
        <is>
          <t>抖音</t>
        </is>
      </c>
      <c r="D344" s="5" t="n"/>
      <c r="E344" s="5" t="n"/>
      <c r="F344" s="5" t="inlineStr">
        <is>
          <t>https://v.douyin.com/R0gUAF3CqtQ/</t>
        </is>
      </c>
      <c r="G344" s="5" t="inlineStr">
        <is>
          <t>0002A1</t>
        </is>
      </c>
      <c r="H344" s="5" t="inlineStr">
        <is>
          <t>刘耀文</t>
        </is>
      </c>
      <c r="I344" s="5" t="n"/>
      <c r="J344" s="5" t="n"/>
      <c r="K344" s="5" t="n">
        <v>110.5</v>
      </c>
      <c r="L344" s="5" t="n">
        <v>318</v>
      </c>
      <c r="M344" s="5" t="n">
        <v>70</v>
      </c>
      <c r="N344" s="5" t="n">
        <v>0</v>
      </c>
      <c r="O344" s="5" t="n">
        <v>38</v>
      </c>
      <c r="P344" s="8">
        <f>IF(AND(M344&lt;&gt;"",M344&gt;0),M344+N344+O344,"")</f>
        <v/>
      </c>
      <c r="Q344" s="11">
        <f>IF(AND(L344&lt;&gt;"",L344&gt;0,P344&lt;&gt;""),P344/L344,"")</f>
        <v/>
      </c>
      <c r="R344" s="16">
        <f>IF(AND(P344&lt;&gt;"",P344&gt;0),(I344+J344+K344)/P344,"")</f>
        <v/>
      </c>
    </row>
    <row r="345" ht="27" customHeight="1">
      <c r="A345" s="5" t="inlineStr">
        <is>
          <t>2026-02-06</t>
        </is>
      </c>
      <c r="B345" s="5" t="inlineStr">
        <is>
          <t>6周</t>
        </is>
      </c>
      <c r="C345" s="5" t="inlineStr">
        <is>
          <t>抖音</t>
        </is>
      </c>
      <c r="D345" s="5" t="n"/>
      <c r="E345" s="5" t="n"/>
      <c r="F345" s="5" t="inlineStr">
        <is>
          <t>https://v.douyin.com/gEQ-MCrMqrU/</t>
        </is>
      </c>
      <c r="G345" s="5" t="inlineStr">
        <is>
          <t>495</t>
        </is>
      </c>
      <c r="H345" s="5" t="inlineStr">
        <is>
          <t>穿搭</t>
        </is>
      </c>
      <c r="I345" s="5" t="n"/>
      <c r="J345" s="5" t="n"/>
      <c r="K345" s="5" t="n">
        <v>93</v>
      </c>
      <c r="L345" s="5" t="n">
        <v>126000</v>
      </c>
      <c r="M345" s="5" t="n">
        <v>475</v>
      </c>
      <c r="N345" s="5" t="n">
        <v>161</v>
      </c>
      <c r="O345" s="5" t="n">
        <v>12</v>
      </c>
      <c r="P345" s="8">
        <f>IF(AND(M345&lt;&gt;"",M345&gt;0),M345+N345+O345,"")</f>
        <v/>
      </c>
      <c r="Q345" s="11">
        <f>IF(AND(L345&lt;&gt;"",L345&gt;0,P345&lt;&gt;""),P345/L345,"")</f>
        <v/>
      </c>
      <c r="R345" s="16">
        <f>IF(AND(P345&lt;&gt;"",P345&gt;0),(I345+J345+K345)/P345,"")</f>
        <v/>
      </c>
    </row>
    <row r="346">
      <c r="A346" s="5" t="inlineStr">
        <is>
          <t>2026-02-06</t>
        </is>
      </c>
      <c r="B346" s="5" t="inlineStr">
        <is>
          <t>6周</t>
        </is>
      </c>
      <c r="C346" s="5" t="inlineStr">
        <is>
          <t>快手</t>
        </is>
      </c>
      <c r="D346" s="5" t="n"/>
      <c r="E346" s="5" t="n"/>
      <c r="F346" s="5" t="inlineStr">
        <is>
          <t>https://v.kuaishou.com/nJUbNTLJ</t>
        </is>
      </c>
      <c r="G346" s="5" t="inlineStr">
        <is>
          <t>0002A1</t>
        </is>
      </c>
      <c r="H346" s="5" t="inlineStr">
        <is>
          <t>刘耀文</t>
        </is>
      </c>
      <c r="I346" s="5" t="n"/>
      <c r="J346" s="5" t="n"/>
      <c r="K346" s="5" t="n">
        <v>110.5</v>
      </c>
      <c r="L346" s="5" t="n">
        <v>4312</v>
      </c>
      <c r="M346" s="5" t="n">
        <v>8</v>
      </c>
      <c r="N346" s="5" t="n">
        <v>0</v>
      </c>
      <c r="O346" s="5" t="n">
        <v>1</v>
      </c>
      <c r="P346" s="8">
        <f>IF(AND(M346&lt;&gt;"",M346&gt;0),M346+N346+O346,"")</f>
        <v/>
      </c>
      <c r="Q346" s="11">
        <f>IF(AND(L346&lt;&gt;"",L346&gt;0,P346&lt;&gt;""),P346/L346,"")</f>
        <v/>
      </c>
      <c r="R346" s="16">
        <f>IF(AND(P346&lt;&gt;"",P346&gt;0),(I346+J346+K346)/P346,"")</f>
        <v/>
      </c>
    </row>
    <row r="347" ht="27" customHeight="1">
      <c r="A347" s="5" t="inlineStr">
        <is>
          <t>2026-02-06</t>
        </is>
      </c>
      <c r="B347" s="5" t="inlineStr">
        <is>
          <t>6周</t>
        </is>
      </c>
      <c r="C347" s="5" t="inlineStr">
        <is>
          <t>抖音</t>
        </is>
      </c>
      <c r="D347" s="5" t="n"/>
      <c r="E347" s="5" t="n"/>
      <c r="F347" s="5" t="inlineStr">
        <is>
          <t>https://v.douyin.com/Ve0-e03KNLE/</t>
        </is>
      </c>
      <c r="G347" s="5" t="inlineStr">
        <is>
          <t>0002A1</t>
        </is>
      </c>
      <c r="H347" s="5" t="inlineStr">
        <is>
          <t>刘耀文</t>
        </is>
      </c>
      <c r="I347" s="5" t="n"/>
      <c r="J347" s="5" t="n"/>
      <c r="K347" s="5" t="n">
        <v>110.5</v>
      </c>
      <c r="L347" s="5" t="n">
        <v>1546</v>
      </c>
      <c r="M347" s="5" t="n">
        <v>88</v>
      </c>
      <c r="N347" s="5" t="n">
        <v>2</v>
      </c>
      <c r="O347" s="5" t="n">
        <v>3</v>
      </c>
      <c r="P347" s="8">
        <f>IF(AND(M347&lt;&gt;"",M347&gt;0),M347+N347+O347,"")</f>
        <v/>
      </c>
      <c r="Q347" s="11">
        <f>IF(AND(L347&lt;&gt;"",L347&gt;0,P347&lt;&gt;""),P347/L347,"")</f>
        <v/>
      </c>
      <c r="R347" s="16">
        <f>IF(AND(P347&lt;&gt;"",P347&gt;0),(I347+J347+K347)/P347,"")</f>
        <v/>
      </c>
    </row>
    <row r="348" ht="27" customHeight="1">
      <c r="A348" s="5" t="inlineStr">
        <is>
          <t>2026-02-06</t>
        </is>
      </c>
      <c r="B348" s="5" t="inlineStr">
        <is>
          <t>6周</t>
        </is>
      </c>
      <c r="C348" s="5" t="inlineStr">
        <is>
          <t>抖音</t>
        </is>
      </c>
      <c r="D348" s="5" t="n"/>
      <c r="E348" s="5" t="n"/>
      <c r="F348" s="5" t="inlineStr">
        <is>
          <t>https://v.douyin.com/_qRxQcxL-Aw/</t>
        </is>
      </c>
      <c r="G348" s="5" t="inlineStr">
        <is>
          <t>001A1</t>
        </is>
      </c>
      <c r="H348" s="5" t="inlineStr">
        <is>
          <t>穿搭</t>
        </is>
      </c>
      <c r="I348" s="5" t="n">
        <v>300</v>
      </c>
      <c r="J348" s="5" t="n"/>
      <c r="K348" s="5" t="n">
        <v>107.5</v>
      </c>
      <c r="L348" s="5" t="n">
        <v>42000</v>
      </c>
      <c r="M348" s="5" t="n">
        <v>3834</v>
      </c>
      <c r="N348" s="5" t="n">
        <v>566</v>
      </c>
      <c r="O348" s="5" t="n">
        <v>37</v>
      </c>
      <c r="P348" s="8">
        <f>IF(AND(M348&lt;&gt;"",M348&gt;0),M348+N348+O348,"")</f>
        <v/>
      </c>
      <c r="Q348" s="11">
        <f>IF(AND(L348&lt;&gt;"",L348&gt;0,P348&lt;&gt;""),P348/L348,"")</f>
        <v/>
      </c>
      <c r="R348" s="16">
        <f>IF(AND(P348&lt;&gt;"",P348&gt;0),(I348+J348+K348)/P348,"")</f>
        <v/>
      </c>
    </row>
    <row r="349" ht="27" customHeight="1">
      <c r="A349" s="5" t="inlineStr">
        <is>
          <t>2026-02-06</t>
        </is>
      </c>
      <c r="B349" s="5" t="inlineStr">
        <is>
          <t>6周</t>
        </is>
      </c>
      <c r="C349" s="5" t="inlineStr">
        <is>
          <t>抖音</t>
        </is>
      </c>
      <c r="D349" s="5" t="n"/>
      <c r="E349" s="5" t="n"/>
      <c r="F349" s="5" t="inlineStr">
        <is>
          <t>https://v.douyin.com/NjI77Z3QY9U/</t>
        </is>
      </c>
      <c r="G349" s="5" t="inlineStr">
        <is>
          <t>495</t>
        </is>
      </c>
      <c r="H349" s="5" t="inlineStr">
        <is>
          <t>穿搭</t>
        </is>
      </c>
      <c r="I349" s="5" t="n"/>
      <c r="J349" s="5" t="n"/>
      <c r="K349" s="5" t="n">
        <v>93</v>
      </c>
      <c r="L349" s="5" t="n">
        <v>4020</v>
      </c>
      <c r="M349" s="5" t="n">
        <v>255</v>
      </c>
      <c r="N349" s="5" t="n">
        <v>14</v>
      </c>
      <c r="O349" s="5" t="n">
        <v>26</v>
      </c>
      <c r="P349" s="8">
        <f>IF(AND(M349&lt;&gt;"",M349&gt;0),M349+N349+O349,"")</f>
        <v/>
      </c>
      <c r="Q349" s="11">
        <f>IF(AND(L349&lt;&gt;"",L349&gt;0,P349&lt;&gt;""),P349/L349,"")</f>
        <v/>
      </c>
      <c r="R349" s="16">
        <f>IF(AND(P349&lt;&gt;"",P349&gt;0),(I349+J349+K349)/P349,"")</f>
        <v/>
      </c>
    </row>
    <row r="350" ht="27" customHeight="1">
      <c r="A350" s="5" t="inlineStr">
        <is>
          <t>2026-02-06</t>
        </is>
      </c>
      <c r="B350" s="5" t="inlineStr">
        <is>
          <t>6周</t>
        </is>
      </c>
      <c r="C350" s="5" t="inlineStr">
        <is>
          <t>抖音</t>
        </is>
      </c>
      <c r="D350" s="5" t="n"/>
      <c r="E350" s="5" t="n"/>
      <c r="F350" s="5" t="inlineStr">
        <is>
          <t>https://v.douyin.com/i5WgWMMHcFM/</t>
        </is>
      </c>
      <c r="G350" s="5" t="inlineStr">
        <is>
          <t>0002A1</t>
        </is>
      </c>
      <c r="H350" s="5" t="inlineStr">
        <is>
          <t>穿搭</t>
        </is>
      </c>
      <c r="I350" s="5" t="n"/>
      <c r="J350" s="5" t="n"/>
      <c r="K350" s="5" t="n">
        <v>110.5</v>
      </c>
      <c r="L350" s="5" t="n">
        <v>8602</v>
      </c>
      <c r="M350" s="5" t="n">
        <v>611</v>
      </c>
      <c r="N350" s="5" t="n">
        <v>22</v>
      </c>
      <c r="O350" s="5" t="n">
        <v>17</v>
      </c>
      <c r="P350" s="8">
        <f>IF(AND(M350&lt;&gt;"",M350&gt;0),M350+N350+O350,"")</f>
        <v/>
      </c>
      <c r="Q350" s="11">
        <f>IF(AND(L350&lt;&gt;"",L350&gt;0,P350&lt;&gt;""),P350/L350,"")</f>
        <v/>
      </c>
      <c r="R350" s="16">
        <f>IF(AND(P350&lt;&gt;"",P350&gt;0),(I350+J350+K350)/P350,"")</f>
        <v/>
      </c>
    </row>
    <row r="351" ht="94.5" customHeight="1">
      <c r="A351" s="5" t="inlineStr">
        <is>
          <t>2026-02-06</t>
        </is>
      </c>
      <c r="B351" s="5" t="inlineStr">
        <is>
          <t>6周</t>
        </is>
      </c>
      <c r="C351" s="5" t="inlineStr">
        <is>
          <t>小红书</t>
        </is>
      </c>
      <c r="D351" s="5" t="n"/>
      <c r="E351" s="5" t="n"/>
      <c r="F351" s="5" t="inlineStr">
        <is>
          <t>https://www.xiaohongshu.com/discovery/item/69858fce000000001a0248df?xsec_token=CBYNS83IjV3SmY-UNfqtc479cPff4tOl4L2imyKeIkL1I=&amp;xsec_source=app_share&amp;type=video</t>
        </is>
      </c>
      <c r="G351" s="5" t="inlineStr">
        <is>
          <t>001A1</t>
        </is>
      </c>
      <c r="H351" s="5" t="inlineStr">
        <is>
          <t>赵一博</t>
        </is>
      </c>
      <c r="I351" s="5" t="n"/>
      <c r="J351" s="5" t="n"/>
      <c r="K351" s="5" t="n">
        <v>107.5</v>
      </c>
      <c r="L351" s="5" t="n">
        <v>2864</v>
      </c>
      <c r="M351" s="5" t="n">
        <v>182</v>
      </c>
      <c r="N351" s="5" t="n">
        <v>11</v>
      </c>
      <c r="O351" s="5" t="n">
        <v>23</v>
      </c>
      <c r="P351" s="8">
        <f>IF(AND(M351&lt;&gt;"",M351&gt;0),M351+N351+O351,"")</f>
        <v/>
      </c>
      <c r="Q351" s="11">
        <f>IF(AND(L351&lt;&gt;"",L351&gt;0,P351&lt;&gt;""),P351/L351,"")</f>
        <v/>
      </c>
      <c r="R351" s="16">
        <f>IF(AND(P351&lt;&gt;"",P351&gt;0),(I351+J351+K351)/P351,"")</f>
        <v/>
      </c>
    </row>
    <row r="352" ht="81" customHeight="1">
      <c r="A352" s="5" t="inlineStr">
        <is>
          <t>2026-02-06</t>
        </is>
      </c>
      <c r="B352" s="5" t="inlineStr">
        <is>
          <t>6周</t>
        </is>
      </c>
      <c r="C352" s="5" t="inlineStr">
        <is>
          <t>小红书</t>
        </is>
      </c>
      <c r="D352" s="5" t="n"/>
      <c r="E352" s="5" t="n"/>
      <c r="F352" s="5" t="inlineStr">
        <is>
          <t>https://www.xiaohongshu.com/discovery/item/6985b1f5000000000c035c7f?xsec_token=CBRZEwAWik8GWJZ3D0BT3tWk_pMaComrsoy4H-aquYWbM=&amp;xsec_source=app_share&amp;type=video</t>
        </is>
      </c>
      <c r="G352" s="5" t="inlineStr">
        <is>
          <t>0002A1</t>
        </is>
      </c>
      <c r="H352" s="5" t="inlineStr">
        <is>
          <t>刘耀文</t>
        </is>
      </c>
      <c r="I352" s="5" t="n"/>
      <c r="J352" s="5" t="n"/>
      <c r="K352" s="5" t="n">
        <v>110.5</v>
      </c>
      <c r="L352" s="5" t="n">
        <v>284</v>
      </c>
      <c r="M352" s="5" t="n">
        <v>27</v>
      </c>
      <c r="N352" s="5" t="n">
        <v>1</v>
      </c>
      <c r="O352" s="5" t="n">
        <v>0</v>
      </c>
      <c r="P352" s="8">
        <f>IF(AND(M352&lt;&gt;"",M352&gt;0),M352+N352+O352,"")</f>
        <v/>
      </c>
      <c r="Q352" s="11">
        <f>IF(AND(L352&lt;&gt;"",L352&gt;0,P352&lt;&gt;""),P352/L352,"")</f>
        <v/>
      </c>
      <c r="R352" s="16">
        <f>IF(AND(P352&lt;&gt;"",P352&gt;0),(I352+J352+K352)/P352,"")</f>
        <v/>
      </c>
    </row>
    <row r="353" ht="81" customHeight="1">
      <c r="A353" s="5" t="inlineStr">
        <is>
          <t>2026-02-06</t>
        </is>
      </c>
      <c r="B353" s="5" t="inlineStr">
        <is>
          <t>6周</t>
        </is>
      </c>
      <c r="C353" s="5" t="inlineStr">
        <is>
          <t>小红书</t>
        </is>
      </c>
      <c r="D353" s="5" t="n"/>
      <c r="E353" s="5" t="n"/>
      <c r="F353" s="5" t="inlineStr">
        <is>
          <t>https://www.xiaohongshu.com/discovery/item/6985d046000000001a02c36d?xsec_token=CBuLikBtQdkuT2RdRzwDiPp0O-RGfCou9Le4XfKNdvhLQ=&amp;xsec_source=app_share&amp;type=video</t>
        </is>
      </c>
      <c r="G353" s="5" t="inlineStr">
        <is>
          <t>0002A1</t>
        </is>
      </c>
      <c r="H353" s="5" t="inlineStr">
        <is>
          <t>穿搭</t>
        </is>
      </c>
      <c r="I353" s="5" t="n"/>
      <c r="J353" s="5" t="n"/>
      <c r="K353" s="5" t="n">
        <v>110.5</v>
      </c>
      <c r="L353" s="5" t="n">
        <v>409</v>
      </c>
      <c r="M353" s="5" t="n">
        <v>26</v>
      </c>
      <c r="N353" s="5" t="n">
        <v>6</v>
      </c>
      <c r="O353" s="5" t="n">
        <v>2</v>
      </c>
      <c r="P353" s="8">
        <f>IF(AND(M353&lt;&gt;"",M353&gt;0),M353+N353+O353,"")</f>
        <v/>
      </c>
      <c r="Q353" s="11">
        <f>IF(AND(L353&lt;&gt;"",L353&gt;0,P353&lt;&gt;""),P353/L353,"")</f>
        <v/>
      </c>
      <c r="R353" s="16">
        <f>IF(AND(P353&lt;&gt;"",P353&gt;0),(I353+J353+K353)/P353,"")</f>
        <v/>
      </c>
    </row>
    <row r="354" ht="81" customHeight="1">
      <c r="A354" s="5" t="inlineStr">
        <is>
          <t>2026-02-06</t>
        </is>
      </c>
      <c r="B354" s="5" t="inlineStr">
        <is>
          <t>6周</t>
        </is>
      </c>
      <c r="C354" s="5" t="inlineStr">
        <is>
          <t>小红书</t>
        </is>
      </c>
      <c r="D354" s="5" t="n"/>
      <c r="E354" s="5" t="n"/>
      <c r="F354" s="5" t="inlineStr">
        <is>
          <t>https://www.xiaohongshu.com/discovery/item/6985ee88000000000a02f874?xsec_token=CBeJrla7ThWAW9btICy95WCeA-XN188O8cGiSOoZZYLk0=&amp;xsec_source=app_share&amp;type=video</t>
        </is>
      </c>
      <c r="G354" s="5" t="inlineStr">
        <is>
          <t>0002A1</t>
        </is>
      </c>
      <c r="H354" s="5" t="inlineStr">
        <is>
          <t>口播</t>
        </is>
      </c>
      <c r="I354" s="5" t="n">
        <v>200</v>
      </c>
      <c r="J354" s="5" t="n"/>
      <c r="K354" s="5" t="n">
        <v>110.5</v>
      </c>
      <c r="L354" s="5" t="n">
        <v>63536</v>
      </c>
      <c r="M354" s="5" t="n">
        <v>3705</v>
      </c>
      <c r="N354" s="5" t="n">
        <v>2008</v>
      </c>
      <c r="O354" s="5" t="n">
        <v>136</v>
      </c>
      <c r="P354" s="8">
        <f>IF(AND(M354&lt;&gt;"",M354&gt;0),M354+N354+O354,"")</f>
        <v/>
      </c>
      <c r="Q354" s="11">
        <f>IF(AND(L354&lt;&gt;"",L354&gt;0,P354&lt;&gt;""),P354/L354,"")</f>
        <v/>
      </c>
      <c r="R354" s="16">
        <f>IF(AND(P354&lt;&gt;"",P354&gt;0),(I354+J354+K354)/P354,"")</f>
        <v/>
      </c>
    </row>
    <row r="355" ht="67.5" customHeight="1">
      <c r="A355" s="5" t="inlineStr">
        <is>
          <t>2026-02-06</t>
        </is>
      </c>
      <c r="B355" s="5" t="inlineStr">
        <is>
          <t>6周</t>
        </is>
      </c>
      <c r="C355" s="5" t="inlineStr">
        <is>
          <t>小红书</t>
        </is>
      </c>
      <c r="D355" s="5" t="n"/>
      <c r="E355" s="5" t="n"/>
      <c r="F355" s="5" t="inlineStr">
        <is>
          <t>https://www.xiaohongshu.com/discovery/item/6985f5ad000000000e00edbd?xsec_token=CBiNEgUnIFlYHYNB6bE1z9jlOyCsUyP5evViX1uwXSk7U=&amp;xsec_source=app_share</t>
        </is>
      </c>
      <c r="G355" s="5" t="inlineStr">
        <is>
          <t>0002A1</t>
        </is>
      </c>
      <c r="H355" s="5" t="inlineStr">
        <is>
          <t>刘耀文</t>
        </is>
      </c>
      <c r="I355" s="5" t="n"/>
      <c r="J355" s="5" t="n"/>
      <c r="K355" s="5" t="n">
        <v>110.5</v>
      </c>
      <c r="L355" s="5" t="n">
        <v>1074</v>
      </c>
      <c r="M355" s="5" t="n">
        <v>93</v>
      </c>
      <c r="N355" s="5" t="n">
        <v>10</v>
      </c>
      <c r="O355" s="5" t="n">
        <v>2</v>
      </c>
      <c r="P355" s="8">
        <f>IF(AND(M355&lt;&gt;"",M355&gt;0),M355+N355+O355,"")</f>
        <v/>
      </c>
      <c r="Q355" s="11">
        <f>IF(AND(L355&lt;&gt;"",L355&gt;0,P355&lt;&gt;""),P355/L355,"")</f>
        <v/>
      </c>
      <c r="R355" s="16">
        <f>IF(AND(P355&lt;&gt;"",P355&gt;0),(I355+J355+K355)/P355,"")</f>
        <v/>
      </c>
    </row>
    <row r="356" ht="81" customHeight="1">
      <c r="A356" s="5" t="inlineStr">
        <is>
          <t>2026-02-06</t>
        </is>
      </c>
      <c r="B356" s="5" t="inlineStr">
        <is>
          <t>6周</t>
        </is>
      </c>
      <c r="C356" s="5" t="inlineStr">
        <is>
          <t>小红书</t>
        </is>
      </c>
      <c r="D356" s="5" t="n"/>
      <c r="E356" s="5" t="n"/>
      <c r="F356" s="5" t="inlineStr">
        <is>
          <t>https://www.xiaohongshu.com/discovery/item/6985fa8e000000000a03df19?xsec_token=CB-Z_9xntfdC3F2MXzgzh2MdLMcVZ60RqpGahzMoqjQk0=&amp;xsec_source=app_share&amp;type=video</t>
        </is>
      </c>
      <c r="G356" s="5" t="inlineStr">
        <is>
          <t>495</t>
        </is>
      </c>
      <c r="H356" s="5" t="inlineStr">
        <is>
          <t>口播</t>
        </is>
      </c>
      <c r="I356" s="5" t="n"/>
      <c r="J356" s="5" t="n"/>
      <c r="K356" s="5" t="n">
        <v>93</v>
      </c>
      <c r="L356" s="5" t="n">
        <v>1058</v>
      </c>
      <c r="M356" s="5" t="n">
        <v>52</v>
      </c>
      <c r="N356" s="5" t="n">
        <v>21</v>
      </c>
      <c r="O356" s="5" t="n">
        <v>11</v>
      </c>
      <c r="P356" s="8">
        <f>IF(AND(M356&lt;&gt;"",M356&gt;0),M356+N356+O356,"")</f>
        <v/>
      </c>
      <c r="Q356" s="11">
        <f>IF(AND(L356&lt;&gt;"",L356&gt;0,P356&lt;&gt;""),P356/L356,"")</f>
        <v/>
      </c>
      <c r="R356" s="16">
        <f>IF(AND(P356&lt;&gt;"",P356&gt;0),(I356+J356+K356)/P356,"")</f>
        <v/>
      </c>
    </row>
    <row r="357" ht="27" customHeight="1">
      <c r="A357" s="5" t="inlineStr">
        <is>
          <t>2026-02-07</t>
        </is>
      </c>
      <c r="B357" s="5" t="inlineStr">
        <is>
          <t>6周</t>
        </is>
      </c>
      <c r="C357" s="5" t="inlineStr">
        <is>
          <t>抖音</t>
        </is>
      </c>
      <c r="D357" s="5" t="n"/>
      <c r="E357" s="5" t="n"/>
      <c r="F357" s="5" t="inlineStr">
        <is>
          <t>https://v.douyin.com/Eew1JwmcFbo/</t>
        </is>
      </c>
      <c r="G357" s="5" t="inlineStr">
        <is>
          <t>1217W</t>
        </is>
      </c>
      <c r="H357" s="5" t="inlineStr">
        <is>
          <t>学生</t>
        </is>
      </c>
      <c r="I357" s="5" t="n"/>
      <c r="J357" s="5" t="n"/>
      <c r="K357" s="5" t="n">
        <v>54</v>
      </c>
      <c r="L357" s="5" t="n">
        <v>360000</v>
      </c>
      <c r="M357" s="5" t="n">
        <v>42000</v>
      </c>
      <c r="N357" s="5" t="n">
        <v>5599</v>
      </c>
      <c r="O357" s="5" t="n">
        <v>360</v>
      </c>
      <c r="P357" s="8">
        <f>IF(AND(M357&lt;&gt;"",M357&gt;0),M357+N357+O357,"")</f>
        <v/>
      </c>
      <c r="Q357" s="11">
        <f>IF(AND(L357&lt;&gt;"",L357&gt;0,P357&lt;&gt;""),P357/L357,"")</f>
        <v/>
      </c>
      <c r="R357" s="16">
        <f>IF(AND(P357&lt;&gt;"",P357&gt;0),(I357+J357+K357)/P357,"")</f>
        <v/>
      </c>
    </row>
    <row r="358" ht="27" customHeight="1">
      <c r="A358" s="5" t="inlineStr">
        <is>
          <t>2026-02-07</t>
        </is>
      </c>
      <c r="B358" s="5" t="inlineStr">
        <is>
          <t>6周</t>
        </is>
      </c>
      <c r="C358" s="5" t="inlineStr">
        <is>
          <t>抖音</t>
        </is>
      </c>
      <c r="D358" s="5" t="n"/>
      <c r="E358" s="5" t="n"/>
      <c r="F358" s="5" t="inlineStr">
        <is>
          <t>https://v.douyin.com/aunumtC5l1w/</t>
        </is>
      </c>
      <c r="G358" s="5" t="inlineStr">
        <is>
          <t>001A1</t>
        </is>
      </c>
      <c r="H358" s="5" t="inlineStr">
        <is>
          <t>文严文</t>
        </is>
      </c>
      <c r="I358" s="5" t="n"/>
      <c r="J358" s="5" t="n"/>
      <c r="K358" s="5" t="n">
        <v>107.5</v>
      </c>
      <c r="L358" s="5" t="n">
        <v>1644</v>
      </c>
      <c r="M358" s="5" t="n">
        <v>54</v>
      </c>
      <c r="N358" s="5" t="n">
        <v>3</v>
      </c>
      <c r="O358" s="5" t="n">
        <v>3</v>
      </c>
      <c r="P358" s="8">
        <f>IF(AND(M358&lt;&gt;"",M358&gt;0),M358+N358+O358,"")</f>
        <v/>
      </c>
      <c r="Q358" s="11">
        <f>IF(AND(L358&lt;&gt;"",L358&gt;0,P358&lt;&gt;""),P358/L358,"")</f>
        <v/>
      </c>
      <c r="R358" s="16">
        <f>IF(AND(P358&lt;&gt;"",P358&gt;0),(I358+J358+K358)/P358,"")</f>
        <v/>
      </c>
    </row>
    <row r="359" ht="27" customHeight="1">
      <c r="A359" s="5" t="inlineStr">
        <is>
          <t>2026-02-07</t>
        </is>
      </c>
      <c r="B359" s="5" t="inlineStr">
        <is>
          <t>6周</t>
        </is>
      </c>
      <c r="C359" s="5" t="inlineStr">
        <is>
          <t>抖音</t>
        </is>
      </c>
      <c r="D359" s="5" t="n"/>
      <c r="E359" s="5" t="n"/>
      <c r="F359" s="5" t="inlineStr">
        <is>
          <t>https://v.douyin.com/OpTBsi8LVbk/</t>
        </is>
      </c>
      <c r="G359" s="5" t="inlineStr">
        <is>
          <t>0002A1</t>
        </is>
      </c>
      <c r="H359" s="5" t="inlineStr">
        <is>
          <t>刘耀文</t>
        </is>
      </c>
      <c r="I359" s="5" t="n"/>
      <c r="J359" s="5" t="n"/>
      <c r="K359" s="5" t="n">
        <v>110.5</v>
      </c>
      <c r="L359" s="5" t="n">
        <v>2561</v>
      </c>
      <c r="M359" s="5" t="n">
        <v>589</v>
      </c>
      <c r="N359" s="5" t="n">
        <v>15</v>
      </c>
      <c r="O359" s="5" t="n">
        <v>101</v>
      </c>
      <c r="P359" s="8">
        <f>IF(AND(M359&lt;&gt;"",M359&gt;0),M359+N359+O359,"")</f>
        <v/>
      </c>
      <c r="Q359" s="11">
        <f>IF(AND(L359&lt;&gt;"",L359&gt;0,P359&lt;&gt;""),P359/L359,"")</f>
        <v/>
      </c>
      <c r="R359" s="16">
        <f>IF(AND(P359&lt;&gt;"",P359&gt;0),(I359+J359+K359)/P359,"")</f>
        <v/>
      </c>
    </row>
    <row r="360" ht="27" customHeight="1">
      <c r="A360" s="5" t="inlineStr">
        <is>
          <t>2026-02-07</t>
        </is>
      </c>
      <c r="B360" s="5" t="inlineStr">
        <is>
          <t>6周</t>
        </is>
      </c>
      <c r="C360" s="5" t="inlineStr">
        <is>
          <t>抖音</t>
        </is>
      </c>
      <c r="D360" s="5" t="n"/>
      <c r="E360" s="5" t="n"/>
      <c r="F360" s="5" t="inlineStr">
        <is>
          <t>https://v.douyin.com/a2EaM7QE69o/</t>
        </is>
      </c>
      <c r="G360" s="5" t="inlineStr">
        <is>
          <t>0002A1</t>
        </is>
      </c>
      <c r="H360" s="5" t="inlineStr">
        <is>
          <t>穿搭</t>
        </is>
      </c>
      <c r="I360" s="5" t="n"/>
      <c r="J360" s="5" t="n"/>
      <c r="K360" s="5" t="n">
        <v>110.5</v>
      </c>
      <c r="L360" s="5" t="n">
        <v>17000</v>
      </c>
      <c r="M360" s="5" t="n">
        <v>316</v>
      </c>
      <c r="N360" s="5" t="n">
        <v>227</v>
      </c>
      <c r="O360" s="5" t="n">
        <v>17</v>
      </c>
      <c r="P360" s="8">
        <f>IF(AND(M360&lt;&gt;"",M360&gt;0),M360+N360+O360,"")</f>
        <v/>
      </c>
      <c r="Q360" s="11">
        <f>IF(AND(L360&lt;&gt;"",L360&gt;0,P360&lt;&gt;""),P360/L360,"")</f>
        <v/>
      </c>
      <c r="R360" s="16">
        <f>IF(AND(P360&lt;&gt;"",P360&gt;0),(I360+J360+K360)/P360,"")</f>
        <v/>
      </c>
    </row>
    <row r="361" ht="27" customHeight="1">
      <c r="A361" s="5" t="inlineStr">
        <is>
          <t>2026-02-07</t>
        </is>
      </c>
      <c r="B361" s="5" t="inlineStr">
        <is>
          <t>6周</t>
        </is>
      </c>
      <c r="C361" s="5" t="inlineStr">
        <is>
          <t>抖音</t>
        </is>
      </c>
      <c r="D361" s="5" t="n"/>
      <c r="E361" s="5" t="n"/>
      <c r="F361" s="5" t="inlineStr">
        <is>
          <t>https://v.douyin.com/AXz_DvH7Ph4/</t>
        </is>
      </c>
      <c r="G361" s="5" t="inlineStr">
        <is>
          <t>1172W</t>
        </is>
      </c>
      <c r="H361" s="5" t="inlineStr">
        <is>
          <t>学生</t>
        </is>
      </c>
      <c r="I361" s="5" t="n">
        <v>50</v>
      </c>
      <c r="J361" s="5" t="n"/>
      <c r="K361" s="5" t="n">
        <v>57.5</v>
      </c>
      <c r="L361" s="5" t="n">
        <v>12000</v>
      </c>
      <c r="M361" s="5" t="n">
        <v>969</v>
      </c>
      <c r="N361" s="5" t="n">
        <v>40</v>
      </c>
      <c r="O361" s="5" t="n">
        <v>19</v>
      </c>
      <c r="P361" s="8">
        <f>IF(AND(M361&lt;&gt;"",M361&gt;0),M361+N361+O361,"")</f>
        <v/>
      </c>
      <c r="Q361" s="11">
        <f>IF(AND(L361&lt;&gt;"",L361&gt;0,P361&lt;&gt;""),P361/L361,"")</f>
        <v/>
      </c>
      <c r="R361" s="16">
        <f>IF(AND(P361&lt;&gt;"",P361&gt;0),(I361+J361+K361)/P361,"")</f>
        <v/>
      </c>
    </row>
    <row r="362" ht="27" customHeight="1">
      <c r="A362" s="5" t="inlineStr">
        <is>
          <t>2026-02-07</t>
        </is>
      </c>
      <c r="B362" s="5" t="inlineStr">
        <is>
          <t>6周</t>
        </is>
      </c>
      <c r="C362" s="5" t="inlineStr">
        <is>
          <t>抖音</t>
        </is>
      </c>
      <c r="D362" s="5" t="n"/>
      <c r="E362" s="5" t="n"/>
      <c r="F362" s="5" t="inlineStr">
        <is>
          <t>https://v.douyin.com/h2yv_7Y_1O0/</t>
        </is>
      </c>
      <c r="G362" s="5" t="inlineStr">
        <is>
          <t>0002A1</t>
        </is>
      </c>
      <c r="H362" s="5" t="inlineStr">
        <is>
          <t>刘耀文</t>
        </is>
      </c>
      <c r="I362" s="5" t="n"/>
      <c r="J362" s="5" t="n"/>
      <c r="K362" s="5" t="n">
        <v>110.5</v>
      </c>
      <c r="L362" s="5" t="n">
        <v>1776</v>
      </c>
      <c r="M362" s="5" t="n">
        <v>97</v>
      </c>
      <c r="N362" s="5" t="n">
        <v>1</v>
      </c>
      <c r="O362" s="5" t="n">
        <v>8</v>
      </c>
      <c r="P362" s="8">
        <f>IF(AND(M362&lt;&gt;"",M362&gt;0),M362+N362+O362,"")</f>
        <v/>
      </c>
      <c r="Q362" s="11">
        <f>IF(AND(L362&lt;&gt;"",L362&gt;0,P362&lt;&gt;""),P362/L362,"")</f>
        <v/>
      </c>
      <c r="R362" s="16">
        <f>IF(AND(P362&lt;&gt;"",P362&gt;0),(I362+J362+K362)/P362,"")</f>
        <v/>
      </c>
    </row>
    <row r="363" ht="27" customHeight="1">
      <c r="A363" s="5" t="inlineStr">
        <is>
          <t>2026-02-07</t>
        </is>
      </c>
      <c r="B363" s="5" t="inlineStr">
        <is>
          <t>6周</t>
        </is>
      </c>
      <c r="C363" s="5" t="inlineStr">
        <is>
          <t>抖音</t>
        </is>
      </c>
      <c r="D363" s="5" t="n"/>
      <c r="E363" s="5" t="n"/>
      <c r="F363" s="5" t="inlineStr">
        <is>
          <t>https://v.douyin.com/QRXy0Le24aY/</t>
        </is>
      </c>
      <c r="G363" s="5" t="inlineStr">
        <is>
          <t>0002A1</t>
        </is>
      </c>
      <c r="H363" s="5" t="inlineStr">
        <is>
          <t>穿搭</t>
        </is>
      </c>
      <c r="I363" s="5" t="n">
        <v>180</v>
      </c>
      <c r="J363" s="5" t="n"/>
      <c r="K363" s="5" t="n">
        <v>110.5</v>
      </c>
      <c r="L363" s="5" t="n">
        <v>7619</v>
      </c>
      <c r="M363" s="5" t="n">
        <v>333</v>
      </c>
      <c r="N363" s="5" t="n">
        <v>30</v>
      </c>
      <c r="O363" s="5" t="n">
        <v>7</v>
      </c>
      <c r="P363" s="8">
        <f>IF(AND(M363&lt;&gt;"",M363&gt;0),M363+N363+O363,"")</f>
        <v/>
      </c>
      <c r="Q363" s="11">
        <f>IF(AND(L363&lt;&gt;"",L363&gt;0,P363&lt;&gt;""),P363/L363,"")</f>
        <v/>
      </c>
      <c r="R363" s="16">
        <f>IF(AND(P363&lt;&gt;"",P363&gt;0),(I363+J363+K363)/P363,"")</f>
        <v/>
      </c>
    </row>
    <row r="364" ht="27" customHeight="1">
      <c r="A364" s="5" t="inlineStr">
        <is>
          <t>2026-02-07</t>
        </is>
      </c>
      <c r="B364" s="5" t="inlineStr">
        <is>
          <t>6周</t>
        </is>
      </c>
      <c r="C364" s="5" t="inlineStr">
        <is>
          <t>抖音</t>
        </is>
      </c>
      <c r="D364" s="5" t="n"/>
      <c r="E364" s="5" t="n"/>
      <c r="F364" s="5" t="inlineStr">
        <is>
          <t>https://v.douyin.com/bFq381KXsDc/</t>
        </is>
      </c>
      <c r="G364" s="5" t="inlineStr">
        <is>
          <t>1225</t>
        </is>
      </c>
      <c r="H364" s="5" t="inlineStr">
        <is>
          <t>学生</t>
        </is>
      </c>
      <c r="I364" s="5" t="n"/>
      <c r="J364" s="5" t="n"/>
      <c r="K364" s="5" t="n">
        <v>55.5</v>
      </c>
      <c r="L364" s="5" t="n">
        <v>23000</v>
      </c>
      <c r="M364" s="5" t="n">
        <v>1356</v>
      </c>
      <c r="N364" s="5" t="n">
        <v>133</v>
      </c>
      <c r="O364" s="5" t="n">
        <v>18</v>
      </c>
      <c r="P364" s="8">
        <f>IF(AND(M364&lt;&gt;"",M364&gt;0),M364+N364+O364,"")</f>
        <v/>
      </c>
      <c r="Q364" s="11">
        <f>IF(AND(L364&lt;&gt;"",L364&gt;0,P364&lt;&gt;""),P364/L364,"")</f>
        <v/>
      </c>
      <c r="R364" s="16">
        <f>IF(AND(P364&lt;&gt;"",P364&gt;0),(I364+J364+K364)/P364,"")</f>
        <v/>
      </c>
    </row>
    <row r="365" ht="27" customHeight="1">
      <c r="A365" s="5" t="inlineStr">
        <is>
          <t>2026-02-07</t>
        </is>
      </c>
      <c r="B365" s="5" t="inlineStr">
        <is>
          <t>6周</t>
        </is>
      </c>
      <c r="C365" s="5" t="inlineStr">
        <is>
          <t>抖音</t>
        </is>
      </c>
      <c r="D365" s="5" t="n"/>
      <c r="E365" s="5" t="n"/>
      <c r="F365" s="5" t="inlineStr">
        <is>
          <t>https://v.douyin.com/Bz7ERQabp0A/</t>
        </is>
      </c>
      <c r="G365" s="5" t="inlineStr">
        <is>
          <t>1225</t>
        </is>
      </c>
      <c r="H365" s="5" t="inlineStr">
        <is>
          <t>学生</t>
        </is>
      </c>
      <c r="I365" s="5" t="n">
        <v>100</v>
      </c>
      <c r="J365" s="5" t="n"/>
      <c r="K365" s="5" t="n">
        <v>55.5</v>
      </c>
      <c r="L365" s="5" t="n">
        <v>2970</v>
      </c>
      <c r="M365" s="5" t="n">
        <v>294</v>
      </c>
      <c r="N365" s="5" t="n">
        <v>12</v>
      </c>
      <c r="O365" s="5" t="n">
        <v>34</v>
      </c>
      <c r="P365" s="8">
        <f>IF(AND(M365&lt;&gt;"",M365&gt;0),M365+N365+O365,"")</f>
        <v/>
      </c>
      <c r="Q365" s="11">
        <f>IF(AND(L365&lt;&gt;"",L365&gt;0,P365&lt;&gt;""),P365/L365,"")</f>
        <v/>
      </c>
      <c r="R365" s="16">
        <f>IF(AND(P365&lt;&gt;"",P365&gt;0),(I365+J365+K365)/P365,"")</f>
        <v/>
      </c>
    </row>
    <row r="366" ht="81" customHeight="1">
      <c r="A366" s="5" t="inlineStr">
        <is>
          <t>2026-02-07</t>
        </is>
      </c>
      <c r="B366" s="5" t="inlineStr">
        <is>
          <t>6周</t>
        </is>
      </c>
      <c r="C366" s="5" t="inlineStr">
        <is>
          <t>小红书</t>
        </is>
      </c>
      <c r="D366" s="5" t="n"/>
      <c r="E366" s="5" t="n"/>
      <c r="F366" s="5" t="inlineStr">
        <is>
          <t>https://www.xiaohongshu.com/discovery/item/6986c28e000000000b01058f?xsec_token=CBzM3fvl3aSlfokOCEGnRVnxFS3dibqguIRzCDWke_dng=&amp;xsec_source=app_share&amp;type=video</t>
        </is>
      </c>
      <c r="G366" s="5" t="inlineStr">
        <is>
          <t>1217W</t>
        </is>
      </c>
      <c r="H366" s="5" t="inlineStr">
        <is>
          <t>学生</t>
        </is>
      </c>
      <c r="I366" s="5" t="n"/>
      <c r="J366" s="5" t="n"/>
      <c r="K366" s="5" t="n">
        <v>54</v>
      </c>
      <c r="L366" s="5" t="n">
        <v>2390</v>
      </c>
      <c r="M366" s="5" t="n">
        <v>125</v>
      </c>
      <c r="N366" s="5" t="n">
        <v>16</v>
      </c>
      <c r="O366" s="5" t="n">
        <v>34</v>
      </c>
      <c r="P366" s="8">
        <f>IF(AND(M366&lt;&gt;"",M366&gt;0),M366+N366+O366,"")</f>
        <v/>
      </c>
      <c r="Q366" s="11">
        <f>IF(AND(L366&lt;&gt;"",L366&gt;0,P366&lt;&gt;""),P366/L366,"")</f>
        <v/>
      </c>
      <c r="R366" s="16">
        <f>IF(AND(P366&lt;&gt;"",P366&gt;0),(I366+J366+K366)/P366,"")</f>
        <v/>
      </c>
    </row>
    <row r="367" ht="67.5" customHeight="1">
      <c r="A367" s="5" t="inlineStr">
        <is>
          <t>2026-02-07</t>
        </is>
      </c>
      <c r="B367" s="5" t="inlineStr">
        <is>
          <t>6周</t>
        </is>
      </c>
      <c r="C367" s="5" t="inlineStr">
        <is>
          <t>小红书</t>
        </is>
      </c>
      <c r="D367" s="5" t="n"/>
      <c r="E367" s="5" t="n"/>
      <c r="F367" s="5" t="inlineStr">
        <is>
          <t>https://www.xiaohongshu.com/discovery/item/69875873000000000c037a20?xsec_token=CBbFgNtja3k4yXJ-fTfe0OqtXSYkRBJENzFPi-NjpqKR8=&amp;xsec_source=app_share</t>
        </is>
      </c>
      <c r="G367" s="5" t="inlineStr">
        <is>
          <t>1172W</t>
        </is>
      </c>
      <c r="H367" s="5" t="inlineStr">
        <is>
          <t>学生</t>
        </is>
      </c>
      <c r="I367" s="5" t="n"/>
      <c r="J367" s="5" t="n"/>
      <c r="K367" s="5" t="n">
        <v>57.5</v>
      </c>
      <c r="L367" s="5" t="n">
        <v>11068</v>
      </c>
      <c r="M367" s="5" t="n">
        <v>975</v>
      </c>
      <c r="N367" s="5" t="n">
        <v>46</v>
      </c>
      <c r="O367" s="5" t="n">
        <v>64</v>
      </c>
      <c r="P367" s="8">
        <f>IF(AND(M367&lt;&gt;"",M367&gt;0),M367+N367+O367,"")</f>
        <v/>
      </c>
      <c r="Q367" s="11">
        <f>IF(AND(L367&lt;&gt;"",L367&gt;0,P367&lt;&gt;""),P367/L367,"")</f>
        <v/>
      </c>
      <c r="R367" s="16">
        <f>IF(AND(P367&lt;&gt;"",P367&gt;0),(I367+J367+K367)/P367,"")</f>
        <v/>
      </c>
    </row>
    <row r="368" ht="81" customHeight="1">
      <c r="A368" s="5" t="inlineStr">
        <is>
          <t>2026-02-08</t>
        </is>
      </c>
      <c r="B368" s="5" t="inlineStr">
        <is>
          <t>6周</t>
        </is>
      </c>
      <c r="C368" s="5" t="inlineStr">
        <is>
          <t>抖音</t>
        </is>
      </c>
      <c r="D368" s="5" t="n"/>
      <c r="E368" s="5" t="n"/>
      <c r="F368" s="5" t="inlineStr">
        <is>
          <t>https://www.douyin.com/user/MS4wLjABAAAA2-8U6u_zrtXL4iLBjgbKx-NYT-LKTjclsN3DX2eJMZbBip-kTKQ98FZWGVIrZv3s?from_tab_name=main&amp;modal_id=7603959246082560421</t>
        </is>
      </c>
      <c r="G368" s="5" t="inlineStr">
        <is>
          <t>1217W</t>
        </is>
      </c>
      <c r="H368" s="5" t="inlineStr">
        <is>
          <t>学生</t>
        </is>
      </c>
      <c r="I368" s="5" t="n"/>
      <c r="J368" s="5" t="n"/>
      <c r="K368" s="5" t="n">
        <v>54</v>
      </c>
      <c r="L368" s="5" t="n">
        <v>8036</v>
      </c>
      <c r="M368" s="5" t="n">
        <v>323</v>
      </c>
      <c r="N368" s="5" t="n">
        <v>10</v>
      </c>
      <c r="O368" s="5" t="n">
        <v>35</v>
      </c>
      <c r="P368" s="8">
        <f>IF(AND(M368&lt;&gt;"",M368&gt;0),M368+N368+O368,"")</f>
        <v/>
      </c>
      <c r="Q368" s="11">
        <f>IF(AND(L368&lt;&gt;"",L368&gt;0,P368&lt;&gt;""),P368/L368,"")</f>
        <v/>
      </c>
      <c r="R368" s="16">
        <f>IF(AND(P368&lt;&gt;"",P368&gt;0),(I368+J368+K368)/P368,"")</f>
        <v/>
      </c>
    </row>
    <row r="369" ht="27" customHeight="1">
      <c r="A369" s="5" t="inlineStr">
        <is>
          <t>2026-02-08</t>
        </is>
      </c>
      <c r="B369" s="5" t="inlineStr">
        <is>
          <t>6周</t>
        </is>
      </c>
      <c r="C369" s="5" t="inlineStr">
        <is>
          <t>抖音</t>
        </is>
      </c>
      <c r="D369" s="5" t="n"/>
      <c r="E369" s="5" t="n"/>
      <c r="F369" s="5" t="inlineStr">
        <is>
          <t>https://v.douyin.com/qUXfRqtcuzo/</t>
        </is>
      </c>
      <c r="G369" s="5" t="inlineStr">
        <is>
          <t>495</t>
        </is>
      </c>
      <c r="H369" s="5" t="inlineStr">
        <is>
          <t>穿搭</t>
        </is>
      </c>
      <c r="I369" s="5" t="n"/>
      <c r="J369" s="5" t="n"/>
      <c r="K369" s="5" t="n">
        <v>93</v>
      </c>
      <c r="L369" s="5" t="n">
        <v>400000</v>
      </c>
      <c r="M369" s="5" t="n">
        <v>9835</v>
      </c>
      <c r="N369" s="5" t="n">
        <v>190</v>
      </c>
      <c r="O369" s="5" t="n">
        <v>114</v>
      </c>
      <c r="P369" s="8">
        <f>IF(AND(M369&lt;&gt;"",M369&gt;0),M369+N369+O369,"")</f>
        <v/>
      </c>
      <c r="Q369" s="11">
        <f>IF(AND(L369&lt;&gt;"",L369&gt;0,P369&lt;&gt;""),P369/L369,"")</f>
        <v/>
      </c>
      <c r="R369" s="16">
        <f>IF(AND(P369&lt;&gt;"",P369&gt;0),(I369+J369+K369)/P369,"")</f>
        <v/>
      </c>
    </row>
    <row r="370" ht="27" customHeight="1">
      <c r="A370" s="5" t="inlineStr">
        <is>
          <t>2026-02-08</t>
        </is>
      </c>
      <c r="B370" s="5" t="inlineStr">
        <is>
          <t>6周</t>
        </is>
      </c>
      <c r="C370" s="5" t="inlineStr">
        <is>
          <t>抖音</t>
        </is>
      </c>
      <c r="D370" s="5" t="n"/>
      <c r="E370" s="5" t="n"/>
      <c r="F370" s="5" t="inlineStr">
        <is>
          <t>https://v.douyin.com/dUJAQcDUN88/</t>
        </is>
      </c>
      <c r="G370" s="5" t="inlineStr">
        <is>
          <t>495</t>
        </is>
      </c>
      <c r="H370" s="5" t="inlineStr">
        <is>
          <t>穿搭</t>
        </is>
      </c>
      <c r="I370" s="5" t="n"/>
      <c r="J370" s="5" t="n"/>
      <c r="K370" s="5" t="n">
        <v>93</v>
      </c>
      <c r="L370" s="5" t="n">
        <v>5332</v>
      </c>
      <c r="M370" s="5" t="n">
        <v>193</v>
      </c>
      <c r="N370" s="5" t="n">
        <v>25</v>
      </c>
      <c r="O370" s="5" t="n">
        <v>50</v>
      </c>
      <c r="P370" s="8">
        <f>IF(AND(M370&lt;&gt;"",M370&gt;0),M370+N370+O370,"")</f>
        <v/>
      </c>
      <c r="Q370" s="11">
        <f>IF(AND(L370&lt;&gt;"",L370&gt;0,P370&lt;&gt;""),P370/L370,"")</f>
        <v/>
      </c>
      <c r="R370" s="16">
        <f>IF(AND(P370&lt;&gt;"",P370&gt;0),(I370+J370+K370)/P370,"")</f>
        <v/>
      </c>
    </row>
    <row r="371" ht="67.5" customHeight="1">
      <c r="A371" s="5" t="inlineStr">
        <is>
          <t>2026-02-08</t>
        </is>
      </c>
      <c r="B371" s="5" t="inlineStr">
        <is>
          <t>6周</t>
        </is>
      </c>
      <c r="C371" s="5" t="inlineStr">
        <is>
          <t>抖音</t>
        </is>
      </c>
      <c r="D371" s="5" t="n"/>
      <c r="E371" s="5" t="n"/>
      <c r="F371" s="5" t="inlineStr">
        <is>
          <t>https://www.douyin.com/user/MS4wLjABAAAAKl2Sc3NDpDRBlY4qFG9HRjBjaaD_FE5yI0wwQQDMZ_k?from_tab_name=main&amp;modal_id=7604337708211211761</t>
        </is>
      </c>
      <c r="G371" s="5" t="inlineStr">
        <is>
          <t>0002A1</t>
        </is>
      </c>
      <c r="H371" s="5" t="inlineStr">
        <is>
          <t>刘耀文</t>
        </is>
      </c>
      <c r="I371" s="5" t="n"/>
      <c r="J371" s="5" t="n"/>
      <c r="K371" s="5" t="n">
        <v>110.5</v>
      </c>
      <c r="L371" s="5" t="n">
        <v>1568</v>
      </c>
      <c r="M371" s="5" t="n">
        <v>70</v>
      </c>
      <c r="N371" s="5" t="n">
        <v>1</v>
      </c>
      <c r="O371" s="5" t="n">
        <v>10</v>
      </c>
      <c r="P371" s="8">
        <f>IF(AND(M371&lt;&gt;"",M371&gt;0),M371+N371+O371,"")</f>
        <v/>
      </c>
      <c r="Q371" s="11">
        <f>IF(AND(L371&lt;&gt;"",L371&gt;0,P371&lt;&gt;""),P371/L371,"")</f>
        <v/>
      </c>
      <c r="R371" s="16">
        <f>IF(AND(P371&lt;&gt;"",P371&gt;0),(I371+J371+K371)/P371,"")</f>
        <v/>
      </c>
    </row>
    <row r="372" ht="27" customHeight="1">
      <c r="A372" s="5" t="inlineStr">
        <is>
          <t>2026-02-08</t>
        </is>
      </c>
      <c r="B372" s="5" t="inlineStr">
        <is>
          <t>6周</t>
        </is>
      </c>
      <c r="C372" s="5" t="inlineStr">
        <is>
          <t>抖音</t>
        </is>
      </c>
      <c r="D372" s="5" t="n"/>
      <c r="E372" s="5" t="n"/>
      <c r="F372" s="5" t="inlineStr">
        <is>
          <t>https://v.douyin.com/J8g8tt9H3Wg/</t>
        </is>
      </c>
      <c r="G372" s="5" t="inlineStr">
        <is>
          <t>0002A1</t>
        </is>
      </c>
      <c r="H372" s="5" t="inlineStr">
        <is>
          <t>刘耀文</t>
        </is>
      </c>
      <c r="I372" s="5" t="n"/>
      <c r="J372" s="5" t="n"/>
      <c r="K372" s="5" t="n">
        <v>110.5</v>
      </c>
      <c r="L372" s="5" t="n">
        <v>2423</v>
      </c>
      <c r="M372" s="5" t="n">
        <v>191</v>
      </c>
      <c r="N372" s="5" t="n">
        <v>10</v>
      </c>
      <c r="O372" s="5" t="n">
        <v>12</v>
      </c>
      <c r="P372" s="8">
        <f>IF(AND(M372&lt;&gt;"",M372&gt;0),M372+N372+O372,"")</f>
        <v/>
      </c>
      <c r="Q372" s="11">
        <f>IF(AND(L372&lt;&gt;"",L372&gt;0,P372&lt;&gt;""),P372/L372,"")</f>
        <v/>
      </c>
      <c r="R372" s="16">
        <f>IF(AND(P372&lt;&gt;"",P372&gt;0),(I372+J372+K372)/P372,"")</f>
        <v/>
      </c>
    </row>
    <row r="373" ht="27" customHeight="1">
      <c r="A373" s="5" t="inlineStr">
        <is>
          <t>2026-02-08</t>
        </is>
      </c>
      <c r="B373" s="5" t="inlineStr">
        <is>
          <t>6周</t>
        </is>
      </c>
      <c r="C373" s="5" t="inlineStr">
        <is>
          <t>抖音</t>
        </is>
      </c>
      <c r="D373" s="5" t="n"/>
      <c r="E373" s="5" t="n"/>
      <c r="F373" s="5" t="inlineStr">
        <is>
          <t>https://v.douyin.com/ecIAvHGhs90/</t>
        </is>
      </c>
      <c r="G373" s="5" t="inlineStr">
        <is>
          <t>1172W</t>
        </is>
      </c>
      <c r="H373" s="5" t="inlineStr">
        <is>
          <t>学生</t>
        </is>
      </c>
      <c r="I373" s="5" t="n"/>
      <c r="J373" s="5" t="n"/>
      <c r="K373" s="5" t="n">
        <v>57.5</v>
      </c>
      <c r="L373" s="5" t="n">
        <v>85000</v>
      </c>
      <c r="M373" s="5" t="n">
        <v>3235</v>
      </c>
      <c r="N373" s="5" t="n">
        <v>271</v>
      </c>
      <c r="O373" s="5" t="n">
        <v>278</v>
      </c>
      <c r="P373" s="8">
        <f>IF(AND(M373&lt;&gt;"",M373&gt;0),M373+N373+O373,"")</f>
        <v/>
      </c>
      <c r="Q373" s="11">
        <f>IF(AND(L373&lt;&gt;"",L373&gt;0,P373&lt;&gt;""),P373/L373,"")</f>
        <v/>
      </c>
      <c r="R373" s="16">
        <f>IF(AND(P373&lt;&gt;"",P373&gt;0),(I373+J373+K373)/P373,"")</f>
        <v/>
      </c>
    </row>
    <row r="374" ht="27" customHeight="1">
      <c r="A374" s="5" t="inlineStr">
        <is>
          <t>2026-02-08</t>
        </is>
      </c>
      <c r="B374" s="5" t="inlineStr">
        <is>
          <t>6周</t>
        </is>
      </c>
      <c r="C374" s="5" t="inlineStr">
        <is>
          <t>抖音</t>
        </is>
      </c>
      <c r="D374" s="5" t="n"/>
      <c r="E374" s="5" t="n"/>
      <c r="F374" s="5" t="inlineStr">
        <is>
          <t>https://v.douyin.com/C79kHsXkKyw/</t>
        </is>
      </c>
      <c r="G374" s="5" t="inlineStr">
        <is>
          <t>495</t>
        </is>
      </c>
      <c r="H374" s="5" t="inlineStr">
        <is>
          <t>穿搭</t>
        </is>
      </c>
      <c r="I374" s="5" t="n">
        <v>150</v>
      </c>
      <c r="J374" s="5" t="n"/>
      <c r="K374" s="5" t="n">
        <v>93</v>
      </c>
      <c r="L374" s="5" t="n">
        <v>43000</v>
      </c>
      <c r="M374" s="5" t="n">
        <v>2328</v>
      </c>
      <c r="N374" s="5" t="n">
        <v>145</v>
      </c>
      <c r="O374" s="5" t="n">
        <v>63</v>
      </c>
      <c r="P374" s="8">
        <f>IF(AND(M374&lt;&gt;"",M374&gt;0),M374+N374+O374,"")</f>
        <v/>
      </c>
      <c r="Q374" s="11">
        <f>IF(AND(L374&lt;&gt;"",L374&gt;0,P374&lt;&gt;""),P374/L374,"")</f>
        <v/>
      </c>
      <c r="R374" s="16">
        <f>IF(AND(P374&lt;&gt;"",P374&gt;0),(I374+J374+K374)/P374,"")</f>
        <v/>
      </c>
    </row>
    <row r="375" ht="27" customHeight="1">
      <c r="A375" s="5" t="inlineStr">
        <is>
          <t>2026-02-08</t>
        </is>
      </c>
      <c r="B375" s="5" t="inlineStr">
        <is>
          <t>6周</t>
        </is>
      </c>
      <c r="C375" s="5" t="inlineStr">
        <is>
          <t>抖音</t>
        </is>
      </c>
      <c r="D375" s="5" t="n"/>
      <c r="E375" s="5" t="n"/>
      <c r="F375" s="5" t="inlineStr">
        <is>
          <t>https://v.douyin.com/AhXaPHYZfTQ/</t>
        </is>
      </c>
      <c r="G375" s="5" t="inlineStr">
        <is>
          <t>495</t>
        </is>
      </c>
      <c r="H375" s="5" t="inlineStr">
        <is>
          <t>穿搭</t>
        </is>
      </c>
      <c r="I375" s="5" t="n">
        <v>90</v>
      </c>
      <c r="J375" s="5" t="n"/>
      <c r="K375" s="5" t="n">
        <v>93</v>
      </c>
      <c r="L375" s="5" t="n">
        <v>7853</v>
      </c>
      <c r="M375" s="5" t="n">
        <v>812</v>
      </c>
      <c r="N375" s="5" t="n">
        <v>35</v>
      </c>
      <c r="O375" s="5" t="n">
        <v>22</v>
      </c>
      <c r="P375" s="8">
        <f>IF(AND(M375&lt;&gt;"",M375&gt;0),M375+N375+O375,"")</f>
        <v/>
      </c>
      <c r="Q375" s="11">
        <f>IF(AND(L375&lt;&gt;"",L375&gt;0,P375&lt;&gt;""),P375/L375,"")</f>
        <v/>
      </c>
      <c r="R375" s="16">
        <f>IF(AND(P375&lt;&gt;"",P375&gt;0),(I375+J375+K375)/P375,"")</f>
        <v/>
      </c>
    </row>
    <row r="376" ht="81" customHeight="1">
      <c r="A376" s="5" t="inlineStr">
        <is>
          <t>2026-02-08</t>
        </is>
      </c>
      <c r="B376" s="5" t="inlineStr">
        <is>
          <t>6周</t>
        </is>
      </c>
      <c r="C376" s="5" t="inlineStr">
        <is>
          <t>小红书</t>
        </is>
      </c>
      <c r="D376" s="5" t="n"/>
      <c r="E376" s="5" t="n"/>
      <c r="F376" s="5" t="inlineStr">
        <is>
          <t>https://www.xiaohongshu.com/discovery/item/6988866e0000000015031fc5?xsec_token=CBbcGGz91gMG9P_9WeUXlKugbwtmkRYHLwWJLaLFbMx50=&amp;xsec_source=app_share&amp;type=video</t>
        </is>
      </c>
      <c r="G376" s="5" t="inlineStr">
        <is>
          <t>495</t>
        </is>
      </c>
      <c r="H376" s="5" t="inlineStr">
        <is>
          <t>穿搭</t>
        </is>
      </c>
      <c r="I376" s="5" t="n">
        <v>100</v>
      </c>
      <c r="J376" s="5" t="n"/>
      <c r="K376" s="5" t="n">
        <v>93</v>
      </c>
      <c r="L376" s="5" t="n">
        <v>16374</v>
      </c>
      <c r="M376" s="5" t="n">
        <v>1154</v>
      </c>
      <c r="N376" s="5" t="n">
        <v>298</v>
      </c>
      <c r="O376" s="5" t="n">
        <v>41</v>
      </c>
      <c r="P376" s="8">
        <f>IF(AND(M376&lt;&gt;"",M376&gt;0),M376+N376+O376,"")</f>
        <v/>
      </c>
      <c r="Q376" s="11">
        <f>IF(AND(L376&lt;&gt;"",L376&gt;0,P376&lt;&gt;""),P376/L376,"")</f>
        <v/>
      </c>
      <c r="R376" s="16">
        <f>IF(AND(P376&lt;&gt;"",P376&gt;0),(I376+J376+K376)/P376,"")</f>
        <v/>
      </c>
    </row>
    <row r="377" ht="27" customHeight="1">
      <c r="A377" s="5" t="inlineStr">
        <is>
          <t>2026-02-09</t>
        </is>
      </c>
      <c r="B377" s="5" t="inlineStr">
        <is>
          <t>7周</t>
        </is>
      </c>
      <c r="C377" s="5" t="inlineStr">
        <is>
          <t>抖音</t>
        </is>
      </c>
      <c r="D377" s="5" t="n"/>
      <c r="E377" s="5" t="n"/>
      <c r="F377" s="5" t="inlineStr">
        <is>
          <t>https://v.douyin.com/-9Z_xBBRp4A/</t>
        </is>
      </c>
      <c r="G377" s="5" t="inlineStr">
        <is>
          <t>001A1</t>
        </is>
      </c>
      <c r="H377" s="5" t="inlineStr">
        <is>
          <t>文严文</t>
        </is>
      </c>
      <c r="I377" s="5" t="n"/>
      <c r="J377" s="5" t="n"/>
      <c r="K377" s="5" t="n">
        <v>107.5</v>
      </c>
      <c r="L377" s="5" t="n">
        <v>8485</v>
      </c>
      <c r="M377" s="5" t="n">
        <v>259</v>
      </c>
      <c r="N377" s="5" t="n">
        <v>10</v>
      </c>
      <c r="O377" s="5" t="n">
        <v>128</v>
      </c>
      <c r="P377" s="8">
        <f>IF(AND(M377&lt;&gt;"",M377&gt;0),M377+N377+O377,"")</f>
        <v/>
      </c>
      <c r="Q377" s="11">
        <f>IF(AND(L377&lt;&gt;"",L377&gt;0,P377&lt;&gt;""),P377/L377,"")</f>
        <v/>
      </c>
      <c r="R377" s="16">
        <f>IF(AND(P377&lt;&gt;"",P377&gt;0),(I377+J377+K377)/P377,"")</f>
        <v/>
      </c>
    </row>
    <row r="378" ht="27" customHeight="1">
      <c r="A378" s="5" t="inlineStr">
        <is>
          <t>2026-02-09</t>
        </is>
      </c>
      <c r="B378" s="5" t="inlineStr">
        <is>
          <t>7周</t>
        </is>
      </c>
      <c r="C378" s="5" t="inlineStr">
        <is>
          <t>抖音</t>
        </is>
      </c>
      <c r="D378" s="5" t="n"/>
      <c r="E378" s="5" t="n"/>
      <c r="F378" s="5" t="inlineStr">
        <is>
          <t>https://v.douyin.com/uEtV5Ilc42M/</t>
        </is>
      </c>
      <c r="G378" s="5" t="inlineStr">
        <is>
          <t>0002A1</t>
        </is>
      </c>
      <c r="H378" s="5" t="inlineStr">
        <is>
          <t>刘耀文</t>
        </is>
      </c>
      <c r="I378" s="5" t="n"/>
      <c r="J378" s="5" t="n"/>
      <c r="K378" s="5" t="n">
        <v>110.5</v>
      </c>
      <c r="L378" s="5" t="n">
        <v>1722</v>
      </c>
      <c r="M378" s="5" t="n">
        <v>190</v>
      </c>
      <c r="N378" s="5" t="n">
        <v>4</v>
      </c>
      <c r="O378" s="5" t="n">
        <v>50</v>
      </c>
      <c r="P378" s="8">
        <f>IF(AND(M378&lt;&gt;"",M378&gt;0),M378+N378+O378,"")</f>
        <v/>
      </c>
      <c r="Q378" s="11">
        <f>IF(AND(L378&lt;&gt;"",L378&gt;0,P378&lt;&gt;""),P378/L378,"")</f>
        <v/>
      </c>
      <c r="R378" s="16">
        <f>IF(AND(P378&lt;&gt;"",P378&gt;0),(I378+J378+K378)/P378,"")</f>
        <v/>
      </c>
    </row>
    <row r="379" ht="27" customHeight="1">
      <c r="A379" s="5" t="inlineStr">
        <is>
          <t>2026-02-09</t>
        </is>
      </c>
      <c r="B379" s="5" t="inlineStr">
        <is>
          <t>7周</t>
        </is>
      </c>
      <c r="C379" s="5" t="inlineStr">
        <is>
          <t>抖音</t>
        </is>
      </c>
      <c r="D379" s="5" t="n"/>
      <c r="E379" s="5" t="n"/>
      <c r="F379" s="5" t="inlineStr">
        <is>
          <t>https://v.douyin.com/yagS_O_8G9s/</t>
        </is>
      </c>
      <c r="G379" s="5" t="inlineStr">
        <is>
          <t>0002A1</t>
        </is>
      </c>
      <c r="H379" s="5" t="inlineStr">
        <is>
          <t>穿搭</t>
        </is>
      </c>
      <c r="I379" s="5" t="n">
        <v>280</v>
      </c>
      <c r="J379" s="5" t="n"/>
      <c r="K379" s="5" t="n">
        <v>110.5</v>
      </c>
      <c r="L379" s="5" t="n">
        <v>6000</v>
      </c>
      <c r="M379" s="5" t="n">
        <v>678</v>
      </c>
      <c r="N379" s="5" t="n">
        <v>23</v>
      </c>
      <c r="O379" s="5" t="n">
        <v>16</v>
      </c>
      <c r="P379" s="8">
        <f>IF(AND(M379&lt;&gt;"",M379&gt;0),M379+N379+O379,"")</f>
        <v/>
      </c>
      <c r="Q379" s="11">
        <f>IF(AND(L379&lt;&gt;"",L379&gt;0,P379&lt;&gt;""),P379/L379,"")</f>
        <v/>
      </c>
      <c r="R379" s="16">
        <f>IF(AND(P379&lt;&gt;"",P379&gt;0),(I379+J379+K379)/P379,"")</f>
        <v/>
      </c>
    </row>
    <row r="380" ht="27" customHeight="1">
      <c r="A380" s="5" t="inlineStr">
        <is>
          <t>2026-02-09</t>
        </is>
      </c>
      <c r="B380" s="5" t="inlineStr">
        <is>
          <t>7周</t>
        </is>
      </c>
      <c r="C380" s="5" t="inlineStr">
        <is>
          <t>抖音</t>
        </is>
      </c>
      <c r="D380" s="5" t="n"/>
      <c r="E380" s="5" t="n"/>
      <c r="F380" s="5" t="inlineStr">
        <is>
          <t>https://v.douyin.com/8IXFQBH4J1E/</t>
        </is>
      </c>
      <c r="G380" s="5" t="inlineStr">
        <is>
          <t>495</t>
        </is>
      </c>
      <c r="H380" s="5" t="inlineStr">
        <is>
          <t>穿搭</t>
        </is>
      </c>
      <c r="I380" s="5" t="n"/>
      <c r="J380" s="5" t="n"/>
      <c r="K380" s="5" t="n">
        <v>93</v>
      </c>
      <c r="L380" s="5" t="n">
        <v>13000</v>
      </c>
      <c r="M380" s="5" t="n">
        <v>2788</v>
      </c>
      <c r="N380" s="5" t="n">
        <v>990</v>
      </c>
      <c r="O380" s="5" t="n">
        <v>26</v>
      </c>
      <c r="P380" s="8">
        <f>IF(AND(M380&lt;&gt;"",M380&gt;0),M380+N380+O380,"")</f>
        <v/>
      </c>
      <c r="Q380" s="11">
        <f>IF(AND(L380&lt;&gt;"",L380&gt;0,P380&lt;&gt;""),P380/L380,"")</f>
        <v/>
      </c>
      <c r="R380" s="16">
        <f>IF(AND(P380&lt;&gt;"",P380&gt;0),(I380+J380+K380)/P380,"")</f>
        <v/>
      </c>
    </row>
    <row r="381" ht="27" customHeight="1">
      <c r="A381" s="5" t="inlineStr">
        <is>
          <t>2026-02-09</t>
        </is>
      </c>
      <c r="B381" s="5" t="inlineStr">
        <is>
          <t>7周</t>
        </is>
      </c>
      <c r="C381" s="5" t="inlineStr">
        <is>
          <t>抖音</t>
        </is>
      </c>
      <c r="D381" s="5" t="n"/>
      <c r="E381" s="5" t="n"/>
      <c r="F381" s="5" t="inlineStr">
        <is>
          <t>https://v.douyin.com/ZKYJyzOLndw/</t>
        </is>
      </c>
      <c r="G381" s="5" t="inlineStr">
        <is>
          <t>0002A1</t>
        </is>
      </c>
      <c r="H381" s="5" t="inlineStr">
        <is>
          <t>穿搭</t>
        </is>
      </c>
      <c r="I381" s="5" t="n">
        <v>150</v>
      </c>
      <c r="J381" s="5" t="n"/>
      <c r="K381" s="5" t="n">
        <v>110.5</v>
      </c>
      <c r="L381" s="5" t="n">
        <v>3568</v>
      </c>
      <c r="M381" s="5" t="n">
        <v>1101</v>
      </c>
      <c r="N381" s="5" t="n">
        <v>37</v>
      </c>
      <c r="O381" s="5" t="n">
        <v>18</v>
      </c>
      <c r="P381" s="8">
        <f>IF(AND(M381&lt;&gt;"",M381&gt;0),M381+N381+O381,"")</f>
        <v/>
      </c>
      <c r="Q381" s="11">
        <f>IF(AND(L381&lt;&gt;"",L381&gt;0,P381&lt;&gt;""),P381/L381,"")</f>
        <v/>
      </c>
      <c r="R381" s="16">
        <f>IF(AND(P381&lt;&gt;"",P381&gt;0),(I381+J381+K381)/P381,"")</f>
        <v/>
      </c>
    </row>
    <row r="382" ht="27" customHeight="1">
      <c r="A382" s="5" t="inlineStr">
        <is>
          <t>2026-02-09</t>
        </is>
      </c>
      <c r="B382" s="5" t="inlineStr">
        <is>
          <t>7周</t>
        </is>
      </c>
      <c r="C382" s="5" t="inlineStr">
        <is>
          <t>抖音</t>
        </is>
      </c>
      <c r="D382" s="5" t="n"/>
      <c r="E382" s="5" t="n"/>
      <c r="F382" s="5" t="inlineStr">
        <is>
          <t>https://v.douyin.com/3cxP5sRffmQ/</t>
        </is>
      </c>
      <c r="G382" s="5" t="inlineStr">
        <is>
          <t>0002A1</t>
        </is>
      </c>
      <c r="H382" s="5" t="inlineStr">
        <is>
          <t>刘耀文</t>
        </is>
      </c>
      <c r="I382" s="5" t="n"/>
      <c r="J382" s="5" t="n"/>
      <c r="K382" s="5" t="n">
        <v>110.5</v>
      </c>
      <c r="L382" s="5" t="n">
        <v>974</v>
      </c>
      <c r="M382" s="5" t="n">
        <v>152</v>
      </c>
      <c r="N382" s="5" t="n">
        <v>3</v>
      </c>
      <c r="O382" s="5" t="n">
        <v>16</v>
      </c>
      <c r="P382" s="8">
        <f>IF(AND(M382&lt;&gt;"",M382&gt;0),M382+N382+O382,"")</f>
        <v/>
      </c>
      <c r="Q382" s="11">
        <f>IF(AND(L382&lt;&gt;"",L382&gt;0,P382&lt;&gt;""),P382/L382,"")</f>
        <v/>
      </c>
      <c r="R382" s="16">
        <f>IF(AND(P382&lt;&gt;"",P382&gt;0),(I382+J382+K382)/P382,"")</f>
        <v/>
      </c>
    </row>
    <row r="383">
      <c r="A383" s="5" t="inlineStr">
        <is>
          <t>2026-02-09</t>
        </is>
      </c>
      <c r="B383" s="5" t="inlineStr">
        <is>
          <t>7周</t>
        </is>
      </c>
      <c r="C383" s="5" t="inlineStr">
        <is>
          <t>快手</t>
        </is>
      </c>
      <c r="D383" s="5" t="n"/>
      <c r="E383" s="5" t="n"/>
      <c r="F383" s="5" t="inlineStr">
        <is>
          <t>https://v.kuaishou.com/J3pcsvon</t>
        </is>
      </c>
      <c r="G383" s="5" t="inlineStr">
        <is>
          <t>0002A1</t>
        </is>
      </c>
      <c r="H383" s="5" t="inlineStr">
        <is>
          <t>刘耀文</t>
        </is>
      </c>
      <c r="I383" s="5" t="n"/>
      <c r="J383" s="5" t="n"/>
      <c r="K383" s="5" t="n">
        <v>110.5</v>
      </c>
      <c r="L383" s="5" t="n">
        <v>7327</v>
      </c>
      <c r="M383" s="5" t="n">
        <v>87</v>
      </c>
      <c r="N383" s="5" t="n">
        <v>2</v>
      </c>
      <c r="O383" s="5" t="n">
        <v>6</v>
      </c>
      <c r="P383" s="8">
        <f>IF(AND(M383&lt;&gt;"",M383&gt;0),M383+N383+O383,"")</f>
        <v/>
      </c>
      <c r="Q383" s="11">
        <f>IF(AND(L383&lt;&gt;"",L383&gt;0,P383&lt;&gt;""),P383/L383,"")</f>
        <v/>
      </c>
      <c r="R383" s="16">
        <f>IF(AND(P383&lt;&gt;"",P383&gt;0),(I383+J383+K383)/P383,"")</f>
        <v/>
      </c>
    </row>
    <row r="384" ht="81" customHeight="1">
      <c r="A384" s="5" t="inlineStr">
        <is>
          <t>2026-02-09</t>
        </is>
      </c>
      <c r="B384" s="5" t="inlineStr">
        <is>
          <t>7周</t>
        </is>
      </c>
      <c r="C384" s="5" t="inlineStr">
        <is>
          <t>小红书</t>
        </is>
      </c>
      <c r="D384" s="5" t="n"/>
      <c r="E384" s="5" t="n"/>
      <c r="F384" s="5" t="inlineStr">
        <is>
          <t>https://www.xiaohongshu.com/discovery/item/69897ec2000000001b017b8a?xsec_token=CB4pqcWhVhJFJ_iHRycVWithDhudm2P3Zm5EDAtiTYpak=&amp;xsec_source=app_share&amp;type=video</t>
        </is>
      </c>
      <c r="G384" s="5" t="inlineStr">
        <is>
          <t>0002A1</t>
        </is>
      </c>
      <c r="H384" s="5" t="inlineStr">
        <is>
          <t>刘耀文</t>
        </is>
      </c>
      <c r="I384" s="5" t="n"/>
      <c r="J384" s="5" t="n"/>
      <c r="K384" s="5" t="n">
        <v>110.5</v>
      </c>
      <c r="L384" s="5" t="n">
        <v>901</v>
      </c>
      <c r="M384" s="5" t="n">
        <v>75</v>
      </c>
      <c r="N384" s="5" t="n">
        <v>5</v>
      </c>
      <c r="O384" s="5" t="n">
        <v>2</v>
      </c>
      <c r="P384" s="8">
        <f>IF(AND(M384&lt;&gt;"",M384&gt;0),M384+N384+O384,"")</f>
        <v/>
      </c>
      <c r="Q384" s="11">
        <f>IF(AND(L384&lt;&gt;"",L384&gt;0,P384&lt;&gt;""),P384/L384,"")</f>
        <v/>
      </c>
      <c r="R384" s="16">
        <f>IF(AND(P384&lt;&gt;"",P384&gt;0),(I384+J384+K384)/P384,"")</f>
        <v/>
      </c>
    </row>
    <row r="385" ht="81" customHeight="1">
      <c r="A385" s="5" t="inlineStr">
        <is>
          <t>2026-02-09</t>
        </is>
      </c>
      <c r="B385" s="5" t="inlineStr">
        <is>
          <t>7周</t>
        </is>
      </c>
      <c r="C385" s="5" t="inlineStr">
        <is>
          <t>小红书</t>
        </is>
      </c>
      <c r="D385" s="5" t="n"/>
      <c r="E385" s="5" t="n"/>
      <c r="F385" s="5" t="inlineStr">
        <is>
          <t>https://www.xiaohongshu.com/discovery/item/6989c70e000000000a02fbbd?xsec_token=CBraTTIPk3dKz7FK41hQzDQHudIgJaFVHWdYyqqodB5jw=&amp;xsec_source=app_share&amp;type=video</t>
        </is>
      </c>
      <c r="G385" s="5" t="inlineStr">
        <is>
          <t>0002A1</t>
        </is>
      </c>
      <c r="H385" s="5" t="inlineStr">
        <is>
          <t>口播</t>
        </is>
      </c>
      <c r="I385" s="5" t="n">
        <v>80</v>
      </c>
      <c r="J385" s="5" t="n"/>
      <c r="K385" s="5" t="n">
        <v>110.5</v>
      </c>
      <c r="L385" s="5" t="n">
        <v>1375</v>
      </c>
      <c r="M385" s="5" t="n">
        <v>102</v>
      </c>
      <c r="N385" s="5" t="n">
        <v>22</v>
      </c>
      <c r="O385" s="5" t="n">
        <v>4</v>
      </c>
      <c r="P385" s="8">
        <f>IF(AND(M385&lt;&gt;"",M385&gt;0),M385+N385+O385,"")</f>
        <v/>
      </c>
      <c r="Q385" s="11">
        <f>IF(AND(L385&lt;&gt;"",L385&gt;0,P385&lt;&gt;""),P385/L385,"")</f>
        <v/>
      </c>
      <c r="R385" s="16">
        <f>IF(AND(P385&lt;&gt;"",P385&gt;0),(I385+J385+K385)/P385,"")</f>
        <v/>
      </c>
    </row>
    <row r="386" ht="81" customHeight="1">
      <c r="A386" s="5" t="inlineStr">
        <is>
          <t>2026-02-09</t>
        </is>
      </c>
      <c r="B386" s="5" t="inlineStr">
        <is>
          <t>7周</t>
        </is>
      </c>
      <c r="C386" s="5" t="inlineStr">
        <is>
          <t>小红书</t>
        </is>
      </c>
      <c r="D386" s="5" t="n"/>
      <c r="E386" s="5" t="n"/>
      <c r="F386" s="5" t="inlineStr">
        <is>
          <t>https://www.xiaohongshu.com/discovery/item/6989b27d00000000150220a8?xsec_token=CBraTTIPk3dKz7FK41hQzDQDWkCmzlTnMG07Nz1Fu43To=&amp;xsec_source=app_share&amp;type=video</t>
        </is>
      </c>
      <c r="G386" s="5" t="inlineStr">
        <is>
          <t>1217W</t>
        </is>
      </c>
      <c r="H386" s="5" t="inlineStr">
        <is>
          <t>学生</t>
        </is>
      </c>
      <c r="I386" s="5" t="n">
        <v>300</v>
      </c>
      <c r="J386" s="5" t="n"/>
      <c r="K386" s="5" t="n">
        <v>54</v>
      </c>
      <c r="L386" s="5" t="n">
        <v>33875</v>
      </c>
      <c r="M386" s="5" t="n">
        <v>3394</v>
      </c>
      <c r="N386" s="5" t="n">
        <v>220</v>
      </c>
      <c r="O386" s="5" t="n">
        <v>87</v>
      </c>
      <c r="P386" s="8">
        <f>IF(AND(M386&lt;&gt;"",M386&gt;0),M386+N386+O386,"")</f>
        <v/>
      </c>
      <c r="Q386" s="11">
        <f>IF(AND(L386&lt;&gt;"",L386&gt;0,P386&lt;&gt;""),P386/L386,"")</f>
        <v/>
      </c>
      <c r="R386" s="16">
        <f>IF(AND(P386&lt;&gt;"",P386&gt;0),(I386+J386+K386)/P386,"")</f>
        <v/>
      </c>
    </row>
    <row r="387" ht="27" customHeight="1">
      <c r="A387" s="5" t="inlineStr">
        <is>
          <t>2026-02-10</t>
        </is>
      </c>
      <c r="B387" s="5" t="inlineStr">
        <is>
          <t>7周</t>
        </is>
      </c>
      <c r="C387" s="5" t="inlineStr">
        <is>
          <t>抖音</t>
        </is>
      </c>
      <c r="D387" s="5" t="n"/>
      <c r="E387" s="5" t="n"/>
      <c r="F387" s="5" t="inlineStr">
        <is>
          <t>https://v.douyin.com/e36Xtc6iNq4/ U@Y.mD</t>
        </is>
      </c>
      <c r="G387" s="5" t="inlineStr">
        <is>
          <t>495</t>
        </is>
      </c>
      <c r="H387" s="5" t="inlineStr">
        <is>
          <t>新年好物</t>
        </is>
      </c>
      <c r="I387" s="5" t="n"/>
      <c r="J387" s="5" t="n"/>
      <c r="K387" s="5" t="n">
        <v>93</v>
      </c>
      <c r="L387" s="5" t="n">
        <v>4795</v>
      </c>
      <c r="M387" s="5" t="n">
        <v>121</v>
      </c>
      <c r="N387" s="5" t="n">
        <v>31</v>
      </c>
      <c r="O387" s="5" t="n">
        <v>19</v>
      </c>
      <c r="P387" s="8">
        <f>IF(AND(M387&lt;&gt;"",M387&gt;0),M387+N387+O387,"")</f>
        <v/>
      </c>
      <c r="Q387" s="11">
        <f>IF(AND(L387&lt;&gt;"",L387&gt;0,P387&lt;&gt;""),P387/L387,"")</f>
        <v/>
      </c>
      <c r="R387" s="16">
        <f>IF(AND(P387&lt;&gt;"",P387&gt;0),(I387+J387+K387)/P387,"")</f>
        <v/>
      </c>
    </row>
    <row r="388" ht="27" customHeight="1">
      <c r="A388" s="5" t="inlineStr">
        <is>
          <t>2026-02-10</t>
        </is>
      </c>
      <c r="B388" s="5" t="inlineStr">
        <is>
          <t>7周</t>
        </is>
      </c>
      <c r="C388" s="5" t="inlineStr">
        <is>
          <t>抖音</t>
        </is>
      </c>
      <c r="D388" s="5" t="n"/>
      <c r="E388" s="5" t="n"/>
      <c r="F388" s="5" t="inlineStr">
        <is>
          <t>https://v.douyin.com/lRjTmIxFZJs/</t>
        </is>
      </c>
      <c r="G388" s="5" t="inlineStr">
        <is>
          <t>0002A1</t>
        </is>
      </c>
      <c r="H388" s="5" t="inlineStr">
        <is>
          <t>刘耀文</t>
        </is>
      </c>
      <c r="I388" s="5" t="n"/>
      <c r="J388" s="5" t="n"/>
      <c r="K388" s="5" t="n">
        <v>110.5</v>
      </c>
      <c r="L388" s="5" t="n">
        <v>1000</v>
      </c>
      <c r="M388" s="5" t="n">
        <v>73</v>
      </c>
      <c r="N388" s="5" t="n">
        <v>5</v>
      </c>
      <c r="O388" s="5" t="n">
        <v>30</v>
      </c>
      <c r="P388" s="8">
        <f>IF(AND(M388&lt;&gt;"",M388&gt;0),M388+N388+O388,"")</f>
        <v/>
      </c>
      <c r="Q388" s="11">
        <f>IF(AND(L388&lt;&gt;"",L388&gt;0,P388&lt;&gt;""),P388/L388,"")</f>
        <v/>
      </c>
      <c r="R388" s="16">
        <f>IF(AND(P388&lt;&gt;"",P388&gt;0),(I388+J388+K388)/P388,"")</f>
        <v/>
      </c>
    </row>
    <row r="389" ht="27" customHeight="1">
      <c r="A389" s="5" t="inlineStr">
        <is>
          <t>2026-02-10</t>
        </is>
      </c>
      <c r="B389" s="5" t="inlineStr">
        <is>
          <t>7周</t>
        </is>
      </c>
      <c r="C389" s="5" t="inlineStr">
        <is>
          <t>抖音</t>
        </is>
      </c>
      <c r="D389" s="5" t="n"/>
      <c r="E389" s="5" t="n"/>
      <c r="F389" s="5" t="inlineStr">
        <is>
          <t>https://v.douyin.com/20g6nF4r9To/</t>
        </is>
      </c>
      <c r="G389" s="5" t="inlineStr">
        <is>
          <t>0002A1</t>
        </is>
      </c>
      <c r="H389" s="5" t="inlineStr">
        <is>
          <t>刘耀文</t>
        </is>
      </c>
      <c r="I389" s="5" t="n"/>
      <c r="J389" s="5" t="n"/>
      <c r="K389" s="5" t="n">
        <v>110.5</v>
      </c>
      <c r="L389" s="5" t="n">
        <v>1103</v>
      </c>
      <c r="M389" s="5" t="n">
        <v>65</v>
      </c>
      <c r="N389" s="5" t="n">
        <v>0</v>
      </c>
      <c r="O389" s="5" t="n">
        <v>10</v>
      </c>
      <c r="P389" s="8">
        <f>IF(AND(M389&lt;&gt;"",M389&gt;0),M389+N389+O389,"")</f>
        <v/>
      </c>
      <c r="Q389" s="11">
        <f>IF(AND(L389&lt;&gt;"",L389&gt;0,P389&lt;&gt;""),P389/L389,"")</f>
        <v/>
      </c>
      <c r="R389" s="16">
        <f>IF(AND(P389&lt;&gt;"",P389&gt;0),(I389+J389+K389)/P389,"")</f>
        <v/>
      </c>
    </row>
    <row r="390" ht="27" customHeight="1">
      <c r="A390" s="5" t="inlineStr">
        <is>
          <t>2026-02-10</t>
        </is>
      </c>
      <c r="B390" s="5" t="inlineStr">
        <is>
          <t>7周</t>
        </is>
      </c>
      <c r="C390" s="5" t="inlineStr">
        <is>
          <t>抖音</t>
        </is>
      </c>
      <c r="D390" s="5" t="n"/>
      <c r="E390" s="5" t="n"/>
      <c r="F390" s="5" t="inlineStr">
        <is>
          <t>https://v.douyin.com/tj0QGOwEnTA/</t>
        </is>
      </c>
      <c r="G390" s="5" t="inlineStr">
        <is>
          <t>0002A1</t>
        </is>
      </c>
      <c r="H390" s="5" t="inlineStr">
        <is>
          <t>刘耀文</t>
        </is>
      </c>
      <c r="I390" s="5" t="n"/>
      <c r="J390" s="5" t="n"/>
      <c r="K390" s="5" t="n">
        <v>110.5</v>
      </c>
      <c r="L390" s="5" t="n">
        <v>748</v>
      </c>
      <c r="M390" s="5" t="n">
        <v>34</v>
      </c>
      <c r="N390" s="5" t="n">
        <v>1</v>
      </c>
      <c r="O390" s="5" t="n">
        <v>3</v>
      </c>
      <c r="P390" s="8">
        <f>IF(AND(M390&lt;&gt;"",M390&gt;0),M390+N390+O390,"")</f>
        <v/>
      </c>
      <c r="Q390" s="11">
        <f>IF(AND(L390&lt;&gt;"",L390&gt;0,P390&lt;&gt;""),P390/L390,"")</f>
        <v/>
      </c>
      <c r="R390" s="16">
        <f>IF(AND(P390&lt;&gt;"",P390&gt;0),(I390+J390+K390)/P390,"")</f>
        <v/>
      </c>
    </row>
    <row r="391" ht="27" customHeight="1">
      <c r="A391" s="5" t="inlineStr">
        <is>
          <t>2026-02-10</t>
        </is>
      </c>
      <c r="B391" s="5" t="inlineStr">
        <is>
          <t>7周</t>
        </is>
      </c>
      <c r="C391" s="5" t="inlineStr">
        <is>
          <t>抖音</t>
        </is>
      </c>
      <c r="D391" s="5" t="n"/>
      <c r="E391" s="5" t="n"/>
      <c r="F391" s="5" t="inlineStr">
        <is>
          <t>https://v.douyin.com/fzh573zJ45M/</t>
        </is>
      </c>
      <c r="G391" s="5" t="inlineStr">
        <is>
          <t>001A1</t>
        </is>
      </c>
      <c r="H391" s="5" t="inlineStr">
        <is>
          <t>文严文</t>
        </is>
      </c>
      <c r="I391" s="5" t="n"/>
      <c r="J391" s="5" t="n"/>
      <c r="K391" s="5" t="n">
        <v>107.5</v>
      </c>
      <c r="L391" s="5" t="n">
        <v>5924</v>
      </c>
      <c r="M391" s="5" t="n">
        <v>290</v>
      </c>
      <c r="N391" s="5" t="n">
        <v>6</v>
      </c>
      <c r="O391" s="5" t="n">
        <v>91</v>
      </c>
      <c r="P391" s="8">
        <f>IF(AND(M391&lt;&gt;"",M391&gt;0),M391+N391+O391,"")</f>
        <v/>
      </c>
      <c r="Q391" s="11">
        <f>IF(AND(L391&lt;&gt;"",L391&gt;0,P391&lt;&gt;""),P391/L391,"")</f>
        <v/>
      </c>
      <c r="R391" s="16">
        <f>IF(AND(P391&lt;&gt;"",P391&gt;0),(I391+J391+K391)/P391,"")</f>
        <v/>
      </c>
    </row>
    <row r="392" ht="67.5" customHeight="1">
      <c r="A392" s="5" t="inlineStr">
        <is>
          <t>2026-02-10</t>
        </is>
      </c>
      <c r="B392" s="5" t="inlineStr">
        <is>
          <t>7周</t>
        </is>
      </c>
      <c r="C392" s="5" t="inlineStr">
        <is>
          <t>小红书</t>
        </is>
      </c>
      <c r="D392" s="5" t="n"/>
      <c r="E392" s="5" t="n"/>
      <c r="F392" s="5" t="inlineStr">
        <is>
          <t>https://www.xiaohongshu.com/discovery/item/698af873000000000a02d78c?xsec_token=CBIcADgLu8wyG3zlnKyfgEBygJ4kW2EQL1KB2HBGVfrDo=&amp;xsec_source=app_share</t>
        </is>
      </c>
      <c r="G392" s="5" t="inlineStr">
        <is>
          <t>0002A1</t>
        </is>
      </c>
      <c r="H392" s="5" t="inlineStr">
        <is>
          <t>穿搭</t>
        </is>
      </c>
      <c r="I392" s="5" t="n">
        <v>75</v>
      </c>
      <c r="J392" s="5" t="n"/>
      <c r="K392" s="5" t="n">
        <v>110.5</v>
      </c>
      <c r="L392" s="5" t="n">
        <v>1977</v>
      </c>
      <c r="M392" s="5" t="n">
        <v>113</v>
      </c>
      <c r="N392" s="5" t="n">
        <v>9</v>
      </c>
      <c r="O392" s="5" t="n">
        <v>16</v>
      </c>
      <c r="P392" s="8">
        <f>IF(AND(M392&lt;&gt;"",M392&gt;0),M392+N392+O392,"")</f>
        <v/>
      </c>
      <c r="Q392" s="11">
        <f>IF(AND(L392&lt;&gt;"",L392&gt;0,P392&lt;&gt;""),P392/L392,"")</f>
        <v/>
      </c>
      <c r="R392" s="16">
        <f>IF(AND(P392&lt;&gt;"",P392&gt;0),(I392+J392+K392)/P392,"")</f>
        <v/>
      </c>
    </row>
    <row r="393" ht="81" customHeight="1">
      <c r="A393" s="5" t="inlineStr">
        <is>
          <t>2026-02-10</t>
        </is>
      </c>
      <c r="B393" s="5" t="inlineStr">
        <is>
          <t>7周</t>
        </is>
      </c>
      <c r="C393" s="5" t="inlineStr">
        <is>
          <t>小红书</t>
        </is>
      </c>
      <c r="D393" s="5" t="n"/>
      <c r="E393" s="5" t="n"/>
      <c r="F393" s="5" t="inlineStr">
        <is>
          <t>https://www.xiaohongshu.com/discovery/item/698b02c7000000001b01c116?xsec_token=CBNbMRX9kG1EkZM0fNk-s4xHrrXu3bSc0wDzji7RD8OaI=&amp;xsec_source=app_share</t>
        </is>
      </c>
      <c r="G393" s="5" t="inlineStr">
        <is>
          <t>001A1</t>
        </is>
      </c>
      <c r="H393" s="5" t="inlineStr">
        <is>
          <t>赵一博</t>
        </is>
      </c>
      <c r="I393" s="5" t="n"/>
      <c r="J393" s="5" t="n"/>
      <c r="K393" s="5" t="n">
        <v>107.5</v>
      </c>
      <c r="L393" s="5" t="n">
        <v>605</v>
      </c>
      <c r="M393" s="5" t="n">
        <v>24</v>
      </c>
      <c r="N393" s="5" t="n">
        <v>0</v>
      </c>
      <c r="O393" s="5" t="n">
        <v>10</v>
      </c>
      <c r="P393" s="8">
        <f>IF(AND(M393&lt;&gt;"",M393&gt;0),M393+N393+O393,"")</f>
        <v/>
      </c>
      <c r="Q393" s="11">
        <f>IF(AND(L393&lt;&gt;"",L393&gt;0,P393&lt;&gt;""),P393/L393,"")</f>
        <v/>
      </c>
      <c r="R393" s="16">
        <f>IF(AND(P393&lt;&gt;"",P393&gt;0),(I393+J393+K393)/P393,"")</f>
        <v/>
      </c>
    </row>
    <row r="394" ht="81" customHeight="1">
      <c r="A394" s="5" t="inlineStr">
        <is>
          <t>2026-02-10</t>
        </is>
      </c>
      <c r="B394" s="5" t="inlineStr">
        <is>
          <t>7周</t>
        </is>
      </c>
      <c r="C394" s="5" t="inlineStr">
        <is>
          <t>小红书</t>
        </is>
      </c>
      <c r="D394" s="5" t="n"/>
      <c r="E394" s="5" t="n"/>
      <c r="F394" s="5" t="inlineStr">
        <is>
          <t>https://www.xiaohongshu.com/discovery/item/698b1fdc000000001d02673e?xsec_token=CB4unlyabP_q_KeSIHoZghowqVCkzn2ylDf59_cIpGPqY=&amp;xsec_source=app_share&amp;type=video</t>
        </is>
      </c>
      <c r="G394" s="5" t="inlineStr">
        <is>
          <t>0002A1</t>
        </is>
      </c>
      <c r="H394" s="5" t="inlineStr">
        <is>
          <t>穿搭</t>
        </is>
      </c>
      <c r="I394" s="5" t="n"/>
      <c r="J394" s="5" t="n"/>
      <c r="K394" s="5" t="n">
        <v>110.5</v>
      </c>
      <c r="L394" s="5" t="n">
        <v>4249</v>
      </c>
      <c r="M394" s="5" t="n">
        <v>290</v>
      </c>
      <c r="N394" s="5" t="n">
        <v>78</v>
      </c>
      <c r="O394" s="5" t="n">
        <v>16</v>
      </c>
      <c r="P394" s="8">
        <f>IF(AND(M394&lt;&gt;"",M394&gt;0),M394+N394+O394,"")</f>
        <v/>
      </c>
      <c r="Q394" s="11">
        <f>IF(AND(L394&lt;&gt;"",L394&gt;0,P394&lt;&gt;""),P394/L394,"")</f>
        <v/>
      </c>
      <c r="R394" s="16">
        <f>IF(AND(P394&lt;&gt;"",P394&gt;0),(I394+J394+K394)/P394,"")</f>
        <v/>
      </c>
    </row>
    <row r="395" ht="81" customHeight="1">
      <c r="A395" s="5" t="inlineStr">
        <is>
          <t>2026-02-10</t>
        </is>
      </c>
      <c r="B395" s="5" t="inlineStr">
        <is>
          <t>7周</t>
        </is>
      </c>
      <c r="C395" s="5" t="inlineStr">
        <is>
          <t>小红书</t>
        </is>
      </c>
      <c r="D395" s="5" t="n"/>
      <c r="E395" s="5" t="n"/>
      <c r="F395" s="5" t="inlineStr">
        <is>
          <t>https://www.xiaohongshu.com/discovery/item/698472d1000000002203b89b?xsec_token=CB-pXBdIkBye0nU6ds0NsYBW0NvYGu-2b4DOwjInnMHH8=&amp;xsec_source=app_share&amp;type=video</t>
        </is>
      </c>
      <c r="G395" s="5" t="inlineStr">
        <is>
          <t>0002A1</t>
        </is>
      </c>
      <c r="H395" s="5" t="inlineStr">
        <is>
          <t>穿搭</t>
        </is>
      </c>
      <c r="I395" s="5" t="n"/>
      <c r="J395" s="5" t="n"/>
      <c r="K395" s="5" t="n">
        <v>110.5</v>
      </c>
      <c r="L395" s="5" t="n">
        <v>1588</v>
      </c>
      <c r="M395" s="5" t="n">
        <v>115</v>
      </c>
      <c r="N395" s="5" t="n">
        <v>16</v>
      </c>
      <c r="O395" s="5" t="n">
        <v>6</v>
      </c>
      <c r="P395" s="8">
        <f>IF(AND(M395&lt;&gt;"",M395&gt;0),M395+N395+O395,"")</f>
        <v/>
      </c>
      <c r="Q395" s="11">
        <f>IF(AND(L395&lt;&gt;"",L395&gt;0,P395&lt;&gt;""),P395/L395,"")</f>
        <v/>
      </c>
      <c r="R395" s="16">
        <f>IF(AND(P395&lt;&gt;"",P395&gt;0),(I395+J395+K395)/P395,"")</f>
        <v/>
      </c>
    </row>
    <row r="396" ht="27" customHeight="1">
      <c r="A396" s="5" t="inlineStr">
        <is>
          <t>2026-02-11</t>
        </is>
      </c>
      <c r="B396" s="5" t="inlineStr">
        <is>
          <t>7周</t>
        </is>
      </c>
      <c r="C396" s="5" t="inlineStr">
        <is>
          <t>抖音</t>
        </is>
      </c>
      <c r="D396" s="5" t="n"/>
      <c r="E396" s="5" t="n"/>
      <c r="F396" s="5" t="inlineStr">
        <is>
          <t>https://v.douyin.com/8PL71Yto7Rc/</t>
        </is>
      </c>
      <c r="G396" s="5" t="inlineStr">
        <is>
          <t>0002A1</t>
        </is>
      </c>
      <c r="H396" s="5" t="inlineStr">
        <is>
          <t>穿搭</t>
        </is>
      </c>
      <c r="I396" s="5" t="n"/>
      <c r="J396" s="5" t="n"/>
      <c r="K396" s="5" t="n">
        <v>110.5</v>
      </c>
      <c r="L396" s="5" t="n">
        <v>8753</v>
      </c>
      <c r="M396" s="5" t="n">
        <v>464</v>
      </c>
      <c r="N396" s="5" t="n">
        <v>28</v>
      </c>
      <c r="O396" s="5" t="n">
        <v>29</v>
      </c>
      <c r="P396" s="8">
        <f>IF(AND(M396&lt;&gt;"",M396&gt;0),M396+N396+O396,"")</f>
        <v/>
      </c>
      <c r="Q396" s="11">
        <f>IF(AND(L396&lt;&gt;"",L396&gt;0,P396&lt;&gt;""),P396/L396,"")</f>
        <v/>
      </c>
      <c r="R396" s="16">
        <f>IF(AND(P396&lt;&gt;"",P396&gt;0),(I396+J396+K396)/P396,"")</f>
        <v/>
      </c>
    </row>
    <row r="397" ht="27" customHeight="1">
      <c r="A397" s="5" t="inlineStr">
        <is>
          <t>2026-02-11</t>
        </is>
      </c>
      <c r="B397" s="5" t="inlineStr">
        <is>
          <t>7周</t>
        </is>
      </c>
      <c r="C397" s="5" t="inlineStr">
        <is>
          <t>抖音</t>
        </is>
      </c>
      <c r="D397" s="5" t="n"/>
      <c r="E397" s="5" t="n"/>
      <c r="F397" s="5" t="inlineStr">
        <is>
          <t>https://v.douyin.com/a2H-q7AJlFc/</t>
        </is>
      </c>
      <c r="G397" s="5" t="inlineStr">
        <is>
          <t>0002A1</t>
        </is>
      </c>
      <c r="H397" s="5" t="inlineStr">
        <is>
          <t>刘耀文</t>
        </is>
      </c>
      <c r="I397" s="5" t="n"/>
      <c r="J397" s="5" t="n"/>
      <c r="K397" s="5" t="n">
        <v>110.5</v>
      </c>
      <c r="L397" s="5" t="n">
        <v>2000</v>
      </c>
      <c r="M397" s="5" t="n">
        <v>220</v>
      </c>
      <c r="N397" s="5" t="n">
        <v>5</v>
      </c>
      <c r="O397" s="5" t="n">
        <v>20</v>
      </c>
      <c r="P397" s="8">
        <f>IF(AND(M397&lt;&gt;"",M397&gt;0),M397+N397+O397,"")</f>
        <v/>
      </c>
      <c r="Q397" s="11">
        <f>IF(AND(L397&lt;&gt;"",L397&gt;0,P397&lt;&gt;""),P397/L397,"")</f>
        <v/>
      </c>
      <c r="R397" s="16">
        <f>IF(AND(P397&lt;&gt;"",P397&gt;0),(I397+J397+K397)/P397,"")</f>
        <v/>
      </c>
    </row>
    <row r="398" ht="27" customHeight="1">
      <c r="A398" s="5" t="inlineStr">
        <is>
          <t>2026-02-11</t>
        </is>
      </c>
      <c r="B398" s="5" t="inlineStr">
        <is>
          <t>7周</t>
        </is>
      </c>
      <c r="C398" s="5" t="inlineStr">
        <is>
          <t>抖音</t>
        </is>
      </c>
      <c r="D398" s="5" t="n"/>
      <c r="E398" s="5" t="n"/>
      <c r="F398" s="5" t="inlineStr">
        <is>
          <t>https://v.douyin.com/pty7xQ1ioOk/</t>
        </is>
      </c>
      <c r="G398" s="5" t="inlineStr">
        <is>
          <t>0002A1</t>
        </is>
      </c>
      <c r="H398" s="5" t="inlineStr">
        <is>
          <t>口播</t>
        </is>
      </c>
      <c r="I398" s="5" t="n"/>
      <c r="J398" s="5" t="n"/>
      <c r="K398" s="5" t="n">
        <v>110.5</v>
      </c>
      <c r="L398" s="5" t="n">
        <v>16000</v>
      </c>
      <c r="M398" s="5" t="n">
        <v>326</v>
      </c>
      <c r="N398" s="5" t="n">
        <v>44</v>
      </c>
      <c r="O398" s="5" t="n">
        <v>39</v>
      </c>
      <c r="P398" s="8">
        <f>IF(AND(M398&lt;&gt;"",M398&gt;0),M398+N398+O398,"")</f>
        <v/>
      </c>
      <c r="Q398" s="11">
        <f>IF(AND(L398&lt;&gt;"",L398&gt;0,P398&lt;&gt;""),P398/L398,"")</f>
        <v/>
      </c>
      <c r="R398" s="16">
        <f>IF(AND(P398&lt;&gt;"",P398&gt;0),(I398+J398+K398)/P398,"")</f>
        <v/>
      </c>
    </row>
    <row r="399" ht="27" customHeight="1">
      <c r="A399" s="5" t="inlineStr">
        <is>
          <t>2026-02-11</t>
        </is>
      </c>
      <c r="B399" s="5" t="inlineStr">
        <is>
          <t>7周</t>
        </is>
      </c>
      <c r="C399" s="5" t="inlineStr">
        <is>
          <t>抖音</t>
        </is>
      </c>
      <c r="D399" s="5" t="n"/>
      <c r="E399" s="5" t="n"/>
      <c r="F399" s="5" t="inlineStr">
        <is>
          <t>https://v.douyin.com/IyiZs8ns928/</t>
        </is>
      </c>
      <c r="G399" s="5" t="inlineStr">
        <is>
          <t>001A1</t>
        </is>
      </c>
      <c r="H399" s="5" t="inlineStr">
        <is>
          <t>赵一博</t>
        </is>
      </c>
      <c r="I399" s="5" t="n"/>
      <c r="J399" s="5" t="n"/>
      <c r="K399" s="5" t="n">
        <v>107.5</v>
      </c>
      <c r="L399" s="5" t="n">
        <v>55000</v>
      </c>
      <c r="M399" s="5" t="n">
        <v>1622</v>
      </c>
      <c r="N399" s="5" t="n">
        <v>91</v>
      </c>
      <c r="O399" s="5" t="n">
        <v>141</v>
      </c>
      <c r="P399" s="8">
        <f>IF(AND(M399&lt;&gt;"",M399&gt;0),M399+N399+O399,"")</f>
        <v/>
      </c>
      <c r="Q399" s="11">
        <f>IF(AND(L399&lt;&gt;"",L399&gt;0,P399&lt;&gt;""),P399/L399,"")</f>
        <v/>
      </c>
      <c r="R399" s="16">
        <f>IF(AND(P399&lt;&gt;"",P399&gt;0),(I399+J399+K399)/P399,"")</f>
        <v/>
      </c>
    </row>
    <row r="400" ht="27" customHeight="1">
      <c r="A400" s="5" t="inlineStr">
        <is>
          <t>2026-02-11</t>
        </is>
      </c>
      <c r="B400" s="5" t="inlineStr">
        <is>
          <t>7周</t>
        </is>
      </c>
      <c r="C400" s="5" t="inlineStr">
        <is>
          <t>抖音</t>
        </is>
      </c>
      <c r="D400" s="5" t="n"/>
      <c r="E400" s="5" t="n"/>
      <c r="F400" s="5" t="inlineStr">
        <is>
          <t>https://v.douyin.com/u3PIMONoSp8/</t>
        </is>
      </c>
      <c r="G400" s="5" t="inlineStr">
        <is>
          <t>0002A1</t>
        </is>
      </c>
      <c r="H400" s="5" t="inlineStr">
        <is>
          <t>刘耀文</t>
        </is>
      </c>
      <c r="I400" s="5" t="n">
        <v>260</v>
      </c>
      <c r="J400" s="5" t="n"/>
      <c r="K400" s="5" t="n">
        <v>110.5</v>
      </c>
      <c r="L400" s="5" t="n">
        <v>4700</v>
      </c>
      <c r="M400" s="5" t="n">
        <v>372</v>
      </c>
      <c r="N400" s="5" t="n">
        <v>18</v>
      </c>
      <c r="O400" s="5" t="n">
        <v>16</v>
      </c>
      <c r="P400" s="8">
        <f>IF(AND(M400&lt;&gt;"",M400&gt;0),M400+N400+O400,"")</f>
        <v/>
      </c>
      <c r="Q400" s="11">
        <f>IF(AND(L400&lt;&gt;"",L400&gt;0,P400&lt;&gt;""),P400/L400,"")</f>
        <v/>
      </c>
      <c r="R400" s="16">
        <f>IF(AND(P400&lt;&gt;"",P400&gt;0),(I400+J400+K400)/P400,"")</f>
        <v/>
      </c>
    </row>
    <row r="401" ht="81" customHeight="1">
      <c r="A401" s="5" t="inlineStr">
        <is>
          <t>2026-02-11</t>
        </is>
      </c>
      <c r="B401" s="5" t="inlineStr">
        <is>
          <t>7周</t>
        </is>
      </c>
      <c r="C401" s="5" t="inlineStr">
        <is>
          <t>小红书</t>
        </is>
      </c>
      <c r="D401" s="5" t="n"/>
      <c r="E401" s="5" t="n"/>
      <c r="F401" s="5" t="inlineStr">
        <is>
          <t>https://www.xiaohongshu.com/discovery/item/698c1e69000000001a0331b1?xsec_token=CBdo3Lua9aQhfIuhaGYMwPyV8-1YwJKIPnvcn3jGewoxw=&amp;xsec_source=app_share</t>
        </is>
      </c>
      <c r="G401" s="5" t="inlineStr">
        <is>
          <t>001A1</t>
        </is>
      </c>
      <c r="H401" s="5" t="inlineStr">
        <is>
          <t>赵一博</t>
        </is>
      </c>
      <c r="I401" s="5" t="n"/>
      <c r="J401" s="5" t="n"/>
      <c r="K401" s="5" t="n">
        <v>107.5</v>
      </c>
      <c r="L401" s="5" t="n">
        <v>948</v>
      </c>
      <c r="M401" s="5" t="n">
        <v>30</v>
      </c>
      <c r="N401" s="5" t="n">
        <v>3</v>
      </c>
      <c r="O401" s="5" t="n">
        <v>4</v>
      </c>
      <c r="P401" s="8">
        <f>IF(AND(M401&lt;&gt;"",M401&gt;0),M401+N401+O401,"")</f>
        <v/>
      </c>
      <c r="Q401" s="11">
        <f>IF(AND(L401&lt;&gt;"",L401&gt;0,P401&lt;&gt;""),P401/L401,"")</f>
        <v/>
      </c>
      <c r="R401" s="16">
        <f>IF(AND(P401&lt;&gt;"",P401&gt;0),(I401+J401+K401)/P401,"")</f>
        <v/>
      </c>
    </row>
    <row r="402" ht="81" customHeight="1">
      <c r="A402" s="5" t="inlineStr">
        <is>
          <t>2026-02-11</t>
        </is>
      </c>
      <c r="B402" s="5" t="inlineStr">
        <is>
          <t>7周</t>
        </is>
      </c>
      <c r="C402" s="5" t="inlineStr">
        <is>
          <t>小红书</t>
        </is>
      </c>
      <c r="D402" s="5" t="n"/>
      <c r="E402" s="5" t="n"/>
      <c r="F402" s="5" t="inlineStr">
        <is>
          <t>https://www.xiaohongshu.com/discovery/item/698c73b6000000000b012794?xsec_token=CBCbg0D4rhlPEHRZLL0qqy07o5-d1P5nF4F2VNwqrr8F4=&amp;xsec_source=app_share&amp;type=video</t>
        </is>
      </c>
      <c r="G402" s="5" t="inlineStr">
        <is>
          <t>1225</t>
        </is>
      </c>
      <c r="H402" s="5" t="inlineStr">
        <is>
          <t>学生</t>
        </is>
      </c>
      <c r="I402" s="5" t="n">
        <v>80</v>
      </c>
      <c r="J402" s="5" t="n"/>
      <c r="K402" s="5" t="n">
        <v>55.5</v>
      </c>
      <c r="L402" s="5" t="n">
        <v>23424</v>
      </c>
      <c r="M402" s="5" t="n">
        <v>2366</v>
      </c>
      <c r="N402" s="5" t="n">
        <v>170</v>
      </c>
      <c r="O402" s="5" t="n">
        <v>31</v>
      </c>
      <c r="P402" s="8">
        <f>IF(AND(M402&lt;&gt;"",M402&gt;0),M402+N402+O402,"")</f>
        <v/>
      </c>
      <c r="Q402" s="11">
        <f>IF(AND(L402&lt;&gt;"",L402&gt;0,P402&lt;&gt;""),P402/L402,"")</f>
        <v/>
      </c>
      <c r="R402" s="16">
        <f>IF(AND(P402&lt;&gt;"",P402&gt;0),(I402+J402+K402)/P402,"")</f>
        <v/>
      </c>
    </row>
    <row r="403" ht="81" customHeight="1">
      <c r="A403" s="5" t="inlineStr">
        <is>
          <t>2026-02-11</t>
        </is>
      </c>
      <c r="B403" s="5" t="inlineStr">
        <is>
          <t>7周</t>
        </is>
      </c>
      <c r="C403" s="5" t="inlineStr">
        <is>
          <t>小红书</t>
        </is>
      </c>
      <c r="D403" s="5" t="n"/>
      <c r="E403" s="5" t="n"/>
      <c r="F403" s="5" t="inlineStr">
        <is>
          <t>https://www.xiaohongshu.com/discovery/item/698c8458000000000b010084?xsec_token=CB40XeFVMTvzsPNAB7kbeg5O2YqoeokQzJa0Wg763S24Q=&amp;xsec_source=app_share&amp;type=video</t>
        </is>
      </c>
      <c r="G403" s="5" t="inlineStr">
        <is>
          <t>0002A1</t>
        </is>
      </c>
      <c r="H403" s="5" t="inlineStr">
        <is>
          <t>口播</t>
        </is>
      </c>
      <c r="I403" s="5" t="n"/>
      <c r="J403" s="5" t="n"/>
      <c r="K403" s="5" t="n">
        <v>110.5</v>
      </c>
      <c r="L403" s="5" t="n">
        <v>607</v>
      </c>
      <c r="M403" s="5" t="n">
        <v>34</v>
      </c>
      <c r="N403" s="5" t="n">
        <v>20</v>
      </c>
      <c r="O403" s="5" t="n">
        <v>2</v>
      </c>
      <c r="P403" s="8">
        <f>IF(AND(M403&lt;&gt;"",M403&gt;0),M403+N403+O403,"")</f>
        <v/>
      </c>
      <c r="Q403" s="11">
        <f>IF(AND(L403&lt;&gt;"",L403&gt;0,P403&lt;&gt;""),P403/L403,"")</f>
        <v/>
      </c>
      <c r="R403" s="16">
        <f>IF(AND(P403&lt;&gt;"",P403&gt;0),(I403+J403+K403)/P403,"")</f>
        <v/>
      </c>
    </row>
    <row r="404" ht="27" customHeight="1">
      <c r="A404" s="5" t="inlineStr">
        <is>
          <t>2026-02-12</t>
        </is>
      </c>
      <c r="B404" s="5" t="inlineStr">
        <is>
          <t>7周</t>
        </is>
      </c>
      <c r="C404" s="5" t="inlineStr">
        <is>
          <t>抖音</t>
        </is>
      </c>
      <c r="D404" s="5" t="n"/>
      <c r="E404" s="5" t="n"/>
      <c r="F404" s="5" t="inlineStr">
        <is>
          <t>https://v.douyin.com/8lqJBylr7LA/</t>
        </is>
      </c>
      <c r="G404" s="5" t="inlineStr">
        <is>
          <t>001A1</t>
        </is>
      </c>
      <c r="H404" s="5" t="inlineStr">
        <is>
          <t>穿搭</t>
        </is>
      </c>
      <c r="I404" s="5" t="n"/>
      <c r="J404" s="5" t="n"/>
      <c r="K404" s="5" t="n">
        <v>107.5</v>
      </c>
      <c r="L404" s="5" t="n">
        <v>4732</v>
      </c>
      <c r="M404" s="5" t="n">
        <v>882</v>
      </c>
      <c r="N404" s="5" t="n">
        <v>18</v>
      </c>
      <c r="O404" s="5" t="n">
        <v>11</v>
      </c>
      <c r="P404" s="8">
        <f>IF(AND(M404&lt;&gt;"",M404&gt;0),M404+N404+O404,"")</f>
        <v/>
      </c>
      <c r="Q404" s="11">
        <f>IF(AND(L404&lt;&gt;"",L404&gt;0,P404&lt;&gt;""),P404/L404,"")</f>
        <v/>
      </c>
      <c r="R404" s="16">
        <f>IF(AND(P404&lt;&gt;"",P404&gt;0),(I404+J404+K404)/P404,"")</f>
        <v/>
      </c>
    </row>
    <row r="405" ht="27" customHeight="1">
      <c r="A405" s="5" t="inlineStr">
        <is>
          <t>2026-02-12</t>
        </is>
      </c>
      <c r="B405" s="5" t="inlineStr">
        <is>
          <t>7周</t>
        </is>
      </c>
      <c r="C405" s="5" t="inlineStr">
        <is>
          <t>抖音</t>
        </is>
      </c>
      <c r="D405" s="5" t="n"/>
      <c r="E405" s="5" t="n"/>
      <c r="F405" s="5" t="inlineStr">
        <is>
          <t>https://v.douyin.com/gfLoooYar1c/</t>
        </is>
      </c>
      <c r="G405" s="5" t="inlineStr">
        <is>
          <t>495</t>
        </is>
      </c>
      <c r="H405" s="5" t="inlineStr">
        <is>
          <t>穿搭</t>
        </is>
      </c>
      <c r="I405" s="5" t="n">
        <v>200</v>
      </c>
      <c r="J405" s="5" t="n"/>
      <c r="K405" s="5" t="n">
        <v>93</v>
      </c>
      <c r="L405" s="5" t="n">
        <v>86000</v>
      </c>
      <c r="M405" s="5" t="n">
        <v>2263</v>
      </c>
      <c r="N405" s="5" t="n">
        <v>492</v>
      </c>
      <c r="O405" s="5" t="n">
        <v>35</v>
      </c>
      <c r="P405" s="8">
        <f>IF(AND(M405&lt;&gt;"",M405&gt;0),M405+N405+O405,"")</f>
        <v/>
      </c>
      <c r="Q405" s="11">
        <f>IF(AND(L405&lt;&gt;"",L405&gt;0,P405&lt;&gt;""),P405/L405,"")</f>
        <v/>
      </c>
      <c r="R405" s="16">
        <f>IF(AND(P405&lt;&gt;"",P405&gt;0),(I405+J405+K405)/P405,"")</f>
        <v/>
      </c>
    </row>
    <row r="406" ht="81" customHeight="1">
      <c r="A406" s="5" t="inlineStr">
        <is>
          <t>2026-02-12</t>
        </is>
      </c>
      <c r="B406" s="5" t="inlineStr">
        <is>
          <t>7周</t>
        </is>
      </c>
      <c r="C406" s="5" t="inlineStr">
        <is>
          <t>小红书</t>
        </is>
      </c>
      <c r="D406" s="5" t="n"/>
      <c r="E406" s="5" t="n"/>
      <c r="F406" s="5" t="inlineStr">
        <is>
          <t>https://www.xiaohongshu.com/discovery/item/698dc28e000000000a03da1b?xsec_token=CB0lPX19-_YK_NROgsvq-1jjMAU4v2AX_tGMS2DjarT6g=&amp;xsec_source=app_share&amp;type=video</t>
        </is>
      </c>
      <c r="G406" s="5" t="inlineStr">
        <is>
          <t>001A1</t>
        </is>
      </c>
      <c r="H406" s="5" t="inlineStr">
        <is>
          <t>赵一博</t>
        </is>
      </c>
      <c r="I406" s="5" t="n"/>
      <c r="J406" s="5" t="n"/>
      <c r="K406" s="5" t="n">
        <v>107.5</v>
      </c>
      <c r="L406" s="5" t="n">
        <v>1397</v>
      </c>
      <c r="M406" s="5" t="n">
        <v>126</v>
      </c>
      <c r="N406" s="5" t="n">
        <v>2</v>
      </c>
      <c r="O406" s="5" t="n">
        <v>2</v>
      </c>
      <c r="P406" s="8">
        <f>IF(AND(M406&lt;&gt;"",M406&gt;0),M406+N406+O406,"")</f>
        <v/>
      </c>
      <c r="Q406" s="11">
        <f>IF(AND(L406&lt;&gt;"",L406&gt;0,P406&lt;&gt;""),P406/L406,"")</f>
        <v/>
      </c>
      <c r="R406" s="16">
        <f>IF(AND(P406&lt;&gt;"",P406&gt;0),(I406+J406+K406)/P406,"")</f>
        <v/>
      </c>
    </row>
    <row r="407" ht="27" customHeight="1">
      <c r="A407" s="5" t="inlineStr">
        <is>
          <t>2026-02-13</t>
        </is>
      </c>
      <c r="B407" s="5" t="inlineStr">
        <is>
          <t>7周</t>
        </is>
      </c>
      <c r="C407" s="5" t="inlineStr">
        <is>
          <t>抖音</t>
        </is>
      </c>
      <c r="D407" s="5" t="n"/>
      <c r="E407" s="5" t="n"/>
      <c r="F407" s="5" t="inlineStr">
        <is>
          <t>https://v.douyin.com/sX-vSzs0xfA/ r@e.od</t>
        </is>
      </c>
      <c r="G407" s="5" t="inlineStr">
        <is>
          <t>0002A1</t>
        </is>
      </c>
      <c r="H407" s="5" t="inlineStr">
        <is>
          <t>刘耀文</t>
        </is>
      </c>
      <c r="I407" s="5" t="n"/>
      <c r="J407" s="5" t="n"/>
      <c r="K407" s="5" t="n">
        <v>110.5</v>
      </c>
      <c r="L407" s="5" t="n">
        <v>2144</v>
      </c>
      <c r="M407" s="5" t="n">
        <v>288</v>
      </c>
      <c r="N407" s="5" t="n">
        <v>8</v>
      </c>
      <c r="O407" s="5" t="n">
        <v>41</v>
      </c>
      <c r="P407" s="8">
        <f>IF(AND(M407&lt;&gt;"",M407&gt;0),M407+N407+O407,"")</f>
        <v/>
      </c>
      <c r="Q407" s="11">
        <f>IF(AND(L407&lt;&gt;"",L407&gt;0,P407&lt;&gt;""),P407/L407,"")</f>
        <v/>
      </c>
      <c r="R407" s="16">
        <f>IF(AND(P407&lt;&gt;"",P407&gt;0),(I407+J407+K407)/P407,"")</f>
        <v/>
      </c>
    </row>
    <row r="408" ht="27" customHeight="1">
      <c r="A408" s="5" t="inlineStr">
        <is>
          <t>2026-02-13</t>
        </is>
      </c>
      <c r="B408" s="5" t="inlineStr">
        <is>
          <t>7周</t>
        </is>
      </c>
      <c r="C408" s="5" t="inlineStr">
        <is>
          <t>抖音</t>
        </is>
      </c>
      <c r="D408" s="5" t="n"/>
      <c r="E408" s="5" t="n"/>
      <c r="F408" s="5" t="inlineStr">
        <is>
          <t>https://v.douyin.com/c3bIjYRwEc0/ b@a.aN</t>
        </is>
      </c>
      <c r="G408" s="5" t="inlineStr">
        <is>
          <t>0002A1</t>
        </is>
      </c>
      <c r="H408" s="5" t="inlineStr">
        <is>
          <t>刘耀文</t>
        </is>
      </c>
      <c r="I408" s="5" t="n"/>
      <c r="J408" s="5" t="n"/>
      <c r="K408" s="5" t="n">
        <v>110.5</v>
      </c>
      <c r="L408" s="5" t="n">
        <v>1928</v>
      </c>
      <c r="M408" s="5" t="n">
        <v>233</v>
      </c>
      <c r="N408" s="5" t="n">
        <v>10</v>
      </c>
      <c r="O408" s="5" t="n">
        <v>16</v>
      </c>
      <c r="P408" s="8">
        <f>IF(AND(M408&lt;&gt;"",M408&gt;0),M408+N408+O408,"")</f>
        <v/>
      </c>
      <c r="Q408" s="11">
        <f>IF(AND(L408&lt;&gt;"",L408&gt;0,P408&lt;&gt;""),P408/L408,"")</f>
        <v/>
      </c>
      <c r="R408" s="16">
        <f>IF(AND(P408&lt;&gt;"",P408&gt;0),(I408+J408+K408)/P408,"")</f>
        <v/>
      </c>
    </row>
    <row r="409" ht="27" customHeight="1">
      <c r="A409" s="5" t="inlineStr">
        <is>
          <t>2026-02-13</t>
        </is>
      </c>
      <c r="B409" s="5" t="inlineStr">
        <is>
          <t>7周</t>
        </is>
      </c>
      <c r="C409" s="5" t="inlineStr">
        <is>
          <t>抖音</t>
        </is>
      </c>
      <c r="D409" s="5" t="n"/>
      <c r="E409" s="5" t="n"/>
      <c r="F409" s="5" t="inlineStr">
        <is>
          <t>https://v.douyin.com/qMGnFy5GClM/</t>
        </is>
      </c>
      <c r="G409" s="5" t="inlineStr">
        <is>
          <t>001A1</t>
        </is>
      </c>
      <c r="H409" s="5" t="inlineStr">
        <is>
          <t>穿搭</t>
        </is>
      </c>
      <c r="I409" s="5" t="n"/>
      <c r="J409" s="5" t="n"/>
      <c r="K409" s="5" t="n">
        <v>107.5</v>
      </c>
      <c r="L409" s="5" t="n">
        <v>20000</v>
      </c>
      <c r="M409" s="5" t="n">
        <v>537</v>
      </c>
      <c r="N409" s="5" t="n">
        <v>41</v>
      </c>
      <c r="O409" s="5" t="n">
        <v>30</v>
      </c>
      <c r="P409" s="8">
        <f>IF(AND(M409&lt;&gt;"",M409&gt;0),M409+N409+O409,"")</f>
        <v/>
      </c>
      <c r="Q409" s="11">
        <f>IF(AND(L409&lt;&gt;"",L409&gt;0,P409&lt;&gt;""),P409/L409,"")</f>
        <v/>
      </c>
      <c r="R409" s="16">
        <f>IF(AND(P409&lt;&gt;"",P409&gt;0),(I409+J409+K409)/P409,"")</f>
        <v/>
      </c>
    </row>
    <row r="410" ht="67.5" customHeight="1">
      <c r="A410" s="5" t="inlineStr">
        <is>
          <t>2026-02-13</t>
        </is>
      </c>
      <c r="B410" s="5" t="inlineStr">
        <is>
          <t>7周</t>
        </is>
      </c>
      <c r="C410" s="5" t="inlineStr">
        <is>
          <t>抖音</t>
        </is>
      </c>
      <c r="D410" s="5" t="n"/>
      <c r="E410" s="5" t="n"/>
      <c r="F410" s="5" t="inlineStr">
        <is>
          <t>https://www.douyin.com/user/MS4wLjABAAAACnk52j3o5xcN7rhRxyGdr1GH7UBrGTDHZkh1kFENdBs?from_tab_name=main&amp;modal_id=7606300402405702757</t>
        </is>
      </c>
      <c r="G410" s="5" t="inlineStr">
        <is>
          <t>0002A1</t>
        </is>
      </c>
      <c r="H410" s="5" t="inlineStr">
        <is>
          <t>刘耀文</t>
        </is>
      </c>
      <c r="I410" s="5" t="n"/>
      <c r="J410" s="5" t="n"/>
      <c r="K410" s="5" t="n">
        <v>110.5</v>
      </c>
      <c r="L410" s="5" t="n">
        <v>4636</v>
      </c>
      <c r="M410" s="5" t="n">
        <v>733</v>
      </c>
      <c r="N410" s="5" t="n">
        <v>13</v>
      </c>
      <c r="O410" s="5" t="n">
        <v>124</v>
      </c>
      <c r="P410" s="8">
        <f>IF(AND(M410&lt;&gt;"",M410&gt;0),M410+N410+O410,"")</f>
        <v/>
      </c>
      <c r="Q410" s="11">
        <f>IF(AND(L410&lt;&gt;"",L410&gt;0,P410&lt;&gt;""),P410/L410,"")</f>
        <v/>
      </c>
      <c r="R410" s="16">
        <f>IF(AND(P410&lt;&gt;"",P410&gt;0),(I410+J410+K410)/P410,"")</f>
        <v/>
      </c>
    </row>
    <row r="411" ht="40.5" customHeight="1">
      <c r="A411" s="5" t="inlineStr">
        <is>
          <t>2026-02-13</t>
        </is>
      </c>
      <c r="B411" s="5" t="inlineStr">
        <is>
          <t>7周</t>
        </is>
      </c>
      <c r="C411" s="5" t="inlineStr">
        <is>
          <t>抖音</t>
        </is>
      </c>
      <c r="D411" s="5" t="n"/>
      <c r="E411" s="5" t="n"/>
      <c r="F411" s="5" t="inlineStr">
        <is>
          <t>https://www.douyin.com/user/self?from_tab_name=main&amp;modal_id=7606379970868998062&amp;showTab=like</t>
        </is>
      </c>
      <c r="G411" s="5" t="inlineStr">
        <is>
          <t>0002A1</t>
        </is>
      </c>
      <c r="H411" s="5" t="inlineStr">
        <is>
          <t>刘耀文</t>
        </is>
      </c>
      <c r="I411" s="5" t="n"/>
      <c r="J411" s="5" t="n"/>
      <c r="K411" s="5" t="n">
        <v>110.5</v>
      </c>
      <c r="L411" s="5" t="n">
        <v>4708</v>
      </c>
      <c r="M411" s="5" t="n">
        <v>362</v>
      </c>
      <c r="N411" s="5" t="n">
        <v>4</v>
      </c>
      <c r="O411" s="5" t="n">
        <v>50</v>
      </c>
      <c r="P411" s="8">
        <f>IF(AND(M411&lt;&gt;"",M411&gt;0),M411+N411+O411,"")</f>
        <v/>
      </c>
      <c r="Q411" s="11">
        <f>IF(AND(L411&lt;&gt;"",L411&gt;0,P411&lt;&gt;""),P411/L411,"")</f>
        <v/>
      </c>
      <c r="R411" s="16">
        <f>IF(AND(P411&lt;&gt;"",P411&gt;0),(I411+J411+K411)/P411,"")</f>
        <v/>
      </c>
    </row>
    <row r="412" ht="27" customHeight="1">
      <c r="A412" s="5" t="inlineStr">
        <is>
          <t>2026-02-13</t>
        </is>
      </c>
      <c r="B412" s="5" t="inlineStr">
        <is>
          <t>7周</t>
        </is>
      </c>
      <c r="C412" s="5" t="inlineStr">
        <is>
          <t>抖音</t>
        </is>
      </c>
      <c r="D412" s="5" t="n"/>
      <c r="E412" s="5" t="n"/>
      <c r="F412" s="5" t="inlineStr">
        <is>
          <t>https://v.douyin.com/x_NZ0sZhtBE/</t>
        </is>
      </c>
      <c r="G412" s="5" t="inlineStr">
        <is>
          <t>0002A1</t>
        </is>
      </c>
      <c r="H412" s="5" t="inlineStr">
        <is>
          <t>刘耀文</t>
        </is>
      </c>
      <c r="I412" s="5" t="n"/>
      <c r="J412" s="5" t="n"/>
      <c r="K412" s="5" t="n">
        <v>110.5</v>
      </c>
      <c r="L412" s="5" t="n">
        <v>1273</v>
      </c>
      <c r="M412" s="5" t="n">
        <v>113</v>
      </c>
      <c r="N412" s="5" t="n">
        <v>8</v>
      </c>
      <c r="O412" s="5" t="n">
        <v>13</v>
      </c>
      <c r="P412" s="8">
        <f>IF(AND(M412&lt;&gt;"",M412&gt;0),M412+N412+O412,"")</f>
        <v/>
      </c>
      <c r="Q412" s="11">
        <f>IF(AND(L412&lt;&gt;"",L412&gt;0,P412&lt;&gt;""),P412/L412,"")</f>
        <v/>
      </c>
      <c r="R412" s="16">
        <f>IF(AND(P412&lt;&gt;"",P412&gt;0),(I412+J412+K412)/P412,"")</f>
        <v/>
      </c>
    </row>
    <row r="413" ht="27" customHeight="1">
      <c r="A413" s="5" t="inlineStr">
        <is>
          <t>2026-02-13</t>
        </is>
      </c>
      <c r="B413" s="5" t="inlineStr">
        <is>
          <t>7周</t>
        </is>
      </c>
      <c r="C413" s="5" t="inlineStr">
        <is>
          <t>抖音</t>
        </is>
      </c>
      <c r="D413" s="5" t="n"/>
      <c r="E413" s="5" t="n"/>
      <c r="F413" s="5" t="inlineStr">
        <is>
          <t>https://v.douyin.com/-RwZTotaIoM/</t>
        </is>
      </c>
      <c r="G413" s="5" t="inlineStr">
        <is>
          <t>0002A1</t>
        </is>
      </c>
      <c r="H413" s="5" t="inlineStr">
        <is>
          <t>穿搭</t>
        </is>
      </c>
      <c r="I413" s="5" t="n"/>
      <c r="J413" s="5" t="n"/>
      <c r="K413" s="5" t="n">
        <v>110.5</v>
      </c>
      <c r="L413" s="5" t="n">
        <v>6073</v>
      </c>
      <c r="M413" s="5" t="n">
        <v>759</v>
      </c>
      <c r="N413" s="5" t="n">
        <v>27</v>
      </c>
      <c r="O413" s="5" t="n">
        <v>3</v>
      </c>
      <c r="P413" s="8">
        <f>IF(AND(M413&lt;&gt;"",M413&gt;0),M413+N413+O413,"")</f>
        <v/>
      </c>
      <c r="Q413" s="11">
        <f>IF(AND(L413&lt;&gt;"",L413&gt;0,P413&lt;&gt;""),P413/L413,"")</f>
        <v/>
      </c>
      <c r="R413" s="16">
        <f>IF(AND(P413&lt;&gt;"",P413&gt;0),(I413+J413+K413)/P413,"")</f>
        <v/>
      </c>
    </row>
    <row r="414" ht="27" customHeight="1">
      <c r="A414" s="5" t="inlineStr">
        <is>
          <t>2026-02-13</t>
        </is>
      </c>
      <c r="B414" s="5" t="inlineStr">
        <is>
          <t>7周</t>
        </is>
      </c>
      <c r="C414" s="5" t="inlineStr">
        <is>
          <t>抖音</t>
        </is>
      </c>
      <c r="D414" s="5" t="n"/>
      <c r="E414" s="5" t="n"/>
      <c r="F414" s="5" t="inlineStr">
        <is>
          <t>https://v.douyin.com/TJ61qJnZKj0/</t>
        </is>
      </c>
      <c r="G414" s="5" t="inlineStr">
        <is>
          <t>001A1</t>
        </is>
      </c>
      <c r="H414" s="5" t="inlineStr">
        <is>
          <t>赵一博</t>
        </is>
      </c>
      <c r="I414" s="5" t="n"/>
      <c r="J414" s="5" t="n"/>
      <c r="K414" s="5" t="n">
        <v>107.5</v>
      </c>
      <c r="L414" s="5" t="n">
        <v>20000</v>
      </c>
      <c r="M414" s="5" t="n">
        <v>542</v>
      </c>
      <c r="N414" s="5" t="n">
        <v>15</v>
      </c>
      <c r="O414" s="5" t="n">
        <v>20</v>
      </c>
      <c r="P414" s="8">
        <f>IF(AND(M414&lt;&gt;"",M414&gt;0),M414+N414+O414,"")</f>
        <v/>
      </c>
      <c r="Q414" s="11">
        <f>IF(AND(L414&lt;&gt;"",L414&gt;0,P414&lt;&gt;""),P414/L414,"")</f>
        <v/>
      </c>
      <c r="R414" s="16">
        <f>IF(AND(P414&lt;&gt;"",P414&gt;0),(I414+J414+K414)/P414,"")</f>
        <v/>
      </c>
    </row>
    <row r="415" ht="67.5" customHeight="1">
      <c r="A415" s="5" t="inlineStr">
        <is>
          <t>2026-02-13</t>
        </is>
      </c>
      <c r="B415" s="5" t="inlineStr">
        <is>
          <t>7周</t>
        </is>
      </c>
      <c r="C415" s="5" t="inlineStr">
        <is>
          <t>小红书</t>
        </is>
      </c>
      <c r="D415" s="5" t="n"/>
      <c r="E415" s="5" t="n"/>
      <c r="F415" s="5" t="inlineStr">
        <is>
          <t>https://www.xiaohongshu.com/discovery/item/698e8e3b000000000b01108a?xsec_token=CBMr3dvu8iqxdroMjvj5SSCRuUB81W5ASi9xdcY7zObmc=&amp;xsec_source=app_share</t>
        </is>
      </c>
      <c r="G415" s="5" t="inlineStr">
        <is>
          <t>0002A1</t>
        </is>
      </c>
      <c r="H415" s="5" t="inlineStr">
        <is>
          <t>穿搭</t>
        </is>
      </c>
      <c r="I415" s="5" t="n"/>
      <c r="J415" s="5" t="n"/>
      <c r="K415" s="5" t="n">
        <v>110.5</v>
      </c>
      <c r="L415" s="5" t="n">
        <v>2319</v>
      </c>
      <c r="M415" s="5" t="n">
        <v>144</v>
      </c>
      <c r="N415" s="5" t="n">
        <v>28</v>
      </c>
      <c r="O415" s="5" t="n">
        <v>4</v>
      </c>
      <c r="P415" s="8">
        <f>IF(AND(M415&lt;&gt;"",M415&gt;0),M415+N415+O415,"")</f>
        <v/>
      </c>
      <c r="Q415" s="11">
        <f>IF(AND(L415&lt;&gt;"",L415&gt;0,P415&lt;&gt;""),P415/L415,"")</f>
        <v/>
      </c>
      <c r="R415" s="16">
        <f>IF(AND(P415&lt;&gt;"",P415&gt;0),(I415+J415+K415)/P415,"")</f>
        <v/>
      </c>
    </row>
    <row r="416" ht="67.5" customHeight="1">
      <c r="A416" s="5" t="inlineStr">
        <is>
          <t>2026-02-13</t>
        </is>
      </c>
      <c r="B416" s="5" t="inlineStr">
        <is>
          <t>7周</t>
        </is>
      </c>
      <c r="C416" s="5" t="inlineStr">
        <is>
          <t>小红书</t>
        </is>
      </c>
      <c r="D416" s="5" t="n"/>
      <c r="E416" s="5" t="n"/>
      <c r="F416" s="5" t="inlineStr">
        <is>
          <t>https://www.xiaohongshu.com/discovery/item/698edf0e0000000015030bb5?xsec_token=CBYN4USPgLURnYTOnH9imHr6lhv0BolVYEuMiJWtyd2Eg=&amp;xsec_source=app_share</t>
        </is>
      </c>
      <c r="G416" s="5" t="inlineStr">
        <is>
          <t>0002A1</t>
        </is>
      </c>
      <c r="H416" s="5" t="inlineStr">
        <is>
          <t>刘耀文</t>
        </is>
      </c>
      <c r="I416" s="5" t="n"/>
      <c r="J416" s="5" t="n"/>
      <c r="K416" s="5" t="n">
        <v>110.5</v>
      </c>
      <c r="L416" s="5" t="n">
        <v>222</v>
      </c>
      <c r="M416" s="5" t="n">
        <v>8</v>
      </c>
      <c r="N416" s="5" t="n">
        <v>3</v>
      </c>
      <c r="O416" s="5" t="n">
        <v>4</v>
      </c>
      <c r="P416" s="8">
        <f>IF(AND(M416&lt;&gt;"",M416&gt;0),M416+N416+O416,"")</f>
        <v/>
      </c>
      <c r="Q416" s="11">
        <f>IF(AND(L416&lt;&gt;"",L416&gt;0,P416&lt;&gt;""),P416/L416,"")</f>
        <v/>
      </c>
      <c r="R416" s="16">
        <f>IF(AND(P416&lt;&gt;"",P416&gt;0),(I416+J416+K416)/P416,"")</f>
        <v/>
      </c>
    </row>
    <row r="417" ht="27" customHeight="1">
      <c r="A417" s="5" t="inlineStr">
        <is>
          <t>2026-02-14</t>
        </is>
      </c>
      <c r="B417" s="5" t="inlineStr">
        <is>
          <t>7周</t>
        </is>
      </c>
      <c r="C417" s="5" t="inlineStr">
        <is>
          <t>抖音</t>
        </is>
      </c>
      <c r="D417" s="5" t="n"/>
      <c r="E417" s="5" t="n"/>
      <c r="F417" s="5" t="inlineStr">
        <is>
          <t>https://www.douyin.com/note/7602974704147968723</t>
        </is>
      </c>
      <c r="G417" s="5" t="inlineStr">
        <is>
          <t>495</t>
        </is>
      </c>
      <c r="H417" s="5" t="inlineStr">
        <is>
          <t>穿搭</t>
        </is>
      </c>
      <c r="I417" s="5" t="n"/>
      <c r="J417" s="5" t="n"/>
      <c r="K417" s="5" t="n">
        <v>93</v>
      </c>
      <c r="L417" s="5" t="n">
        <v>9842</v>
      </c>
      <c r="M417" s="5" t="n">
        <v>808</v>
      </c>
      <c r="N417" s="5" t="n">
        <v>42</v>
      </c>
      <c r="O417" s="5" t="n">
        <v>40</v>
      </c>
      <c r="P417" s="8">
        <f>IF(AND(M417&lt;&gt;"",M417&gt;0),M417+N417+O417,"")</f>
        <v/>
      </c>
      <c r="Q417" s="11">
        <f>IF(AND(L417&lt;&gt;"",L417&gt;0,P417&lt;&gt;""),P417/L417,"")</f>
        <v/>
      </c>
      <c r="R417" s="16">
        <f>IF(AND(P417&lt;&gt;"",P417&gt;0),(I417+J417+K417)/P417,"")</f>
        <v/>
      </c>
    </row>
    <row r="418" ht="27" customHeight="1">
      <c r="A418" s="5" t="inlineStr">
        <is>
          <t>2026-02-14</t>
        </is>
      </c>
      <c r="B418" s="5" t="inlineStr">
        <is>
          <t>7周</t>
        </is>
      </c>
      <c r="C418" s="5" t="inlineStr">
        <is>
          <t>抖音</t>
        </is>
      </c>
      <c r="D418" s="5" t="n"/>
      <c r="E418" s="5" t="n"/>
      <c r="F418" s="5" t="inlineStr">
        <is>
          <t>https://v.douyin.com/Dw91udIzuxk/</t>
        </is>
      </c>
      <c r="G418" s="5" t="inlineStr">
        <is>
          <t>495</t>
        </is>
      </c>
      <c r="H418" s="5" t="inlineStr">
        <is>
          <t>穿搭</t>
        </is>
      </c>
      <c r="I418" s="5" t="n"/>
      <c r="J418" s="5" t="n"/>
      <c r="K418" s="5" t="n">
        <v>93</v>
      </c>
      <c r="L418" s="5" t="n">
        <v>93000</v>
      </c>
      <c r="M418" s="5" t="n">
        <v>839</v>
      </c>
      <c r="N418" s="5" t="n">
        <v>392</v>
      </c>
      <c r="O418" s="5" t="n">
        <v>17</v>
      </c>
      <c r="P418" s="8">
        <f>IF(AND(M418&lt;&gt;"",M418&gt;0),M418+N418+O418,"")</f>
        <v/>
      </c>
      <c r="Q418" s="11">
        <f>IF(AND(L418&lt;&gt;"",L418&gt;0,P418&lt;&gt;""),P418/L418,"")</f>
        <v/>
      </c>
      <c r="R418" s="16">
        <f>IF(AND(P418&lt;&gt;"",P418&gt;0),(I418+J418+K418)/P418,"")</f>
        <v/>
      </c>
    </row>
    <row r="419" ht="27" customHeight="1">
      <c r="A419" s="5" t="inlineStr">
        <is>
          <t>2026-02-14</t>
        </is>
      </c>
      <c r="B419" s="5" t="inlineStr">
        <is>
          <t>7周</t>
        </is>
      </c>
      <c r="C419" s="5" t="inlineStr">
        <is>
          <t>抖音</t>
        </is>
      </c>
      <c r="D419" s="5" t="n"/>
      <c r="E419" s="5" t="n"/>
      <c r="F419" s="5" t="inlineStr">
        <is>
          <t>https://v.douyin.com/gP_Cg2yEzfg/</t>
        </is>
      </c>
      <c r="G419" s="5" t="inlineStr">
        <is>
          <t>495</t>
        </is>
      </c>
      <c r="H419" s="5" t="inlineStr">
        <is>
          <t>开箱</t>
        </is>
      </c>
      <c r="I419" s="5" t="n">
        <v>600</v>
      </c>
      <c r="J419" s="5" t="n"/>
      <c r="K419" s="5" t="n">
        <v>93</v>
      </c>
      <c r="L419" s="5" t="n">
        <v>12000</v>
      </c>
      <c r="M419" s="5" t="n">
        <v>1967</v>
      </c>
      <c r="N419" s="5" t="n">
        <v>257</v>
      </c>
      <c r="O419" s="5" t="n">
        <v>39</v>
      </c>
      <c r="P419" s="8">
        <f>IF(AND(M419&lt;&gt;"",M419&gt;0),M419+N419+O419,"")</f>
        <v/>
      </c>
      <c r="Q419" s="11">
        <f>IF(AND(L419&lt;&gt;"",L419&gt;0,P419&lt;&gt;""),P419/L419,"")</f>
        <v/>
      </c>
      <c r="R419" s="16">
        <f>IF(AND(P419&lt;&gt;"",P419&gt;0),(I419+J419+K419)/P419,"")</f>
        <v/>
      </c>
    </row>
    <row r="420" ht="27" customHeight="1">
      <c r="A420" s="5" t="inlineStr">
        <is>
          <t>2026-02-14</t>
        </is>
      </c>
      <c r="B420" s="5" t="inlineStr">
        <is>
          <t>7周</t>
        </is>
      </c>
      <c r="C420" s="5" t="inlineStr">
        <is>
          <t>抖音</t>
        </is>
      </c>
      <c r="D420" s="5" t="n"/>
      <c r="E420" s="5" t="n"/>
      <c r="F420" s="5" t="inlineStr">
        <is>
          <t>https://v.douyin.com/qUMwv6l1KBY/</t>
        </is>
      </c>
      <c r="G420" s="5" t="inlineStr">
        <is>
          <t>001A1</t>
        </is>
      </c>
      <c r="H420" s="5" t="inlineStr">
        <is>
          <t>赵一博</t>
        </is>
      </c>
      <c r="I420" s="5" t="n"/>
      <c r="J420" s="5" t="n"/>
      <c r="K420" s="5" t="n">
        <v>107.5</v>
      </c>
      <c r="L420" s="5" t="n">
        <v>2529</v>
      </c>
      <c r="M420" s="5" t="n">
        <v>122</v>
      </c>
      <c r="N420" s="5" t="n">
        <v>0</v>
      </c>
      <c r="O420" s="5" t="n">
        <v>49</v>
      </c>
      <c r="P420" s="8">
        <f>IF(AND(M420&lt;&gt;"",M420&gt;0),M420+N420+O420,"")</f>
        <v/>
      </c>
      <c r="Q420" s="11">
        <f>IF(AND(L420&lt;&gt;"",L420&gt;0,P420&lt;&gt;""),P420/L420,"")</f>
        <v/>
      </c>
      <c r="R420" s="16">
        <f>IF(AND(P420&lt;&gt;"",P420&gt;0),(I420+J420+K420)/P420,"")</f>
        <v/>
      </c>
    </row>
    <row r="421" ht="27" customHeight="1">
      <c r="A421" s="5" t="inlineStr">
        <is>
          <t>2026-02-14</t>
        </is>
      </c>
      <c r="B421" s="5" t="inlineStr">
        <is>
          <t>7周</t>
        </is>
      </c>
      <c r="C421" s="5" t="inlineStr">
        <is>
          <t>抖音</t>
        </is>
      </c>
      <c r="D421" s="5" t="n"/>
      <c r="E421" s="5" t="n"/>
      <c r="F421" s="5" t="inlineStr">
        <is>
          <t>https://v.douyin.com/92o1mpe6ttQ/</t>
        </is>
      </c>
      <c r="G421" s="5" t="inlineStr">
        <is>
          <t>0002A1</t>
        </is>
      </c>
      <c r="H421" s="5" t="inlineStr">
        <is>
          <t>刘耀文</t>
        </is>
      </c>
      <c r="I421" s="5" t="n"/>
      <c r="J421" s="5" t="n"/>
      <c r="K421" s="5" t="n">
        <v>110.5</v>
      </c>
      <c r="L421" s="5" t="n">
        <v>30000</v>
      </c>
      <c r="M421" s="5" t="n">
        <v>3560</v>
      </c>
      <c r="N421" s="5" t="n">
        <v>190</v>
      </c>
      <c r="O421" s="5" t="n">
        <v>114</v>
      </c>
      <c r="P421" s="8">
        <f>IF(AND(M421&lt;&gt;"",M421&gt;0),M421+N421+O421,"")</f>
        <v/>
      </c>
      <c r="Q421" s="11">
        <f>IF(AND(L421&lt;&gt;"",L421&gt;0,P421&lt;&gt;""),P421/L421,"")</f>
        <v/>
      </c>
      <c r="R421" s="16">
        <f>IF(AND(P421&lt;&gt;"",P421&gt;0),(I421+J421+K421)/P421,"")</f>
        <v/>
      </c>
    </row>
    <row r="422">
      <c r="A422" s="5" t="inlineStr">
        <is>
          <t>2026-02-14</t>
        </is>
      </c>
      <c r="B422" s="5" t="inlineStr">
        <is>
          <t>7周</t>
        </is>
      </c>
      <c r="C422" s="5" t="inlineStr">
        <is>
          <t>快手</t>
        </is>
      </c>
      <c r="D422" s="5" t="n"/>
      <c r="E422" s="5" t="n"/>
      <c r="F422" s="5" t="inlineStr">
        <is>
          <t>https://v.kuaishou.com/nH4jMXdI</t>
        </is>
      </c>
      <c r="G422" s="5" t="inlineStr">
        <is>
          <t>0002A1</t>
        </is>
      </c>
      <c r="H422" s="5" t="inlineStr">
        <is>
          <t>刘耀文</t>
        </is>
      </c>
      <c r="I422" s="5" t="n"/>
      <c r="J422" s="5" t="n"/>
      <c r="K422" s="5" t="n">
        <v>110.5</v>
      </c>
      <c r="L422" s="5" t="n">
        <v>19000</v>
      </c>
      <c r="M422" s="5" t="n">
        <v>2439</v>
      </c>
      <c r="N422" s="5" t="n">
        <v>116</v>
      </c>
      <c r="O422" s="5" t="n">
        <v>30</v>
      </c>
      <c r="P422" s="8">
        <f>IF(AND(M422&lt;&gt;"",M422&gt;0),M422+N422+O422,"")</f>
        <v/>
      </c>
      <c r="Q422" s="11">
        <f>IF(AND(L422&lt;&gt;"",L422&gt;0,P422&lt;&gt;""),P422/L422,"")</f>
        <v/>
      </c>
      <c r="R422" s="16">
        <f>IF(AND(P422&lt;&gt;"",P422&gt;0),(I422+J422+K422)/P422,"")</f>
        <v/>
      </c>
    </row>
    <row r="423" ht="54" customHeight="1">
      <c r="A423" s="5" t="inlineStr">
        <is>
          <t>2026-02-14</t>
        </is>
      </c>
      <c r="B423" s="5" t="inlineStr">
        <is>
          <t>7周</t>
        </is>
      </c>
      <c r="C423" s="5" t="inlineStr">
        <is>
          <t>抖音</t>
        </is>
      </c>
      <c r="D423" s="5" t="n"/>
      <c r="E423" s="5" t="n"/>
      <c r="F423" s="5" t="inlineStr">
        <is>
          <t>https://www.douyin.com/user/MS4wLjABAAAABXOiUa6S1hLjUx-J0LlsD-St4tbF0Xp6KDvhBUjLDgI?modal_id=7608799334481640858</t>
        </is>
      </c>
      <c r="G423" s="5" t="inlineStr">
        <is>
          <t>1217W</t>
        </is>
      </c>
      <c r="H423" s="5" t="inlineStr">
        <is>
          <t>学生</t>
        </is>
      </c>
      <c r="I423" s="5" t="n"/>
      <c r="J423" s="5" t="n"/>
      <c r="K423" s="5" t="n">
        <v>54</v>
      </c>
      <c r="L423" s="5" t="n">
        <v>3663</v>
      </c>
      <c r="M423" s="5" t="n">
        <v>649</v>
      </c>
      <c r="N423" s="5" t="n">
        <v>57</v>
      </c>
      <c r="O423" s="5" t="n">
        <v>78</v>
      </c>
      <c r="P423" s="8">
        <f>IF(AND(M423&lt;&gt;"",M423&gt;0),M423+N423+O423,"")</f>
        <v/>
      </c>
      <c r="Q423" s="11">
        <f>IF(AND(L423&lt;&gt;"",L423&gt;0,P423&lt;&gt;""),P423/L423,"")</f>
        <v/>
      </c>
      <c r="R423" s="16">
        <f>IF(AND(P423&lt;&gt;"",P423&gt;0),(I423+J423+K423)/P423,"")</f>
        <v/>
      </c>
    </row>
    <row r="424" ht="81" customHeight="1">
      <c r="A424" s="5" t="inlineStr">
        <is>
          <t>2026-02-14</t>
        </is>
      </c>
      <c r="B424" s="5" t="inlineStr">
        <is>
          <t>7周</t>
        </is>
      </c>
      <c r="C424" s="5" t="inlineStr">
        <is>
          <t>小红书</t>
        </is>
      </c>
      <c r="D424" s="5" t="n"/>
      <c r="E424" s="5" t="n"/>
      <c r="F424" s="5" t="inlineStr">
        <is>
          <t>https://www.xiaohongshu.com/discovery/item/69902292000000001a01f6d8?xsec_token=CBsBmssMS1RGvcR3CmFBxwJlkIqSCEtpXd2ba1j_9G6gI=&amp;xsec_source=app_share&amp;type=video</t>
        </is>
      </c>
      <c r="G424" s="5" t="inlineStr">
        <is>
          <t>0002A1</t>
        </is>
      </c>
      <c r="H424" s="5" t="inlineStr">
        <is>
          <t>穿搭</t>
        </is>
      </c>
      <c r="I424" s="5" t="n"/>
      <c r="J424" s="5" t="n"/>
      <c r="K424" s="5" t="n">
        <v>110.5</v>
      </c>
      <c r="L424" s="5" t="n">
        <v>1458</v>
      </c>
      <c r="M424" s="5" t="n">
        <v>92</v>
      </c>
      <c r="N424" s="5" t="n">
        <v>26</v>
      </c>
      <c r="O424" s="5" t="n">
        <v>8</v>
      </c>
      <c r="P424" s="8">
        <f>IF(AND(M424&lt;&gt;"",M424&gt;0),M424+N424+O424,"")</f>
        <v/>
      </c>
      <c r="Q424" s="11">
        <f>IF(AND(L424&lt;&gt;"",L424&gt;0,P424&lt;&gt;""),P424/L424,"")</f>
        <v/>
      </c>
      <c r="R424" s="16">
        <f>IF(AND(P424&lt;&gt;"",P424&gt;0),(I424+J424+K424)/P424,"")</f>
        <v/>
      </c>
    </row>
    <row r="425" ht="27" customHeight="1">
      <c r="A425" s="5" t="inlineStr">
        <is>
          <t>2026-02-15</t>
        </is>
      </c>
      <c r="B425" s="5" t="inlineStr">
        <is>
          <t>7周</t>
        </is>
      </c>
      <c r="C425" s="5" t="inlineStr">
        <is>
          <t>抖音</t>
        </is>
      </c>
      <c r="D425" s="5" t="n"/>
      <c r="E425" s="5" t="n"/>
      <c r="F425" s="5" t="inlineStr">
        <is>
          <t>https://v.douyin.com/J2Wx9W7Z2Zo/</t>
        </is>
      </c>
      <c r="G425" s="5" t="inlineStr">
        <is>
          <t>0002A1</t>
        </is>
      </c>
      <c r="H425" s="5" t="inlineStr">
        <is>
          <t>新年好物</t>
        </is>
      </c>
      <c r="I425" s="5" t="n">
        <v>60</v>
      </c>
      <c r="J425" s="5" t="n"/>
      <c r="K425" s="5" t="n">
        <v>110.5</v>
      </c>
      <c r="L425" s="5" t="n">
        <v>8839</v>
      </c>
      <c r="M425" s="5" t="n">
        <v>730</v>
      </c>
      <c r="N425" s="5" t="n">
        <v>41</v>
      </c>
      <c r="O425" s="5" t="n">
        <v>62</v>
      </c>
      <c r="P425" s="8">
        <f>IF(AND(M425&lt;&gt;"",M425&gt;0),M425+N425+O425,"")</f>
        <v/>
      </c>
      <c r="Q425" s="11">
        <f>IF(AND(L425&lt;&gt;"",L425&gt;0,P425&lt;&gt;""),P425/L425,"")</f>
        <v/>
      </c>
      <c r="R425" s="16">
        <f>IF(AND(P425&lt;&gt;"",P425&gt;0),(I425+J425+K425)/P425,"")</f>
        <v/>
      </c>
    </row>
    <row r="426" ht="27" customHeight="1">
      <c r="A426" s="5" t="inlineStr">
        <is>
          <t>2026-02-15</t>
        </is>
      </c>
      <c r="B426" s="5" t="inlineStr">
        <is>
          <t>7周</t>
        </is>
      </c>
      <c r="C426" s="5" t="inlineStr">
        <is>
          <t>抖音</t>
        </is>
      </c>
      <c r="D426" s="5" t="n"/>
      <c r="E426" s="5" t="n"/>
      <c r="F426" s="5" t="inlineStr">
        <is>
          <t>https://v.douyin.com/tapGJsIE-kY/</t>
        </is>
      </c>
      <c r="G426" s="5" t="inlineStr">
        <is>
          <t>001A1</t>
        </is>
      </c>
      <c r="H426" s="5" t="inlineStr">
        <is>
          <t>穿搭</t>
        </is>
      </c>
      <c r="I426" s="5" t="n"/>
      <c r="J426" s="5" t="n"/>
      <c r="K426" s="5" t="n">
        <v>107.5</v>
      </c>
      <c r="L426" s="5" t="n">
        <v>7000</v>
      </c>
      <c r="M426" s="5" t="n">
        <v>375</v>
      </c>
      <c r="N426" s="5" t="n">
        <v>7</v>
      </c>
      <c r="O426" s="5" t="n">
        <v>49</v>
      </c>
      <c r="P426" s="8">
        <f>IF(AND(M426&lt;&gt;"",M426&gt;0),M426+N426+O426,"")</f>
        <v/>
      </c>
      <c r="Q426" s="11">
        <f>IF(AND(L426&lt;&gt;"",L426&gt;0,P426&lt;&gt;""),P426/L426,"")</f>
        <v/>
      </c>
      <c r="R426" s="16">
        <f>IF(AND(P426&lt;&gt;"",P426&gt;0),(I426+J426+K426)/P426,"")</f>
        <v/>
      </c>
    </row>
    <row r="427" ht="27" customHeight="1">
      <c r="A427" s="5" t="inlineStr">
        <is>
          <t>2026-02-15</t>
        </is>
      </c>
      <c r="B427" s="5" t="inlineStr">
        <is>
          <t>7周</t>
        </is>
      </c>
      <c r="C427" s="5" t="inlineStr">
        <is>
          <t>抖音</t>
        </is>
      </c>
      <c r="D427" s="5" t="n"/>
      <c r="E427" s="5" t="n"/>
      <c r="F427" s="5" t="inlineStr">
        <is>
          <t>https://v.douyin.com/P3KHqvvrWSE/</t>
        </is>
      </c>
      <c r="G427" s="5" t="inlineStr">
        <is>
          <t>001A1</t>
        </is>
      </c>
      <c r="H427" s="5" t="inlineStr">
        <is>
          <t>穿搭</t>
        </is>
      </c>
      <c r="I427" s="5" t="n">
        <v>150</v>
      </c>
      <c r="J427" s="5" t="n"/>
      <c r="K427" s="5" t="n">
        <v>107.5</v>
      </c>
      <c r="L427" s="5" t="n">
        <v>6000</v>
      </c>
      <c r="M427" s="5" t="n">
        <v>1046</v>
      </c>
      <c r="N427" s="5" t="n">
        <v>44</v>
      </c>
      <c r="O427" s="5" t="n">
        <v>4</v>
      </c>
      <c r="P427" s="8">
        <f>IF(AND(M427&lt;&gt;"",M427&gt;0),M427+N427+O427,"")</f>
        <v/>
      </c>
      <c r="Q427" s="11">
        <f>IF(AND(L427&lt;&gt;"",L427&gt;0,P427&lt;&gt;""),P427/L427,"")</f>
        <v/>
      </c>
      <c r="R427" s="16">
        <f>IF(AND(P427&lt;&gt;"",P427&gt;0),(I427+J427+K427)/P427,"")</f>
        <v/>
      </c>
    </row>
    <row r="428" ht="27" customHeight="1">
      <c r="A428" s="5" t="inlineStr">
        <is>
          <t>2026-02-15</t>
        </is>
      </c>
      <c r="B428" s="5" t="inlineStr">
        <is>
          <t>7周</t>
        </is>
      </c>
      <c r="C428" s="5" t="inlineStr">
        <is>
          <t>抖音</t>
        </is>
      </c>
      <c r="D428" s="5" t="n"/>
      <c r="E428" s="5" t="n"/>
      <c r="F428" s="5" t="inlineStr">
        <is>
          <t>https://v.douyin.com/1oTdDROm64Q/</t>
        </is>
      </c>
      <c r="G428" s="5" t="inlineStr">
        <is>
          <t>0002A1</t>
        </is>
      </c>
      <c r="H428" s="5" t="inlineStr">
        <is>
          <t>穿搭</t>
        </is>
      </c>
      <c r="I428" s="5" t="n">
        <v>300</v>
      </c>
      <c r="J428" s="5" t="n"/>
      <c r="K428" s="5" t="n">
        <v>110.5</v>
      </c>
      <c r="L428" s="5" t="n">
        <v>15000</v>
      </c>
      <c r="M428" s="5" t="n">
        <v>306</v>
      </c>
      <c r="N428" s="5" t="n">
        <v>22</v>
      </c>
      <c r="O428" s="5" t="n">
        <v>14</v>
      </c>
      <c r="P428" s="8">
        <f>IF(AND(M428&lt;&gt;"",M428&gt;0),M428+N428+O428,"")</f>
        <v/>
      </c>
      <c r="Q428" s="11">
        <f>IF(AND(L428&lt;&gt;"",L428&gt;0,P428&lt;&gt;""),P428/L428,"")</f>
        <v/>
      </c>
      <c r="R428" s="16">
        <f>IF(AND(P428&lt;&gt;"",P428&gt;0),(I428+J428+K428)/P428,"")</f>
        <v/>
      </c>
    </row>
    <row r="429" ht="27" customHeight="1">
      <c r="A429" s="5" t="inlineStr">
        <is>
          <t>2026-02-15</t>
        </is>
      </c>
      <c r="B429" s="5" t="inlineStr">
        <is>
          <t>7周</t>
        </is>
      </c>
      <c r="C429" s="5" t="inlineStr">
        <is>
          <t>抖音</t>
        </is>
      </c>
      <c r="D429" s="5" t="n"/>
      <c r="E429" s="5" t="n"/>
      <c r="F429" s="5" t="inlineStr">
        <is>
          <t>https://v.douyin.com/VS5bUyvnZ6Y/</t>
        </is>
      </c>
      <c r="G429" s="5" t="inlineStr">
        <is>
          <t>0002A1</t>
        </is>
      </c>
      <c r="H429" s="5" t="inlineStr">
        <is>
          <t>穿搭</t>
        </is>
      </c>
      <c r="I429" s="5" t="n"/>
      <c r="J429" s="5" t="n"/>
      <c r="K429" s="5" t="n">
        <v>110.5</v>
      </c>
      <c r="L429" s="5" t="n">
        <v>5590</v>
      </c>
      <c r="M429" s="5" t="n">
        <v>419</v>
      </c>
      <c r="N429" s="5" t="n">
        <v>34</v>
      </c>
      <c r="O429" s="5" t="n">
        <v>11</v>
      </c>
      <c r="P429" s="8">
        <f>IF(AND(M429&lt;&gt;"",M429&gt;0),M429+N429+O429,"")</f>
        <v/>
      </c>
      <c r="Q429" s="11">
        <f>IF(AND(L429&lt;&gt;"",L429&gt;0,P429&lt;&gt;""),P429/L429,"")</f>
        <v/>
      </c>
      <c r="R429" s="16">
        <f>IF(AND(P429&lt;&gt;"",P429&gt;0),(I429+J429+K429)/P429,"")</f>
        <v/>
      </c>
    </row>
    <row r="430" ht="27" customHeight="1">
      <c r="A430" s="5" t="inlineStr">
        <is>
          <t>2026-02-15</t>
        </is>
      </c>
      <c r="B430" s="5" t="inlineStr">
        <is>
          <t>7周</t>
        </is>
      </c>
      <c r="C430" s="5" t="inlineStr">
        <is>
          <t>抖音</t>
        </is>
      </c>
      <c r="D430" s="5" t="n"/>
      <c r="E430" s="5" t="n"/>
      <c r="F430" s="5" t="inlineStr">
        <is>
          <t>https://v.douyin.com/kTRlnst7Urw/ v@f.oD</t>
        </is>
      </c>
      <c r="G430" s="5" t="inlineStr">
        <is>
          <t>001A1</t>
        </is>
      </c>
      <c r="H430" s="5" t="inlineStr">
        <is>
          <t>新年好物</t>
        </is>
      </c>
      <c r="I430" s="5" t="n"/>
      <c r="J430" s="5" t="n"/>
      <c r="K430" s="5" t="n">
        <v>107.5</v>
      </c>
      <c r="L430" s="5" t="n">
        <v>11000</v>
      </c>
      <c r="M430" s="5" t="n">
        <v>1184</v>
      </c>
      <c r="N430" s="5" t="n">
        <v>53</v>
      </c>
      <c r="O430" s="5" t="n">
        <v>17</v>
      </c>
      <c r="P430" s="8">
        <f>IF(AND(M430&lt;&gt;"",M430&gt;0),M430+N430+O430,"")</f>
        <v/>
      </c>
      <c r="Q430" s="11">
        <f>IF(AND(L430&lt;&gt;"",L430&gt;0,P430&lt;&gt;""),P430/L430,"")</f>
        <v/>
      </c>
      <c r="R430" s="16">
        <f>IF(AND(P430&lt;&gt;"",P430&gt;0),(I430+J430+K430)/P430,"")</f>
        <v/>
      </c>
    </row>
    <row r="431" ht="81" customHeight="1">
      <c r="A431" s="5" t="inlineStr">
        <is>
          <t>2026-02-15</t>
        </is>
      </c>
      <c r="B431" s="5" t="inlineStr">
        <is>
          <t>7周</t>
        </is>
      </c>
      <c r="C431" s="5" t="inlineStr">
        <is>
          <t>小红书</t>
        </is>
      </c>
      <c r="D431" s="5" t="n"/>
      <c r="E431" s="5" t="n"/>
      <c r="F431" s="5" t="inlineStr">
        <is>
          <t>https://www.xiaohongshu.com/discovery/item/6991b06c000000001d0278ad?xsec_token=CBFLP2HWaqLwsMKc-GpqLhyDtinBxAqEpINu6lBgmQ6gU=&amp;xsec_source=app_share</t>
        </is>
      </c>
      <c r="G431" s="5" t="inlineStr">
        <is>
          <t>0002A1</t>
        </is>
      </c>
      <c r="H431" s="5" t="inlineStr">
        <is>
          <t>穿搭</t>
        </is>
      </c>
      <c r="I431" s="5" t="n"/>
      <c r="J431" s="5" t="n"/>
      <c r="K431" s="5" t="n">
        <v>110.5</v>
      </c>
      <c r="L431" s="5" t="n">
        <v>933</v>
      </c>
      <c r="M431" s="5" t="n">
        <v>55</v>
      </c>
      <c r="N431" s="5" t="n">
        <v>13</v>
      </c>
      <c r="O431" s="5" t="n">
        <v>6</v>
      </c>
      <c r="P431" s="8">
        <f>IF(AND(M431&lt;&gt;"",M431&gt;0),M431+N431+O431,"")</f>
        <v/>
      </c>
      <c r="Q431" s="11">
        <f>IF(AND(L431&lt;&gt;"",L431&gt;0,P431&lt;&gt;""),P431/L431,"")</f>
        <v/>
      </c>
      <c r="R431" s="16">
        <f>IF(AND(P431&lt;&gt;"",P431&gt;0),(I431+J431+K431)/P431,"")</f>
        <v/>
      </c>
    </row>
    <row r="432" ht="81" customHeight="1">
      <c r="A432" s="5" t="inlineStr">
        <is>
          <t>2026-02-15</t>
        </is>
      </c>
      <c r="B432" s="5" t="inlineStr">
        <is>
          <t>7周</t>
        </is>
      </c>
      <c r="C432" s="5" t="inlineStr">
        <is>
          <t>小红书</t>
        </is>
      </c>
      <c r="D432" s="5" t="n"/>
      <c r="E432" s="5" t="n"/>
      <c r="F432" s="5" t="inlineStr">
        <is>
          <t>https://www.xiaohongshu.com/discovery/item/6991b21c000000001a01ef2b?xsec_token=CB98-BONR0i-Sj9cPcbeauMQb9O4fN_ix1IwjoEByjGrM=&amp;xsec_source=app_share&amp;type=video</t>
        </is>
      </c>
      <c r="G432" s="5" t="inlineStr">
        <is>
          <t>495</t>
        </is>
      </c>
      <c r="H432" s="5" t="inlineStr">
        <is>
          <t>口播</t>
        </is>
      </c>
      <c r="I432" s="5" t="n"/>
      <c r="J432" s="5" t="n"/>
      <c r="K432" s="5" t="n">
        <v>93</v>
      </c>
      <c r="L432" s="5" t="n">
        <v>1611</v>
      </c>
      <c r="M432" s="5" t="n">
        <v>83</v>
      </c>
      <c r="N432" s="5" t="n">
        <v>26</v>
      </c>
      <c r="O432" s="5" t="n">
        <v>2</v>
      </c>
      <c r="P432" s="8">
        <f>IF(AND(M432&lt;&gt;"",M432&gt;0),M432+N432+O432,"")</f>
        <v/>
      </c>
      <c r="Q432" s="11">
        <f>IF(AND(L432&lt;&gt;"",L432&gt;0,P432&lt;&gt;""),P432/L432,"")</f>
        <v/>
      </c>
      <c r="R432" s="16">
        <f>IF(AND(P432&lt;&gt;"",P432&gt;0),(I432+J432+K432)/P432,"")</f>
        <v/>
      </c>
    </row>
    <row r="433" ht="81" customHeight="1">
      <c r="A433" s="5" t="inlineStr">
        <is>
          <t>2026-02-15</t>
        </is>
      </c>
      <c r="B433" s="5" t="inlineStr">
        <is>
          <t>7周</t>
        </is>
      </c>
      <c r="C433" s="5" t="inlineStr">
        <is>
          <t>小红书</t>
        </is>
      </c>
      <c r="D433" s="5" t="n"/>
      <c r="E433" s="5" t="n"/>
      <c r="F433" s="5" t="inlineStr">
        <is>
          <t>https://www.xiaohongshu.com/discovery/item/6991cbcb000000000e00e403?xsec_token=CBkPBiN_GlU3eOAY3fyhcS6EFczxtM-h8DzRI_gRpOeVY=&amp;xsec_source=app_share&amp;type=video</t>
        </is>
      </c>
      <c r="G433" s="5" t="inlineStr">
        <is>
          <t>0002A1</t>
        </is>
      </c>
      <c r="H433" s="5" t="inlineStr">
        <is>
          <t>穿搭</t>
        </is>
      </c>
      <c r="I433" s="5" t="n">
        <v>120</v>
      </c>
      <c r="J433" s="5" t="n"/>
      <c r="K433" s="5" t="n">
        <v>110.5</v>
      </c>
      <c r="L433" s="5" t="n">
        <v>3100</v>
      </c>
      <c r="M433" s="5" t="n">
        <v>172</v>
      </c>
      <c r="N433" s="5" t="n">
        <v>49</v>
      </c>
      <c r="O433" s="5" t="n">
        <v>30</v>
      </c>
      <c r="P433" s="8">
        <f>IF(AND(M433&lt;&gt;"",M433&gt;0),M433+N433+O433,"")</f>
        <v/>
      </c>
      <c r="Q433" s="11">
        <f>IF(AND(L433&lt;&gt;"",L433&gt;0,P433&lt;&gt;""),P433/L433,"")</f>
        <v/>
      </c>
      <c r="R433" s="16">
        <f>IF(AND(P433&lt;&gt;"",P433&gt;0),(I433+J433+K433)/P433,"")</f>
        <v/>
      </c>
    </row>
    <row r="434" ht="27" customHeight="1">
      <c r="A434" s="5" t="inlineStr">
        <is>
          <t>2026-02-18</t>
        </is>
      </c>
      <c r="B434" s="5" t="inlineStr">
        <is>
          <t>8周</t>
        </is>
      </c>
      <c r="C434" s="5" t="inlineStr">
        <is>
          <t>抖音</t>
        </is>
      </c>
      <c r="D434" s="5" t="n"/>
      <c r="E434" s="5" t="n"/>
      <c r="F434" s="5" t="inlineStr">
        <is>
          <t>https://v.douyin.com/RXh8tmEbTXM/</t>
        </is>
      </c>
      <c r="G434" s="5" t="inlineStr">
        <is>
          <t>0002A1</t>
        </is>
      </c>
      <c r="H434" s="5" t="inlineStr">
        <is>
          <t>刘耀文</t>
        </is>
      </c>
      <c r="I434" s="5" t="n"/>
      <c r="J434" s="5" t="n"/>
      <c r="K434" s="5" t="n">
        <v>110.5</v>
      </c>
      <c r="L434" s="5" t="n">
        <v>744</v>
      </c>
      <c r="M434" s="5" t="n">
        <v>91</v>
      </c>
      <c r="N434" s="5" t="n">
        <v>3</v>
      </c>
      <c r="O434" s="5" t="n">
        <v>11</v>
      </c>
      <c r="P434" s="8">
        <f>IF(AND(M434&lt;&gt;"",M434&gt;0),M434+N434+O434,"")</f>
        <v/>
      </c>
      <c r="Q434" s="11">
        <f>IF(AND(L434&lt;&gt;"",L434&gt;0,P434&lt;&gt;""),P434/L434,"")</f>
        <v/>
      </c>
      <c r="R434" s="16">
        <f>IF(AND(P434&lt;&gt;"",P434&gt;0),(I434+J434+K434)/P434,"")</f>
        <v/>
      </c>
    </row>
    <row r="435" ht="27" customHeight="1">
      <c r="A435" s="5" t="inlineStr">
        <is>
          <t>2026-02-19</t>
        </is>
      </c>
      <c r="B435" s="5" t="inlineStr">
        <is>
          <t>8周</t>
        </is>
      </c>
      <c r="C435" s="5" t="inlineStr">
        <is>
          <t>抖音</t>
        </is>
      </c>
      <c r="D435" s="5" t="n"/>
      <c r="E435" s="5" t="n"/>
      <c r="F435" s="5" t="inlineStr">
        <is>
          <t>https://v.douyin.com/3Zre7ZySxn0/</t>
        </is>
      </c>
      <c r="G435" s="5" t="inlineStr">
        <is>
          <t>495</t>
        </is>
      </c>
      <c r="H435" s="5" t="inlineStr">
        <is>
          <t>口播</t>
        </is>
      </c>
      <c r="I435" s="5" t="n"/>
      <c r="J435" s="5" t="n"/>
      <c r="K435" s="5" t="n">
        <v>93</v>
      </c>
      <c r="L435" s="5" t="n">
        <v>4800000</v>
      </c>
      <c r="M435" s="5" t="n">
        <v>342000</v>
      </c>
      <c r="N435" s="5" t="n">
        <v>208000</v>
      </c>
      <c r="O435" s="5" t="n">
        <v>5452</v>
      </c>
      <c r="P435" s="8">
        <f>IF(AND(M435&lt;&gt;"",M435&gt;0),M435+N435+O435,"")</f>
        <v/>
      </c>
      <c r="Q435" s="11">
        <f>IF(AND(L435&lt;&gt;"",L435&gt;0,P435&lt;&gt;""),P435/L435,"")</f>
        <v/>
      </c>
      <c r="R435" s="16">
        <f>IF(AND(P435&lt;&gt;"",P435&gt;0),(I435+J435+K435)/P435,"")</f>
        <v/>
      </c>
    </row>
    <row r="436" ht="27" customHeight="1">
      <c r="A436" s="5" t="inlineStr">
        <is>
          <t>2026-02-19</t>
        </is>
      </c>
      <c r="B436" s="5" t="inlineStr">
        <is>
          <t>8周</t>
        </is>
      </c>
      <c r="C436" s="5" t="inlineStr">
        <is>
          <t>抖音</t>
        </is>
      </c>
      <c r="D436" s="5" t="n"/>
      <c r="E436" s="5" t="n"/>
      <c r="F436" s="5" t="inlineStr">
        <is>
          <t>https://v.douyin.com/wj8O1vL0Hds/</t>
        </is>
      </c>
      <c r="G436" s="5" t="inlineStr">
        <is>
          <t>0002A1</t>
        </is>
      </c>
      <c r="H436" s="5" t="inlineStr">
        <is>
          <t>刘耀文</t>
        </is>
      </c>
      <c r="I436" s="5" t="n"/>
      <c r="J436" s="5" t="n"/>
      <c r="K436" s="5" t="n">
        <v>110.5</v>
      </c>
      <c r="L436" s="5" t="n">
        <v>39000</v>
      </c>
      <c r="M436" s="5" t="n">
        <v>647</v>
      </c>
      <c r="N436" s="5" t="n">
        <v>95</v>
      </c>
      <c r="O436" s="5" t="n">
        <v>34</v>
      </c>
      <c r="P436" s="8">
        <f>IF(AND(M436&lt;&gt;"",M436&gt;0),M436+N436+O436,"")</f>
        <v/>
      </c>
      <c r="Q436" s="11">
        <f>IF(AND(L436&lt;&gt;"",L436&gt;0,P436&lt;&gt;""),P436/L436,"")</f>
        <v/>
      </c>
      <c r="R436" s="16">
        <f>IF(AND(P436&lt;&gt;"",P436&gt;0),(I436+J436+K436)/P436,"")</f>
        <v/>
      </c>
    </row>
    <row r="437" ht="27" customHeight="1">
      <c r="A437" s="5" t="inlineStr">
        <is>
          <t>2026-02-19</t>
        </is>
      </c>
      <c r="B437" s="5" t="inlineStr">
        <is>
          <t>8周</t>
        </is>
      </c>
      <c r="C437" s="5" t="inlineStr">
        <is>
          <t>抖音</t>
        </is>
      </c>
      <c r="D437" s="5" t="n"/>
      <c r="E437" s="5" t="n"/>
      <c r="F437" s="5" t="inlineStr">
        <is>
          <t>https://v.douyin.com/rBTbXwtvcmk/</t>
        </is>
      </c>
      <c r="G437" s="5" t="inlineStr">
        <is>
          <t>001A1</t>
        </is>
      </c>
      <c r="H437" s="5" t="inlineStr">
        <is>
          <t>赵一博</t>
        </is>
      </c>
      <c r="I437" s="5" t="n"/>
      <c r="J437" s="5" t="n"/>
      <c r="K437" s="5" t="n">
        <v>107.5</v>
      </c>
      <c r="L437" s="5" t="n">
        <v>69000</v>
      </c>
      <c r="M437" s="5" t="n">
        <v>832</v>
      </c>
      <c r="N437" s="5" t="n">
        <v>138</v>
      </c>
      <c r="O437" s="5" t="n">
        <v>36</v>
      </c>
      <c r="P437" s="8">
        <f>IF(AND(M437&lt;&gt;"",M437&gt;0),M437+N437+O437,"")</f>
        <v/>
      </c>
      <c r="Q437" s="11">
        <f>IF(AND(L437&lt;&gt;"",L437&gt;0,P437&lt;&gt;""),P437/L437,"")</f>
        <v/>
      </c>
      <c r="R437" s="16">
        <f>IF(AND(P437&lt;&gt;"",P437&gt;0),(I437+J437+K437)/P437,"")</f>
        <v/>
      </c>
    </row>
    <row r="438" ht="94.5" customHeight="1">
      <c r="A438" s="5" t="inlineStr">
        <is>
          <t>2026-02-19</t>
        </is>
      </c>
      <c r="B438" s="5" t="inlineStr">
        <is>
          <t>8周</t>
        </is>
      </c>
      <c r="C438" s="5" t="inlineStr">
        <is>
          <t>小红书</t>
        </is>
      </c>
      <c r="D438" s="5" t="n"/>
      <c r="E438" s="5" t="n"/>
      <c r="F438" s="5" t="inlineStr">
        <is>
          <t>https://www.xiaohongshu.com/discovery/item/6996d781000000001b014440?xsec_token=CBiz65MGodLMWWa-tIszovvTmsrpAoZ9DnuSCpuMCKekU=&amp;xsec_source=app_share&amp;type=video</t>
        </is>
      </c>
      <c r="G438" s="5" t="inlineStr">
        <is>
          <t>0002A1</t>
        </is>
      </c>
      <c r="H438" s="5" t="inlineStr">
        <is>
          <t>刘耀文</t>
        </is>
      </c>
      <c r="I438" s="5" t="n"/>
      <c r="J438" s="5" t="n"/>
      <c r="K438" s="5" t="n">
        <v>110.5</v>
      </c>
      <c r="L438" s="5" t="n">
        <v>1435</v>
      </c>
      <c r="M438" s="5" t="n">
        <v>101</v>
      </c>
      <c r="N438" s="5" t="n">
        <v>20</v>
      </c>
      <c r="O438" s="5" t="n">
        <v>7</v>
      </c>
      <c r="P438" s="8">
        <f>IF(AND(M438&lt;&gt;"",M438&gt;0),M438+N438+O438,"")</f>
        <v/>
      </c>
      <c r="Q438" s="11">
        <f>IF(AND(L438&lt;&gt;"",L438&gt;0,P438&lt;&gt;""),P438/L438,"")</f>
        <v/>
      </c>
      <c r="R438" s="16">
        <f>IF(AND(P438&lt;&gt;"",P438&gt;0),(I438+J438+K438)/P438,"")</f>
        <v/>
      </c>
    </row>
    <row r="439" ht="27" customHeight="1">
      <c r="A439" s="5" t="inlineStr">
        <is>
          <t>2026-02-20</t>
        </is>
      </c>
      <c r="B439" s="5" t="inlineStr">
        <is>
          <t>8周</t>
        </is>
      </c>
      <c r="C439" s="5" t="inlineStr">
        <is>
          <t>抖音</t>
        </is>
      </c>
      <c r="D439" s="5" t="n"/>
      <c r="E439" s="5" t="n"/>
      <c r="F439" s="5" t="inlineStr">
        <is>
          <t>https://v.douyin.com/6bdBsSyDazw/</t>
        </is>
      </c>
      <c r="G439" s="5" t="inlineStr">
        <is>
          <t>001A1</t>
        </is>
      </c>
      <c r="H439" s="5" t="inlineStr">
        <is>
          <t>赵一博</t>
        </is>
      </c>
      <c r="I439" s="5" t="n"/>
      <c r="J439" s="5" t="n"/>
      <c r="K439" s="5" t="n">
        <v>107.5</v>
      </c>
      <c r="L439" s="5" t="n">
        <v>1426</v>
      </c>
      <c r="M439" s="5" t="n">
        <v>89</v>
      </c>
      <c r="N439" s="5" t="n">
        <v>0</v>
      </c>
      <c r="O439" s="5" t="n">
        <v>28</v>
      </c>
      <c r="P439" s="8">
        <f>IF(AND(M439&lt;&gt;"",M439&gt;0),M439+N439+O439,"")</f>
        <v/>
      </c>
      <c r="Q439" s="11">
        <f>IF(AND(L439&lt;&gt;"",L439&gt;0,P439&lt;&gt;""),P439/L439,"")</f>
        <v/>
      </c>
      <c r="R439" s="16">
        <f>IF(AND(P439&lt;&gt;"",P439&gt;0),(I439+J439+K439)/P439,"")</f>
        <v/>
      </c>
    </row>
    <row r="440" ht="27" customHeight="1">
      <c r="A440" s="5" t="inlineStr">
        <is>
          <t>2026-02-20</t>
        </is>
      </c>
      <c r="B440" s="5" t="inlineStr">
        <is>
          <t>8周</t>
        </is>
      </c>
      <c r="C440" s="5" t="inlineStr">
        <is>
          <t>抖音</t>
        </is>
      </c>
      <c r="D440" s="5" t="n"/>
      <c r="E440" s="5" t="n"/>
      <c r="F440" s="5" t="inlineStr">
        <is>
          <t>https://v.douyin.com/wfuaiqkSe38/</t>
        </is>
      </c>
      <c r="G440" s="5" t="inlineStr">
        <is>
          <t>001A1</t>
        </is>
      </c>
      <c r="H440" s="5" t="inlineStr">
        <is>
          <t>赵一博</t>
        </is>
      </c>
      <c r="I440" s="5" t="n"/>
      <c r="J440" s="5" t="n"/>
      <c r="K440" s="5" t="n">
        <v>107.5</v>
      </c>
      <c r="L440" s="5" t="n">
        <v>8465</v>
      </c>
      <c r="M440" s="5" t="n">
        <v>247</v>
      </c>
      <c r="N440" s="5" t="n">
        <v>1</v>
      </c>
      <c r="O440" s="5" t="n">
        <v>48</v>
      </c>
      <c r="P440" s="8">
        <f>IF(AND(M440&lt;&gt;"",M440&gt;0),M440+N440+O440,"")</f>
        <v/>
      </c>
      <c r="Q440" s="11">
        <f>IF(AND(L440&lt;&gt;"",L440&gt;0,P440&lt;&gt;""),P440/L440,"")</f>
        <v/>
      </c>
      <c r="R440" s="16">
        <f>IF(AND(P440&lt;&gt;"",P440&gt;0),(I440+J440+K440)/P440,"")</f>
        <v/>
      </c>
    </row>
    <row r="441" ht="67.5" customHeight="1">
      <c r="A441" s="5" t="inlineStr">
        <is>
          <t>2026-02-20</t>
        </is>
      </c>
      <c r="B441" s="5" t="inlineStr">
        <is>
          <t>8周</t>
        </is>
      </c>
      <c r="C441" s="5" t="inlineStr">
        <is>
          <t>小红书</t>
        </is>
      </c>
      <c r="D441" s="5" t="n"/>
      <c r="E441" s="5" t="n"/>
      <c r="F441" s="5" t="inlineStr">
        <is>
          <t>https://www.xiaohongshu.com/discovery/item/6998243b000000001d02779b?xsec_token=CB3HPPb-HpcovVt6uxgUpXZ9123NadF6fMLYgFN1XJtdM=&amp;xsec_source=app_share</t>
        </is>
      </c>
      <c r="G441" s="5" t="inlineStr">
        <is>
          <t>0002A1</t>
        </is>
      </c>
      <c r="H441" s="5" t="inlineStr">
        <is>
          <t>穿搭</t>
        </is>
      </c>
      <c r="I441" s="5" t="n"/>
      <c r="J441" s="5" t="n"/>
      <c r="K441" s="5" t="n">
        <v>110.5</v>
      </c>
      <c r="L441" s="5" t="n">
        <v>5413</v>
      </c>
      <c r="M441" s="5" t="n">
        <v>353</v>
      </c>
      <c r="N441" s="5" t="n">
        <v>108</v>
      </c>
      <c r="O441" s="5" t="n">
        <v>13</v>
      </c>
      <c r="P441" s="8">
        <f>IF(AND(M441&lt;&gt;"",M441&gt;0),M441+N441+O441,"")</f>
        <v/>
      </c>
      <c r="Q441" s="11">
        <f>IF(AND(L441&lt;&gt;"",L441&gt;0,P441&lt;&gt;""),P441/L441,"")</f>
        <v/>
      </c>
      <c r="R441" s="16">
        <f>IF(AND(P441&lt;&gt;"",P441&gt;0),(I441+J441+K441)/P441,"")</f>
        <v/>
      </c>
    </row>
    <row r="442" ht="27" customHeight="1">
      <c r="A442" s="5" t="inlineStr">
        <is>
          <t>2026-02-21</t>
        </is>
      </c>
      <c r="B442" s="5" t="inlineStr">
        <is>
          <t>8周</t>
        </is>
      </c>
      <c r="C442" s="5" t="inlineStr">
        <is>
          <t>抖音</t>
        </is>
      </c>
      <c r="D442" s="5" t="n"/>
      <c r="E442" s="5" t="n"/>
      <c r="F442" s="5" t="inlineStr">
        <is>
          <t>https://v.douyin.com/-AInQGjJ_QQ/</t>
        </is>
      </c>
      <c r="G442" s="5" t="inlineStr">
        <is>
          <t>493AX</t>
        </is>
      </c>
      <c r="H442" s="5" t="inlineStr">
        <is>
          <t>王一珩</t>
        </is>
      </c>
      <c r="I442" s="5" t="n"/>
      <c r="J442" s="5" t="n"/>
      <c r="K442" s="5" t="n">
        <v>98</v>
      </c>
      <c r="L442" s="5" t="n">
        <v>3713</v>
      </c>
      <c r="M442" s="5" t="n">
        <v>147</v>
      </c>
      <c r="N442" s="5" t="n">
        <v>2</v>
      </c>
      <c r="O442" s="5" t="n">
        <v>22</v>
      </c>
      <c r="P442" s="8">
        <f>IF(AND(M442&lt;&gt;"",M442&gt;0),M442+N442+O442,"")</f>
        <v/>
      </c>
      <c r="Q442" s="11">
        <f>IF(AND(L442&lt;&gt;"",L442&gt;0,P442&lt;&gt;""),P442/L442,"")</f>
        <v/>
      </c>
      <c r="R442" s="16">
        <f>IF(AND(P442&lt;&gt;"",P442&gt;0),(I442+J442+K442)/P442,"")</f>
        <v/>
      </c>
    </row>
    <row r="443" ht="27" customHeight="1">
      <c r="A443" s="5" t="inlineStr">
        <is>
          <t>2026-02-21</t>
        </is>
      </c>
      <c r="B443" s="5" t="inlineStr">
        <is>
          <t>8周</t>
        </is>
      </c>
      <c r="C443" s="5" t="inlineStr">
        <is>
          <t>抖音</t>
        </is>
      </c>
      <c r="D443" s="5" t="n"/>
      <c r="E443" s="5" t="n"/>
      <c r="F443" s="5" t="inlineStr">
        <is>
          <t>https://v.douyin.com/AaBWCfdwJrI/</t>
        </is>
      </c>
      <c r="G443" s="5" t="inlineStr">
        <is>
          <t>0002A1</t>
        </is>
      </c>
      <c r="H443" s="5" t="inlineStr">
        <is>
          <t>刘耀文</t>
        </is>
      </c>
      <c r="I443" s="5" t="n"/>
      <c r="J443" s="5" t="n"/>
      <c r="K443" s="5" t="n">
        <v>110.5</v>
      </c>
      <c r="L443" s="5" t="n">
        <v>1361</v>
      </c>
      <c r="M443" s="5" t="n">
        <v>133</v>
      </c>
      <c r="N443" s="5" t="n">
        <v>2</v>
      </c>
      <c r="O443" s="5" t="n">
        <v>3</v>
      </c>
      <c r="P443" s="8">
        <f>IF(AND(M443&lt;&gt;"",M443&gt;0),M443+N443+O443,"")</f>
        <v/>
      </c>
      <c r="Q443" s="11">
        <f>IF(AND(L443&lt;&gt;"",L443&gt;0,P443&lt;&gt;""),P443/L443,"")</f>
        <v/>
      </c>
      <c r="R443" s="16">
        <f>IF(AND(P443&lt;&gt;"",P443&gt;0),(I443+J443+K443)/P443,"")</f>
        <v/>
      </c>
    </row>
    <row r="444" ht="67.5" customHeight="1">
      <c r="A444" s="5" t="inlineStr">
        <is>
          <t>2026-02-21</t>
        </is>
      </c>
      <c r="B444" s="5" t="inlineStr">
        <is>
          <t>8周</t>
        </is>
      </c>
      <c r="C444" s="5" t="inlineStr">
        <is>
          <t>小红书</t>
        </is>
      </c>
      <c r="D444" s="5" t="n"/>
      <c r="E444" s="5" t="n"/>
      <c r="F444" s="5" t="inlineStr">
        <is>
          <t>https://www.xiaohongshu.com/discovery/item/699905c5000000001a02efc2?xsec_token=CBbLvsaJHOS66bhCq3IZplmTZ2y2lKMWXNxTGVzm9NdKI=&amp;xsec_source=app_share</t>
        </is>
      </c>
      <c r="G444" s="5" t="inlineStr">
        <is>
          <t>001A1</t>
        </is>
      </c>
      <c r="H444" s="5" t="inlineStr">
        <is>
          <t>李沛恩</t>
        </is>
      </c>
      <c r="I444" s="5" t="n"/>
      <c r="J444" s="5" t="n"/>
      <c r="K444" s="5" t="n">
        <v>107.5</v>
      </c>
      <c r="L444" s="5" t="n">
        <v>197</v>
      </c>
      <c r="M444" s="5" t="n">
        <v>12</v>
      </c>
      <c r="N444" s="5" t="n">
        <v>2</v>
      </c>
      <c r="O444" s="5" t="n">
        <v>2</v>
      </c>
      <c r="P444" s="8">
        <f>IF(AND(M444&lt;&gt;"",M444&gt;0),M444+N444+O444,"")</f>
        <v/>
      </c>
      <c r="Q444" s="11">
        <f>IF(AND(L444&lt;&gt;"",L444&gt;0,P444&lt;&gt;""),P444/L444,"")</f>
        <v/>
      </c>
      <c r="R444" s="16">
        <f>IF(AND(P444&lt;&gt;"",P444&gt;0),(I444+J444+K444)/P444,"")</f>
        <v/>
      </c>
    </row>
    <row r="445" ht="81" customHeight="1">
      <c r="A445" s="5" t="inlineStr">
        <is>
          <t>2026-02-21</t>
        </is>
      </c>
      <c r="B445" s="5" t="inlineStr">
        <is>
          <t>8周</t>
        </is>
      </c>
      <c r="C445" s="5" t="inlineStr">
        <is>
          <t>小红书</t>
        </is>
      </c>
      <c r="D445" s="5" t="n"/>
      <c r="E445" s="5" t="n"/>
      <c r="F445" s="5" t="inlineStr">
        <is>
          <t>https://www.xiaohongshu.com/discovery/item/699983b9000000000d008e98?xsec_token=CBYvANC4365JF5UldN5d8rhyOuhozE3577DobEGMnbBBE=&amp;xsec_source=app_share&amp;type=video</t>
        </is>
      </c>
      <c r="G445" s="5" t="inlineStr">
        <is>
          <t>0002A1</t>
        </is>
      </c>
      <c r="H445" s="5" t="inlineStr">
        <is>
          <t>合集</t>
        </is>
      </c>
      <c r="I445" s="5" t="n"/>
      <c r="J445" s="5" t="n"/>
      <c r="K445" s="5" t="n">
        <v>110.5</v>
      </c>
      <c r="L445" s="5" t="n">
        <v>2952</v>
      </c>
      <c r="M445" s="5" t="n">
        <v>176</v>
      </c>
      <c r="N445" s="5" t="n">
        <v>35</v>
      </c>
      <c r="O445" s="5" t="n">
        <v>25</v>
      </c>
      <c r="P445" s="8">
        <f>IF(AND(M445&lt;&gt;"",M445&gt;0),M445+N445+O445,"")</f>
        <v/>
      </c>
      <c r="Q445" s="11">
        <f>IF(AND(L445&lt;&gt;"",L445&gt;0,P445&lt;&gt;""),P445/L445,"")</f>
        <v/>
      </c>
      <c r="R445" s="16">
        <f>IF(AND(P445&lt;&gt;"",P445&gt;0),(I445+J445+K445)/P445,"")</f>
        <v/>
      </c>
    </row>
    <row r="446" ht="81" customHeight="1">
      <c r="A446" s="5" t="inlineStr">
        <is>
          <t>2026-02-21</t>
        </is>
      </c>
      <c r="B446" s="5" t="inlineStr">
        <is>
          <t>8周</t>
        </is>
      </c>
      <c r="C446" s="5" t="inlineStr">
        <is>
          <t>小红书</t>
        </is>
      </c>
      <c r="D446" s="5" t="n"/>
      <c r="E446" s="5" t="n"/>
      <c r="F446" s="5" t="inlineStr">
        <is>
          <t>https://www.xiaohongshu.com/discovery/item/699994cc000000001a01ea53?xsec_token=CBEwunep7wftFFok4GN5iUwJhM_JehsUctYzh2Wvoq5Ts=&amp;xsec_source=app_share&amp;type=video</t>
        </is>
      </c>
      <c r="G446" s="5" t="inlineStr">
        <is>
          <t>495</t>
        </is>
      </c>
      <c r="H446" s="5" t="inlineStr">
        <is>
          <t>跳舞</t>
        </is>
      </c>
      <c r="I446" s="5" t="n"/>
      <c r="J446" s="5" t="n"/>
      <c r="K446" s="5" t="n">
        <v>93</v>
      </c>
      <c r="L446" s="5" t="n">
        <v>14011</v>
      </c>
      <c r="M446" s="5" t="n">
        <v>1309</v>
      </c>
      <c r="N446" s="5" t="n">
        <v>642</v>
      </c>
      <c r="O446" s="5" t="n">
        <v>22</v>
      </c>
      <c r="P446" s="8">
        <f>IF(AND(M446&lt;&gt;"",M446&gt;0),M446+N446+O446,"")</f>
        <v/>
      </c>
      <c r="Q446" s="11">
        <f>IF(AND(L446&lt;&gt;"",L446&gt;0,P446&lt;&gt;""),P446/L446,"")</f>
        <v/>
      </c>
      <c r="R446" s="16">
        <f>IF(AND(P446&lt;&gt;"",P446&gt;0),(I446+J446+K446)/P446,"")</f>
        <v/>
      </c>
    </row>
    <row r="447" ht="27" customHeight="1">
      <c r="A447" s="5" t="inlineStr">
        <is>
          <t>2026-02-22</t>
        </is>
      </c>
      <c r="B447" s="5" t="inlineStr">
        <is>
          <t>8周</t>
        </is>
      </c>
      <c r="C447" s="5" t="inlineStr">
        <is>
          <t>抖音</t>
        </is>
      </c>
      <c r="D447" s="5" t="n"/>
      <c r="E447" s="5" t="n"/>
      <c r="F447" s="5" t="inlineStr">
        <is>
          <t>https://v.douyin.com/Wfzj7T2IbM0/</t>
        </is>
      </c>
      <c r="G447" s="5" t="inlineStr">
        <is>
          <t>495</t>
        </is>
      </c>
      <c r="H447" s="5" t="inlineStr">
        <is>
          <t>穿搭</t>
        </is>
      </c>
      <c r="I447" s="5" t="n"/>
      <c r="J447" s="5" t="n"/>
      <c r="K447" s="5" t="n">
        <v>93</v>
      </c>
      <c r="L447" s="5" t="n">
        <v>12000</v>
      </c>
      <c r="M447" s="5" t="n">
        <v>340</v>
      </c>
      <c r="N447" s="5" t="n">
        <v>35</v>
      </c>
      <c r="O447" s="5" t="n">
        <v>22</v>
      </c>
      <c r="P447" s="8">
        <f>IF(AND(M447&lt;&gt;"",M447&gt;0),M447+N447+O447,"")</f>
        <v/>
      </c>
      <c r="Q447" s="11">
        <f>IF(AND(L447&lt;&gt;"",L447&gt;0,P447&lt;&gt;""),P447/L447,"")</f>
        <v/>
      </c>
      <c r="R447" s="16">
        <f>IF(AND(P447&lt;&gt;"",P447&gt;0),(I447+J447+K447)/P447,"")</f>
        <v/>
      </c>
    </row>
    <row r="448" ht="67.5" customHeight="1">
      <c r="A448" s="5" t="inlineStr">
        <is>
          <t>2026-02-22</t>
        </is>
      </c>
      <c r="B448" s="5" t="inlineStr">
        <is>
          <t>8周</t>
        </is>
      </c>
      <c r="C448" s="5" t="inlineStr">
        <is>
          <t>小红书</t>
        </is>
      </c>
      <c r="D448" s="5" t="n"/>
      <c r="E448" s="5" t="n"/>
      <c r="F448" s="5" t="inlineStr">
        <is>
          <t>https://www.xiaohongshu.com/discovery/item/699a7b01000000001a028bb4?xsec_token=CB3qfhhcAoT6pi34kXD42zu_cmwuKf74TbWTSeSBKW6ss=&amp;xsec_source=app_share</t>
        </is>
      </c>
      <c r="G448" s="5" t="inlineStr">
        <is>
          <t>495</t>
        </is>
      </c>
      <c r="H448" s="5" t="inlineStr">
        <is>
          <t>穿搭</t>
        </is>
      </c>
      <c r="I448" s="5" t="n">
        <v>100</v>
      </c>
      <c r="J448" s="5" t="n"/>
      <c r="K448" s="5" t="n">
        <v>93</v>
      </c>
      <c r="L448" s="5" t="n">
        <v>7257</v>
      </c>
      <c r="M448" s="5" t="n">
        <v>762</v>
      </c>
      <c r="N448" s="5" t="n">
        <v>103</v>
      </c>
      <c r="O448" s="5" t="n">
        <v>50</v>
      </c>
      <c r="P448" s="8">
        <f>IF(AND(M448&lt;&gt;"",M448&gt;0),M448+N448+O448,"")</f>
        <v/>
      </c>
      <c r="Q448" s="11">
        <f>IF(AND(L448&lt;&gt;"",L448&gt;0,P448&lt;&gt;""),P448/L448,"")</f>
        <v/>
      </c>
      <c r="R448" s="16">
        <f>IF(AND(P448&lt;&gt;"",P448&gt;0),(I448+J448+K448)/P448,"")</f>
        <v/>
      </c>
    </row>
    <row r="449" ht="81" customHeight="1">
      <c r="A449" s="5" t="inlineStr">
        <is>
          <t>2026-02-22</t>
        </is>
      </c>
      <c r="B449" s="5" t="inlineStr">
        <is>
          <t>8周</t>
        </is>
      </c>
      <c r="C449" s="5" t="inlineStr">
        <is>
          <t>小红书</t>
        </is>
      </c>
      <c r="D449" s="5" t="n"/>
      <c r="E449" s="5" t="n"/>
      <c r="F449" s="5" t="inlineStr">
        <is>
          <t>https://www.xiaohongshu.com/discovery/item/699ae7e5000000001a0283f2?xsec_token=CBNW3nDcS4gUR108KE2qJlyk9VvdsMHwN_-wetk_P09dk=&amp;xsec_source=app_share</t>
        </is>
      </c>
      <c r="G449" s="5" t="inlineStr">
        <is>
          <t>495</t>
        </is>
      </c>
      <c r="H449" s="5" t="inlineStr">
        <is>
          <t>穿搭</t>
        </is>
      </c>
      <c r="I449" s="5" t="n"/>
      <c r="J449" s="5" t="n"/>
      <c r="K449" s="5" t="n">
        <v>93</v>
      </c>
      <c r="L449" s="5" t="n">
        <v>1005</v>
      </c>
      <c r="M449" s="5" t="n">
        <v>70</v>
      </c>
      <c r="N449" s="5" t="n">
        <v>9</v>
      </c>
      <c r="O449" s="5" t="n">
        <v>5</v>
      </c>
      <c r="P449" s="8">
        <f>IF(AND(M449&lt;&gt;"",M449&gt;0),M449+N449+O449,"")</f>
        <v/>
      </c>
      <c r="Q449" s="11">
        <f>IF(AND(L449&lt;&gt;"",L449&gt;0,P449&lt;&gt;""),P449/L449,"")</f>
        <v/>
      </c>
      <c r="R449" s="16">
        <f>IF(AND(P449&lt;&gt;"",P449&gt;0),(I449+J449+K449)/P449,"")</f>
        <v/>
      </c>
    </row>
    <row r="450" ht="81" customHeight="1">
      <c r="A450" s="5" t="inlineStr">
        <is>
          <t>2026-02-22</t>
        </is>
      </c>
      <c r="B450" s="5" t="inlineStr">
        <is>
          <t>8周</t>
        </is>
      </c>
      <c r="C450" s="5" t="inlineStr">
        <is>
          <t>小红书</t>
        </is>
      </c>
      <c r="D450" s="5" t="n"/>
      <c r="E450" s="5" t="n"/>
      <c r="F450" s="5" t="inlineStr">
        <is>
          <t>https://www.xiaohongshu.com/discovery/item/699afb0a000000000b00b452?xsec_token=CBqn4epv5L0R6eWgMXdJwy39e0zflqcySABHwwkGCx_d4=&amp;xsec_source=app_share&amp;type=video</t>
        </is>
      </c>
      <c r="G450" s="5" t="inlineStr">
        <is>
          <t>1217W</t>
        </is>
      </c>
      <c r="H450" s="5" t="inlineStr">
        <is>
          <t>学生</t>
        </is>
      </c>
      <c r="I450" s="5" t="n"/>
      <c r="J450" s="5" t="n"/>
      <c r="K450" s="5" t="n">
        <v>54</v>
      </c>
      <c r="L450" s="5" t="n">
        <v>27885</v>
      </c>
      <c r="M450" s="5" t="n">
        <v>1030</v>
      </c>
      <c r="N450" s="5" t="n">
        <v>183</v>
      </c>
      <c r="O450" s="5" t="n">
        <v>28</v>
      </c>
      <c r="P450" s="8">
        <f>IF(AND(M450&lt;&gt;"",M450&gt;0),M450+N450+O450,"")</f>
        <v/>
      </c>
      <c r="Q450" s="11">
        <f>IF(AND(L450&lt;&gt;"",L450&gt;0,P450&lt;&gt;""),P450/L450,"")</f>
        <v/>
      </c>
      <c r="R450" s="16">
        <f>IF(AND(P450&lt;&gt;"",P450&gt;0),(I450+J450+K450)/P450,"")</f>
        <v/>
      </c>
    </row>
    <row r="451" ht="27" customHeight="1">
      <c r="A451" s="5" t="inlineStr">
        <is>
          <t>2026-02-23</t>
        </is>
      </c>
      <c r="B451" s="5" t="inlineStr">
        <is>
          <t>9周</t>
        </is>
      </c>
      <c r="C451" s="5" t="inlineStr">
        <is>
          <t>抖音</t>
        </is>
      </c>
      <c r="D451" s="5" t="n"/>
      <c r="E451" s="5" t="n"/>
      <c r="F451" s="5" t="inlineStr">
        <is>
          <t>https://v.douyin.com/g_HwGl6Be7M/</t>
        </is>
      </c>
      <c r="G451" s="5" t="inlineStr">
        <is>
          <t>0002A1</t>
        </is>
      </c>
      <c r="H451" s="5" t="inlineStr">
        <is>
          <t>穿搭</t>
        </is>
      </c>
      <c r="I451" s="5" t="n">
        <v>180</v>
      </c>
      <c r="J451" s="5" t="n"/>
      <c r="K451" s="5" t="n">
        <v>110.5</v>
      </c>
      <c r="L451" s="5" t="n">
        <v>38000</v>
      </c>
      <c r="M451" s="5" t="n">
        <v>1269</v>
      </c>
      <c r="N451" s="5" t="n">
        <v>311</v>
      </c>
      <c r="O451" s="5" t="n">
        <v>13</v>
      </c>
      <c r="P451" s="8">
        <f>IF(AND(M451&lt;&gt;"",M451&gt;0),M451+N451+O451,"")</f>
        <v/>
      </c>
      <c r="Q451" s="11">
        <f>IF(AND(L451&lt;&gt;"",L451&gt;0,P451&lt;&gt;""),P451/L451,"")</f>
        <v/>
      </c>
      <c r="R451" s="16">
        <f>IF(AND(P451&lt;&gt;"",P451&gt;0),(I451+J451+K451)/P451,"")</f>
        <v/>
      </c>
    </row>
    <row r="452" ht="67.5" customHeight="1">
      <c r="A452" s="5" t="inlineStr">
        <is>
          <t>2026-02-23</t>
        </is>
      </c>
      <c r="B452" s="5" t="inlineStr">
        <is>
          <t>9周</t>
        </is>
      </c>
      <c r="C452" s="5" t="inlineStr">
        <is>
          <t>小红书</t>
        </is>
      </c>
      <c r="D452" s="5" t="n"/>
      <c r="E452" s="5" t="n"/>
      <c r="F452" s="5" t="inlineStr">
        <is>
          <t>https://www.xiaohongshu.com/discovery/item/699bf10f0000000016008bdd?xsec_token=CBltMd0S6S27CTGB9nwzYIX_h9tj4yYVkxY71j1cJADEo=&amp;xsec_source=app_share</t>
        </is>
      </c>
      <c r="G452" s="5" t="inlineStr">
        <is>
          <t>0002A1</t>
        </is>
      </c>
      <c r="H452" s="5" t="inlineStr">
        <is>
          <t>穿搭</t>
        </is>
      </c>
      <c r="I452" s="5" t="n"/>
      <c r="J452" s="5" t="n"/>
      <c r="K452" s="5" t="n">
        <v>110.5</v>
      </c>
      <c r="L452" s="5" t="n">
        <v>5099</v>
      </c>
      <c r="M452" s="5" t="n">
        <v>286</v>
      </c>
      <c r="N452" s="5" t="n">
        <v>93</v>
      </c>
      <c r="O452" s="5" t="n">
        <v>19</v>
      </c>
      <c r="P452" s="8">
        <f>IF(AND(M452&lt;&gt;"",M452&gt;0),M452+N452+O452,"")</f>
        <v/>
      </c>
      <c r="Q452" s="11">
        <f>IF(AND(L452&lt;&gt;"",L452&gt;0,P452&lt;&gt;""),P452/L452,"")</f>
        <v/>
      </c>
      <c r="R452" s="16">
        <f>IF(AND(P452&lt;&gt;"",P452&gt;0),(I452+J452+K452)/P452,"")</f>
        <v/>
      </c>
    </row>
    <row r="453" ht="27" customHeight="1">
      <c r="A453" s="5" t="inlineStr">
        <is>
          <t>2026-02-24</t>
        </is>
      </c>
      <c r="B453" s="5" t="inlineStr">
        <is>
          <t>9周</t>
        </is>
      </c>
      <c r="C453" s="5" t="inlineStr">
        <is>
          <t>抖音</t>
        </is>
      </c>
      <c r="D453" s="5" t="n"/>
      <c r="E453" s="5" t="n"/>
      <c r="F453" s="5" t="inlineStr">
        <is>
          <t>https://v.douyin.com/_taYzCce2nU/</t>
        </is>
      </c>
      <c r="G453" s="5" t="inlineStr">
        <is>
          <t>495</t>
        </is>
      </c>
      <c r="H453" s="5" t="inlineStr">
        <is>
          <t>穿搭</t>
        </is>
      </c>
      <c r="I453" s="5" t="n"/>
      <c r="J453" s="5" t="n"/>
      <c r="K453" s="5" t="n">
        <v>93</v>
      </c>
      <c r="L453" s="5" t="n">
        <v>4929</v>
      </c>
      <c r="M453" s="5" t="n">
        <v>157</v>
      </c>
      <c r="N453" s="5" t="n">
        <v>17</v>
      </c>
      <c r="O453" s="5" t="n">
        <v>5</v>
      </c>
      <c r="P453" s="8">
        <f>IF(AND(M453&lt;&gt;"",M453&gt;0),M453+N453+O453,"")</f>
        <v/>
      </c>
      <c r="Q453" s="11">
        <f>IF(AND(L453&lt;&gt;"",L453&gt;0,P453&lt;&gt;""),P453/L453,"")</f>
        <v/>
      </c>
      <c r="R453" s="16">
        <f>IF(AND(P453&lt;&gt;"",P453&gt;0),(I453+J453+K453)/P453,"")</f>
        <v/>
      </c>
    </row>
    <row r="454" ht="27" customHeight="1">
      <c r="A454" s="5" t="inlineStr">
        <is>
          <t>2026-02-24</t>
        </is>
      </c>
      <c r="B454" s="5" t="inlineStr">
        <is>
          <t>9周</t>
        </is>
      </c>
      <c r="C454" s="5" t="inlineStr">
        <is>
          <t>抖音</t>
        </is>
      </c>
      <c r="D454" s="5" t="n"/>
      <c r="E454" s="5" t="n"/>
      <c r="F454" s="5" t="inlineStr">
        <is>
          <t>https://v.douyin.com/cJtZwJslwTI/</t>
        </is>
      </c>
      <c r="G454" s="5" t="inlineStr">
        <is>
          <t>001A1</t>
        </is>
      </c>
      <c r="H454" s="5" t="inlineStr">
        <is>
          <t>赵一博</t>
        </is>
      </c>
      <c r="I454" s="5" t="n"/>
      <c r="J454" s="5" t="n"/>
      <c r="K454" s="5" t="n">
        <v>107.5</v>
      </c>
      <c r="L454" s="5" t="n">
        <v>9393</v>
      </c>
      <c r="M454" s="5" t="n">
        <v>758</v>
      </c>
      <c r="N454" s="5" t="n">
        <v>39</v>
      </c>
      <c r="O454" s="5" t="n">
        <v>19</v>
      </c>
      <c r="P454" s="8">
        <f>IF(AND(M454&lt;&gt;"",M454&gt;0),M454+N454+O454,"")</f>
        <v/>
      </c>
      <c r="Q454" s="11">
        <f>IF(AND(L454&lt;&gt;"",L454&gt;0,P454&lt;&gt;""),P454/L454,"")</f>
        <v/>
      </c>
      <c r="R454" s="16">
        <f>IF(AND(P454&lt;&gt;"",P454&gt;0),(I454+J454+K454)/P454,"")</f>
        <v/>
      </c>
    </row>
    <row r="455" ht="27" customHeight="1">
      <c r="A455" s="5" t="inlineStr">
        <is>
          <t>2026-02-24</t>
        </is>
      </c>
      <c r="B455" s="5" t="inlineStr">
        <is>
          <t>9周</t>
        </is>
      </c>
      <c r="C455" s="5" t="inlineStr">
        <is>
          <t>抖音</t>
        </is>
      </c>
      <c r="D455" s="5" t="n"/>
      <c r="E455" s="5" t="n"/>
      <c r="F455" s="5" t="inlineStr">
        <is>
          <t>https://v.douyin.com/Hgk_ih6XD6w/</t>
        </is>
      </c>
      <c r="G455" s="5" t="inlineStr">
        <is>
          <t>1225</t>
        </is>
      </c>
      <c r="H455" s="5" t="inlineStr">
        <is>
          <t>学生</t>
        </is>
      </c>
      <c r="I455" s="5" t="n">
        <v>600</v>
      </c>
      <c r="J455" s="5" t="n"/>
      <c r="K455" s="5" t="n">
        <v>55.5</v>
      </c>
      <c r="L455" s="5" t="n">
        <v>23000</v>
      </c>
      <c r="M455" s="5" t="n">
        <v>2603</v>
      </c>
      <c r="N455" s="5" t="n">
        <v>107</v>
      </c>
      <c r="O455" s="5" t="n">
        <v>35</v>
      </c>
      <c r="P455" s="8">
        <f>IF(AND(M455&lt;&gt;"",M455&gt;0),M455+N455+O455,"")</f>
        <v/>
      </c>
      <c r="Q455" s="11">
        <f>IF(AND(L455&lt;&gt;"",L455&gt;0,P455&lt;&gt;""),P455/L455,"")</f>
        <v/>
      </c>
      <c r="R455" s="16">
        <f>IF(AND(P455&lt;&gt;"",P455&gt;0),(I455+J455+K455)/P455,"")</f>
        <v/>
      </c>
    </row>
    <row r="456" ht="27" customHeight="1">
      <c r="A456" s="5" t="inlineStr">
        <is>
          <t>2026-02-24</t>
        </is>
      </c>
      <c r="B456" s="5" t="inlineStr">
        <is>
          <t>9周</t>
        </is>
      </c>
      <c r="C456" s="5" t="inlineStr">
        <is>
          <t>抖音</t>
        </is>
      </c>
      <c r="D456" s="5" t="n"/>
      <c r="E456" s="5" t="n"/>
      <c r="F456" s="5" t="inlineStr">
        <is>
          <t>https://v.douyin.com/7i10Ql5rlaI/</t>
        </is>
      </c>
      <c r="G456" s="5" t="inlineStr">
        <is>
          <t>495</t>
        </is>
      </c>
      <c r="H456" s="5" t="inlineStr">
        <is>
          <t>穿搭</t>
        </is>
      </c>
      <c r="I456" s="5" t="n">
        <v>120</v>
      </c>
      <c r="J456" s="5" t="n"/>
      <c r="K456" s="5" t="n">
        <v>93</v>
      </c>
      <c r="L456" s="5" t="n">
        <v>6019</v>
      </c>
      <c r="M456" s="5" t="n">
        <v>523</v>
      </c>
      <c r="N456" s="5" t="n">
        <v>29</v>
      </c>
      <c r="O456" s="5" t="n">
        <v>27</v>
      </c>
      <c r="P456" s="8">
        <f>IF(AND(M456&lt;&gt;"",M456&gt;0),M456+N456+O456,"")</f>
        <v/>
      </c>
      <c r="Q456" s="11">
        <f>IF(AND(L456&lt;&gt;"",L456&gt;0,P456&lt;&gt;""),P456/L456,"")</f>
        <v/>
      </c>
      <c r="R456" s="16">
        <f>IF(AND(P456&lt;&gt;"",P456&gt;0),(I456+J456+K456)/P456,"")</f>
        <v/>
      </c>
    </row>
    <row r="457" ht="27" customHeight="1">
      <c r="A457" s="5" t="inlineStr">
        <is>
          <t>2026-02-24</t>
        </is>
      </c>
      <c r="B457" s="5" t="inlineStr">
        <is>
          <t>9周</t>
        </is>
      </c>
      <c r="C457" s="5" t="inlineStr">
        <is>
          <t>抖音</t>
        </is>
      </c>
      <c r="D457" s="5" t="n"/>
      <c r="E457" s="5" t="n"/>
      <c r="F457" s="5" t="inlineStr">
        <is>
          <t>https://v.douyin.com/1GkB6yv3vJ0/</t>
        </is>
      </c>
      <c r="G457" s="5" t="inlineStr">
        <is>
          <t>495</t>
        </is>
      </c>
      <c r="H457" s="5" t="inlineStr">
        <is>
          <t>穿搭</t>
        </is>
      </c>
      <c r="I457" s="5" t="n"/>
      <c r="J457" s="5" t="n"/>
      <c r="K457" s="5" t="n">
        <v>93</v>
      </c>
      <c r="L457" s="5" t="n">
        <v>97000</v>
      </c>
      <c r="M457" s="5" t="n">
        <v>3777</v>
      </c>
      <c r="N457" s="5" t="n">
        <v>571</v>
      </c>
      <c r="O457" s="5" t="n">
        <v>41</v>
      </c>
      <c r="P457" s="8">
        <f>IF(AND(M457&lt;&gt;"",M457&gt;0),M457+N457+O457,"")</f>
        <v/>
      </c>
      <c r="Q457" s="11">
        <f>IF(AND(L457&lt;&gt;"",L457&gt;0,P457&lt;&gt;""),P457/L457,"")</f>
        <v/>
      </c>
      <c r="R457" s="16">
        <f>IF(AND(P457&lt;&gt;"",P457&gt;0),(I457+J457+K457)/P457,"")</f>
        <v/>
      </c>
    </row>
    <row r="458" ht="67.5" customHeight="1">
      <c r="A458" s="5" t="inlineStr">
        <is>
          <t>2026-02-24</t>
        </is>
      </c>
      <c r="B458" s="5" t="inlineStr">
        <is>
          <t>9周</t>
        </is>
      </c>
      <c r="C458" s="5" t="inlineStr">
        <is>
          <t>小红书</t>
        </is>
      </c>
      <c r="D458" s="5" t="n"/>
      <c r="E458" s="5" t="n"/>
      <c r="F458" s="5" t="inlineStr">
        <is>
          <t>https://www.xiaohongshu.com/discovery/item/699d08e5000000000e03c40a?xsec_token=CBqEeXmP8GFtXTUdVN4SxYQqJva7HrECzHDSnKLy3uI24=&amp;xsec_source=app_share</t>
        </is>
      </c>
      <c r="G458" s="5" t="inlineStr">
        <is>
          <t>001A1</t>
        </is>
      </c>
      <c r="H458" s="5" t="inlineStr">
        <is>
          <t>穿搭</t>
        </is>
      </c>
      <c r="I458" s="5" t="n"/>
      <c r="J458" s="5" t="n"/>
      <c r="K458" s="5" t="n">
        <v>107.5</v>
      </c>
      <c r="L458" s="5" t="n">
        <v>425</v>
      </c>
      <c r="M458" s="5" t="n">
        <v>33</v>
      </c>
      <c r="N458" s="5" t="n">
        <v>2</v>
      </c>
      <c r="O458" s="5" t="n">
        <v>0</v>
      </c>
      <c r="P458" s="8">
        <f>IF(AND(M458&lt;&gt;"",M458&gt;0),M458+N458+O458,"")</f>
        <v/>
      </c>
      <c r="Q458" s="11">
        <f>IF(AND(L458&lt;&gt;"",L458&gt;0,P458&lt;&gt;""),P458/L458,"")</f>
        <v/>
      </c>
      <c r="R458" s="16">
        <f>IF(AND(P458&lt;&gt;"",P458&gt;0),(I458+J458+K458)/P458,"")</f>
        <v/>
      </c>
    </row>
    <row r="459" ht="67.5" customHeight="1">
      <c r="A459" s="5" t="inlineStr">
        <is>
          <t>2026-02-24</t>
        </is>
      </c>
      <c r="B459" s="5" t="inlineStr">
        <is>
          <t>9周</t>
        </is>
      </c>
      <c r="C459" s="5" t="inlineStr">
        <is>
          <t>小红书</t>
        </is>
      </c>
      <c r="D459" s="5" t="n"/>
      <c r="E459" s="5" t="n"/>
      <c r="F459" s="5" t="inlineStr">
        <is>
          <t>https://www.xiaohongshu.com/discovery/item/699d97d7000000001d0105ad?xsec_token=CBB8HwzTWmVeteTWDY6yjxiX3ZcGAeLbjRh5siZRrD7yU=&amp;xsec_source=app_share</t>
        </is>
      </c>
      <c r="G459" s="5" t="inlineStr">
        <is>
          <t>0002A1</t>
        </is>
      </c>
      <c r="H459" s="5" t="inlineStr">
        <is>
          <t>穿搭</t>
        </is>
      </c>
      <c r="I459" s="5" t="n"/>
      <c r="J459" s="5" t="n"/>
      <c r="K459" s="5" t="n">
        <v>110.5</v>
      </c>
      <c r="L459" s="5" t="n">
        <v>16904</v>
      </c>
      <c r="M459" s="5" t="n">
        <v>1010</v>
      </c>
      <c r="N459" s="5" t="n">
        <v>348</v>
      </c>
      <c r="O459" s="5" t="n">
        <v>44</v>
      </c>
      <c r="P459" s="8">
        <f>IF(AND(M459&lt;&gt;"",M459&gt;0),M459+N459+O459,"")</f>
        <v/>
      </c>
      <c r="Q459" s="11">
        <f>IF(AND(L459&lt;&gt;"",L459&gt;0,P459&lt;&gt;""),P459/L459,"")</f>
        <v/>
      </c>
      <c r="R459" s="16">
        <f>IF(AND(P459&lt;&gt;"",P459&gt;0),(I459+J459+K459)/P459,"")</f>
        <v/>
      </c>
    </row>
    <row r="460" ht="81" customHeight="1">
      <c r="A460" s="5" t="inlineStr">
        <is>
          <t>2026-02-24</t>
        </is>
      </c>
      <c r="B460" s="5" t="inlineStr">
        <is>
          <t>9周</t>
        </is>
      </c>
      <c r="C460" s="5" t="inlineStr">
        <is>
          <t>小红书</t>
        </is>
      </c>
      <c r="D460" s="5" t="n"/>
      <c r="E460" s="5" t="n"/>
      <c r="F460" s="5" t="inlineStr">
        <is>
          <t>https://www.xiaohongshu.com/discovery/item/699db3a10000000026032ff1?xsec_token=CBkjIEIiBYp6vRUEmUrs9r9ONjSLyhuNxZ63_PNskKDAQ=&amp;xsec_source=app_share&amp;type=video</t>
        </is>
      </c>
      <c r="G460" s="5" t="inlineStr">
        <is>
          <t>0002A1</t>
        </is>
      </c>
      <c r="H460" s="5" t="inlineStr">
        <is>
          <t>穿搭</t>
        </is>
      </c>
      <c r="I460" s="5" t="n"/>
      <c r="J460" s="5" t="n"/>
      <c r="K460" s="5" t="n">
        <v>110.5</v>
      </c>
      <c r="L460" s="5" t="n">
        <v>2937</v>
      </c>
      <c r="M460" s="5" t="n">
        <v>207</v>
      </c>
      <c r="N460" s="5" t="n">
        <v>75</v>
      </c>
      <c r="O460" s="5" t="n">
        <v>2</v>
      </c>
      <c r="P460" s="8">
        <f>IF(AND(M460&lt;&gt;"",M460&gt;0),M460+N460+O460,"")</f>
        <v/>
      </c>
      <c r="Q460" s="11">
        <f>IF(AND(L460&lt;&gt;"",L460&gt;0,P460&lt;&gt;""),P460/L460,"")</f>
        <v/>
      </c>
      <c r="R460" s="16">
        <f>IF(AND(P460&lt;&gt;"",P460&gt;0),(I460+J460+K460)/P460,"")</f>
        <v/>
      </c>
    </row>
    <row r="461" ht="40.5" customHeight="1">
      <c r="A461" s="5" t="inlineStr">
        <is>
          <t>2026-02-25</t>
        </is>
      </c>
      <c r="B461" s="5" t="inlineStr">
        <is>
          <t>9周</t>
        </is>
      </c>
      <c r="C461" s="5" t="inlineStr">
        <is>
          <t>抖音</t>
        </is>
      </c>
      <c r="D461" s="5" t="n"/>
      <c r="E461" s="5" t="n"/>
      <c r="F461" s="5" t="inlineStr">
        <is>
          <t>https://www.douyin.com/user/self?from_tab_name=main&amp;modal_id=7611103803090406074&amp;showTab=like</t>
        </is>
      </c>
      <c r="G461" s="5" t="inlineStr">
        <is>
          <t>0002A1</t>
        </is>
      </c>
      <c r="H461" s="5" t="inlineStr">
        <is>
          <t>开箱</t>
        </is>
      </c>
      <c r="I461" s="5" t="n">
        <v>400</v>
      </c>
      <c r="J461" s="5" t="n"/>
      <c r="K461" s="5" t="n">
        <v>110.5</v>
      </c>
      <c r="L461" s="5" t="n">
        <v>80000</v>
      </c>
      <c r="M461" s="5" t="n">
        <v>3104</v>
      </c>
      <c r="N461" s="5" t="n">
        <v>87</v>
      </c>
      <c r="O461" s="5" t="n">
        <v>25</v>
      </c>
      <c r="P461" s="8">
        <f>IF(AND(M461&lt;&gt;"",M461&gt;0),M461+N461+O461,"")</f>
        <v/>
      </c>
      <c r="Q461" s="11">
        <f>IF(AND(L461&lt;&gt;"",L461&gt;0,P461&lt;&gt;""),P461/L461,"")</f>
        <v/>
      </c>
      <c r="R461" s="16">
        <f>IF(AND(P461&lt;&gt;"",P461&gt;0),(I461+J461+K461)/P461,"")</f>
        <v/>
      </c>
    </row>
    <row r="462" ht="27" customHeight="1">
      <c r="A462" s="5" t="inlineStr">
        <is>
          <t>2026-02-25</t>
        </is>
      </c>
      <c r="B462" s="5" t="inlineStr">
        <is>
          <t>9周</t>
        </is>
      </c>
      <c r="C462" s="5" t="inlineStr">
        <is>
          <t>抖音</t>
        </is>
      </c>
      <c r="D462" s="5" t="n"/>
      <c r="E462" s="5" t="n"/>
      <c r="F462" s="5" t="inlineStr">
        <is>
          <t>https://v.douyin.com/BMd5hOoF4xg/</t>
        </is>
      </c>
      <c r="G462" s="5" t="inlineStr">
        <is>
          <t>0002A1</t>
        </is>
      </c>
      <c r="H462" s="5" t="inlineStr">
        <is>
          <t>穿搭</t>
        </is>
      </c>
      <c r="I462" s="5" t="n">
        <v>30</v>
      </c>
      <c r="J462" s="5" t="n"/>
      <c r="K462" s="5" t="n">
        <v>110.5</v>
      </c>
      <c r="L462" s="5" t="n">
        <v>15000</v>
      </c>
      <c r="M462" s="5" t="n">
        <v>1149</v>
      </c>
      <c r="N462" s="5" t="n">
        <v>70</v>
      </c>
      <c r="O462" s="5" t="n">
        <v>25</v>
      </c>
      <c r="P462" s="8">
        <f>IF(AND(M462&lt;&gt;"",M462&gt;0),M462+N462+O462,"")</f>
        <v/>
      </c>
      <c r="Q462" s="11">
        <f>IF(AND(L462&lt;&gt;"",L462&gt;0,P462&lt;&gt;""),P462/L462,"")</f>
        <v/>
      </c>
      <c r="R462" s="16">
        <f>IF(AND(P462&lt;&gt;"",P462&gt;0),(I462+J462+K462)/P462,"")</f>
        <v/>
      </c>
    </row>
    <row r="463" ht="27" customHeight="1">
      <c r="A463" s="5" t="inlineStr">
        <is>
          <t>2026-02-25</t>
        </is>
      </c>
      <c r="B463" s="5" t="inlineStr">
        <is>
          <t>9周</t>
        </is>
      </c>
      <c r="C463" s="5" t="inlineStr">
        <is>
          <t>抖音</t>
        </is>
      </c>
      <c r="D463" s="5" t="n"/>
      <c r="E463" s="5" t="n"/>
      <c r="F463" s="5" t="inlineStr">
        <is>
          <t>https://v.douyin.com/0mhT5cWBLRc/</t>
        </is>
      </c>
      <c r="G463" s="5" t="inlineStr">
        <is>
          <t>0002A1</t>
        </is>
      </c>
      <c r="H463" s="5" t="inlineStr">
        <is>
          <t>穿搭</t>
        </is>
      </c>
      <c r="I463" s="5" t="n">
        <v>300</v>
      </c>
      <c r="J463" s="5" t="n"/>
      <c r="K463" s="5" t="n">
        <v>110.5</v>
      </c>
      <c r="L463" s="5" t="n">
        <v>35000</v>
      </c>
      <c r="M463" s="5" t="n">
        <v>4162</v>
      </c>
      <c r="N463" s="5" t="n">
        <v>376</v>
      </c>
      <c r="O463" s="5" t="n">
        <v>138</v>
      </c>
      <c r="P463" s="8">
        <f>IF(AND(M463&lt;&gt;"",M463&gt;0),M463+N463+O463,"")</f>
        <v/>
      </c>
      <c r="Q463" s="11">
        <f>IF(AND(L463&lt;&gt;"",L463&gt;0,P463&lt;&gt;""),P463/L463,"")</f>
        <v/>
      </c>
      <c r="R463" s="16">
        <f>IF(AND(P463&lt;&gt;"",P463&gt;0),(I463+J463+K463)/P463,"")</f>
        <v/>
      </c>
    </row>
    <row r="464" ht="27" customHeight="1">
      <c r="A464" s="5" t="inlineStr">
        <is>
          <t>2026-02-25</t>
        </is>
      </c>
      <c r="B464" s="5" t="inlineStr">
        <is>
          <t>9周</t>
        </is>
      </c>
      <c r="C464" s="5" t="inlineStr">
        <is>
          <t>抖音</t>
        </is>
      </c>
      <c r="D464" s="5" t="n"/>
      <c r="E464" s="5" t="n"/>
      <c r="F464" s="5" t="inlineStr">
        <is>
          <t>https://v.douyin.com/0Zz0QmKlTLQ/</t>
        </is>
      </c>
      <c r="G464" s="5" t="inlineStr">
        <is>
          <t>1225</t>
        </is>
      </c>
      <c r="H464" s="5" t="inlineStr">
        <is>
          <t>穿搭</t>
        </is>
      </c>
      <c r="I464" s="5" t="n">
        <v>180</v>
      </c>
      <c r="J464" s="5" t="n"/>
      <c r="K464" s="5" t="n">
        <v>55.5</v>
      </c>
      <c r="L464" s="5" t="n">
        <v>10000</v>
      </c>
      <c r="M464" s="5" t="n">
        <v>1327</v>
      </c>
      <c r="N464" s="5" t="n">
        <v>96</v>
      </c>
      <c r="O464" s="5" t="n">
        <v>21</v>
      </c>
      <c r="P464" s="8">
        <f>IF(AND(M464&lt;&gt;"",M464&gt;0),M464+N464+O464,"")</f>
        <v/>
      </c>
      <c r="Q464" s="11">
        <f>IF(AND(L464&lt;&gt;"",L464&gt;0,P464&lt;&gt;""),P464/L464,"")</f>
        <v/>
      </c>
      <c r="R464" s="16">
        <f>IF(AND(P464&lt;&gt;"",P464&gt;0),(I464+J464+K464)/P464,"")</f>
        <v/>
      </c>
    </row>
    <row r="465" ht="27" customHeight="1">
      <c r="A465" s="5" t="inlineStr">
        <is>
          <t>2026-02-25</t>
        </is>
      </c>
      <c r="B465" s="5" t="inlineStr">
        <is>
          <t>9周</t>
        </is>
      </c>
      <c r="C465" s="5" t="inlineStr">
        <is>
          <t>抖音</t>
        </is>
      </c>
      <c r="D465" s="5" t="n"/>
      <c r="E465" s="5" t="n"/>
      <c r="F465" s="5" t="inlineStr">
        <is>
          <t>https://v.douyin.com/_NwjzyOEIIw/</t>
        </is>
      </c>
      <c r="G465" s="5" t="inlineStr">
        <is>
          <t>495</t>
        </is>
      </c>
      <c r="H465" s="5" t="inlineStr">
        <is>
          <t>穿搭</t>
        </is>
      </c>
      <c r="I465" s="5" t="n"/>
      <c r="J465" s="5" t="n"/>
      <c r="K465" s="5" t="n">
        <v>93</v>
      </c>
      <c r="L465" s="5" t="n">
        <v>8942</v>
      </c>
      <c r="M465" s="5" t="n">
        <v>843</v>
      </c>
      <c r="N465" s="5" t="n">
        <v>33</v>
      </c>
      <c r="O465" s="5" t="n">
        <v>31</v>
      </c>
      <c r="P465" s="8">
        <f>IF(AND(M465&lt;&gt;"",M465&gt;0),M465+N465+O465,"")</f>
        <v/>
      </c>
      <c r="Q465" s="11">
        <f>IF(AND(L465&lt;&gt;"",L465&gt;0,P465&lt;&gt;""),P465/L465,"")</f>
        <v/>
      </c>
      <c r="R465" s="16">
        <f>IF(AND(P465&lt;&gt;"",P465&gt;0),(I465+J465+K465)/P465,"")</f>
        <v/>
      </c>
    </row>
    <row r="466" ht="27" customHeight="1">
      <c r="A466" s="5" t="inlineStr">
        <is>
          <t>2026-02-25</t>
        </is>
      </c>
      <c r="B466" s="5" t="inlineStr">
        <is>
          <t>9周</t>
        </is>
      </c>
      <c r="C466" s="5" t="inlineStr">
        <is>
          <t>抖音</t>
        </is>
      </c>
      <c r="D466" s="5" t="n"/>
      <c r="E466" s="5" t="n"/>
      <c r="F466" s="5" t="inlineStr">
        <is>
          <t>https://v.douyin.com/gPojxqVMQFs/</t>
        </is>
      </c>
      <c r="G466" s="5" t="inlineStr">
        <is>
          <t>1217W</t>
        </is>
      </c>
      <c r="H466" s="5" t="inlineStr">
        <is>
          <t>穿搭</t>
        </is>
      </c>
      <c r="I466" s="5" t="n"/>
      <c r="J466" s="5" t="n"/>
      <c r="K466" s="5" t="n">
        <v>54</v>
      </c>
      <c r="L466" s="5" t="n">
        <v>10000</v>
      </c>
      <c r="M466" s="5" t="n">
        <v>2498</v>
      </c>
      <c r="N466" s="5" t="n">
        <v>163</v>
      </c>
      <c r="O466" s="5" t="n">
        <v>220</v>
      </c>
      <c r="P466" s="8">
        <f>IF(AND(M466&lt;&gt;"",M466&gt;0),M466+N466+O466,"")</f>
        <v/>
      </c>
      <c r="Q466" s="11">
        <f>IF(AND(L466&lt;&gt;"",L466&gt;0,P466&lt;&gt;""),P466/L466,"")</f>
        <v/>
      </c>
      <c r="R466" s="16">
        <f>IF(AND(P466&lt;&gt;"",P466&gt;0),(I466+J466+K466)/P466,"")</f>
        <v/>
      </c>
    </row>
    <row r="467" ht="81" customHeight="1">
      <c r="A467" s="5" t="inlineStr">
        <is>
          <t>2026-02-25</t>
        </is>
      </c>
      <c r="B467" s="5" t="inlineStr">
        <is>
          <t>9周</t>
        </is>
      </c>
      <c r="C467" s="5" t="inlineStr">
        <is>
          <t>小红书</t>
        </is>
      </c>
      <c r="D467" s="5" t="n"/>
      <c r="E467" s="5" t="n"/>
      <c r="F467" s="5" t="inlineStr">
        <is>
          <t>https://www.xiaohongshu.com/discovery/item/699e799e000000001600a190?xsec_token=CBuAD7uoeMp_D4XPH91D7b98LUYjWR-LjosdzZbtfAx8E=&amp;xsec_source=app_share&amp;type=video</t>
        </is>
      </c>
      <c r="G467" s="5" t="inlineStr">
        <is>
          <t>1225</t>
        </is>
      </c>
      <c r="H467" s="5" t="inlineStr">
        <is>
          <t>穿搭</t>
        </is>
      </c>
      <c r="I467" s="5" t="n"/>
      <c r="J467" s="5" t="n"/>
      <c r="K467" s="5" t="n">
        <v>55.5</v>
      </c>
      <c r="L467" s="5" t="n">
        <v>1388</v>
      </c>
      <c r="M467" s="5" t="n">
        <v>188</v>
      </c>
      <c r="N467" s="5" t="n">
        <v>26</v>
      </c>
      <c r="O467" s="5" t="n">
        <v>6</v>
      </c>
      <c r="P467" s="8">
        <f>IF(AND(M467&lt;&gt;"",M467&gt;0),M467+N467+O467,"")</f>
        <v/>
      </c>
      <c r="Q467" s="11">
        <f>IF(AND(L467&lt;&gt;"",L467&gt;0,P467&lt;&gt;""),P467/L467,"")</f>
        <v/>
      </c>
      <c r="R467" s="16">
        <f>IF(AND(P467&lt;&gt;"",P467&gt;0),(I467+J467+K467)/P467,"")</f>
        <v/>
      </c>
    </row>
    <row r="468" ht="81" customHeight="1">
      <c r="A468" s="5" t="inlineStr">
        <is>
          <t>2026-02-25</t>
        </is>
      </c>
      <c r="B468" s="5" t="inlineStr">
        <is>
          <t>9周</t>
        </is>
      </c>
      <c r="C468" s="5" t="inlineStr">
        <is>
          <t>小红书</t>
        </is>
      </c>
      <c r="D468" s="5" t="n"/>
      <c r="E468" s="5" t="n"/>
      <c r="F468" s="5" t="inlineStr">
        <is>
          <t>https://www.xiaohongshu.com/discovery/item/699ed038000000001503b9c8?xsec_token=CBdYoDqdgKYsNGEvm3t-4Sa4Fc5xrBjA1QI07LchipBPw=&amp;xsec_source=app_share&amp;type=video</t>
        </is>
      </c>
      <c r="G468" s="5" t="inlineStr">
        <is>
          <t>1217W</t>
        </is>
      </c>
      <c r="H468" s="5" t="inlineStr">
        <is>
          <t>学生</t>
        </is>
      </c>
      <c r="I468" s="5" t="n">
        <v>450</v>
      </c>
      <c r="J468" s="5" t="n"/>
      <c r="K468" s="5" t="n">
        <v>54</v>
      </c>
      <c r="L468" s="5" t="n">
        <v>12492</v>
      </c>
      <c r="M468" s="5" t="n">
        <v>1727</v>
      </c>
      <c r="N468" s="5" t="n">
        <v>160</v>
      </c>
      <c r="O468" s="5" t="n">
        <v>58</v>
      </c>
      <c r="P468" s="8">
        <f>IF(AND(M468&lt;&gt;"",M468&gt;0),M468+N468+O468,"")</f>
        <v/>
      </c>
      <c r="Q468" s="11">
        <f>IF(AND(L468&lt;&gt;"",L468&gt;0,P468&lt;&gt;""),P468/L468,"")</f>
        <v/>
      </c>
      <c r="R468" s="16">
        <f>IF(AND(P468&lt;&gt;"",P468&gt;0),(I468+J468+K468)/P468,"")</f>
        <v/>
      </c>
    </row>
    <row r="469" ht="81" customHeight="1">
      <c r="A469" s="5" t="inlineStr">
        <is>
          <t>2026-02-25</t>
        </is>
      </c>
      <c r="B469" s="5" t="inlineStr">
        <is>
          <t>9周</t>
        </is>
      </c>
      <c r="C469" s="5" t="inlineStr">
        <is>
          <t>小红书</t>
        </is>
      </c>
      <c r="D469" s="5" t="n"/>
      <c r="E469" s="5" t="n"/>
      <c r="F469" s="5" t="inlineStr">
        <is>
          <t>https://www.xiaohongshu.com/discovery/item/699ed243000000001d010d5b?xsec_token=CB-e_DEjvW1hNJgFCPK6rTqGRpDBOKZ2dVjt7yd8seczE=&amp;xsec_source=app_share</t>
        </is>
      </c>
      <c r="G469" s="5" t="inlineStr">
        <is>
          <t>0002A1</t>
        </is>
      </c>
      <c r="H469" s="5" t="inlineStr">
        <is>
          <t>穿搭</t>
        </is>
      </c>
      <c r="I469" s="5" t="n"/>
      <c r="J469" s="5" t="n"/>
      <c r="K469" s="5" t="n">
        <v>110.5</v>
      </c>
      <c r="L469" s="5" t="n">
        <v>1369</v>
      </c>
      <c r="M469" s="5" t="n">
        <v>99</v>
      </c>
      <c r="N469" s="5" t="n">
        <v>18</v>
      </c>
      <c r="O469" s="5" t="n">
        <v>6</v>
      </c>
      <c r="P469" s="8">
        <f>IF(AND(M469&lt;&gt;"",M469&gt;0),M469+N469+O469,"")</f>
        <v/>
      </c>
      <c r="Q469" s="11">
        <f>IF(AND(L469&lt;&gt;"",L469&gt;0,P469&lt;&gt;""),P469/L469,"")</f>
        <v/>
      </c>
      <c r="R469" s="16">
        <f>IF(AND(P469&lt;&gt;"",P469&gt;0),(I469+J469+K469)/P469,"")</f>
        <v/>
      </c>
    </row>
    <row r="470" ht="27" customHeight="1">
      <c r="A470" s="5" t="inlineStr">
        <is>
          <t>2026-02-26</t>
        </is>
      </c>
      <c r="B470" s="5" t="inlineStr">
        <is>
          <t>9周</t>
        </is>
      </c>
      <c r="C470" s="5" t="inlineStr">
        <is>
          <t>抖音</t>
        </is>
      </c>
      <c r="D470" s="5" t="n"/>
      <c r="E470" s="5" t="n"/>
      <c r="F470" s="5" t="inlineStr">
        <is>
          <t>https://v.douyin.com/-BNWlHlXzHY/</t>
        </is>
      </c>
      <c r="G470" s="5" t="inlineStr">
        <is>
          <t>001A1</t>
        </is>
      </c>
      <c r="H470" s="5" t="inlineStr">
        <is>
          <t>穿搭</t>
        </is>
      </c>
      <c r="I470" s="5" t="n"/>
      <c r="J470" s="5" t="n"/>
      <c r="K470" s="5" t="n">
        <v>107.5</v>
      </c>
      <c r="L470" s="5" t="n">
        <v>2000</v>
      </c>
      <c r="M470" s="5" t="n">
        <v>269</v>
      </c>
      <c r="N470" s="5" t="n">
        <v>0</v>
      </c>
      <c r="O470" s="5" t="n">
        <v>51</v>
      </c>
      <c r="P470" s="8">
        <f>IF(AND(M470&lt;&gt;"",M470&gt;0),M470+N470+O470,"")</f>
        <v/>
      </c>
      <c r="Q470" s="11">
        <f>IF(AND(L470&lt;&gt;"",L470&gt;0,P470&lt;&gt;""),P470/L470,"")</f>
        <v/>
      </c>
      <c r="R470" s="16">
        <f>IF(AND(P470&lt;&gt;"",P470&gt;0),(I470+J470+K470)/P470,"")</f>
        <v/>
      </c>
    </row>
    <row r="471" ht="27" customHeight="1">
      <c r="A471" s="5" t="inlineStr">
        <is>
          <t>2026-02-26</t>
        </is>
      </c>
      <c r="B471" s="5" t="inlineStr">
        <is>
          <t>9周</t>
        </is>
      </c>
      <c r="C471" s="5" t="inlineStr">
        <is>
          <t>抖音</t>
        </is>
      </c>
      <c r="D471" s="5" t="n"/>
      <c r="E471" s="5" t="n"/>
      <c r="F471" s="5" t="inlineStr">
        <is>
          <t>https://v.douyin.com/s71dF4euTrQ/</t>
        </is>
      </c>
      <c r="G471" s="5" t="inlineStr">
        <is>
          <t>0002A1</t>
        </is>
      </c>
      <c r="H471" s="5" t="inlineStr">
        <is>
          <t>穿搭</t>
        </is>
      </c>
      <c r="I471" s="5" t="n"/>
      <c r="J471" s="5" t="n"/>
      <c r="K471" s="5" t="n">
        <v>110.5</v>
      </c>
      <c r="L471" s="5" t="n">
        <v>11000</v>
      </c>
      <c r="M471" s="5" t="n">
        <v>1470</v>
      </c>
      <c r="N471" s="5" t="n">
        <v>71</v>
      </c>
      <c r="O471" s="5" t="n">
        <v>17</v>
      </c>
      <c r="P471" s="8">
        <f>IF(AND(M471&lt;&gt;"",M471&gt;0),M471+N471+O471,"")</f>
        <v/>
      </c>
      <c r="Q471" s="11">
        <f>IF(AND(L471&lt;&gt;"",L471&gt;0,P471&lt;&gt;""),P471/L471,"")</f>
        <v/>
      </c>
      <c r="R471" s="16">
        <f>IF(AND(P471&lt;&gt;"",P471&gt;0),(I471+J471+K471)/P471,"")</f>
        <v/>
      </c>
    </row>
    <row r="472" ht="81" customHeight="1">
      <c r="A472" s="5" t="inlineStr">
        <is>
          <t>2026-02-26</t>
        </is>
      </c>
      <c r="B472" s="5" t="inlineStr">
        <is>
          <t>9周</t>
        </is>
      </c>
      <c r="C472" s="5" t="inlineStr">
        <is>
          <t>小红书</t>
        </is>
      </c>
      <c r="D472" s="5" t="n"/>
      <c r="E472" s="5" t="n"/>
      <c r="F472" s="5" t="inlineStr">
        <is>
          <t>https://www.xiaohongshu.com/discovery/item/69a031f3000000001d026fc7?xsec_token=CBgH05Qk0w9Z57Kfkw8bhU3rT9Q7vvtXuqc7SaaRMATPc=&amp;xsec_source=app_share&amp;type=video</t>
        </is>
      </c>
      <c r="G472" s="5" t="inlineStr">
        <is>
          <t>0002A1</t>
        </is>
      </c>
      <c r="H472" s="5" t="inlineStr">
        <is>
          <t>穿搭</t>
        </is>
      </c>
      <c r="I472" s="5" t="n"/>
      <c r="J472" s="5" t="n"/>
      <c r="K472" s="5" t="n">
        <v>110.5</v>
      </c>
      <c r="L472" s="5" t="n">
        <v>4328</v>
      </c>
      <c r="M472" s="5" t="n">
        <v>757</v>
      </c>
      <c r="N472" s="5" t="n">
        <v>87</v>
      </c>
      <c r="O472" s="5" t="n">
        <v>13</v>
      </c>
      <c r="P472" s="8">
        <f>IF(AND(M472&lt;&gt;"",M472&gt;0),M472+N472+O472,"")</f>
        <v/>
      </c>
      <c r="Q472" s="11">
        <f>IF(AND(L472&lt;&gt;"",L472&gt;0,P472&lt;&gt;""),P472/L472,"")</f>
        <v/>
      </c>
      <c r="R472" s="16">
        <f>IF(AND(P472&lt;&gt;"",P472&gt;0),(I472+J472+K472)/P472,"")</f>
        <v/>
      </c>
    </row>
    <row r="473" ht="81" customHeight="1">
      <c r="A473" s="5" t="inlineStr">
        <is>
          <t>2026-02-26</t>
        </is>
      </c>
      <c r="B473" s="5" t="inlineStr">
        <is>
          <t>9周</t>
        </is>
      </c>
      <c r="C473" s="5" t="inlineStr">
        <is>
          <t>小红书</t>
        </is>
      </c>
      <c r="D473" s="5" t="n"/>
      <c r="E473" s="5" t="n"/>
      <c r="F473" s="5" t="inlineStr">
        <is>
          <t>https://www.xiaohongshu.com/discovery/item/69a058ba000000001a0312a3?xsec_token=CBmL-4-uO61D9i3C9Xd62szz-YGnxAfKxQ8OWtkLwXnZ0=&amp;xsec_source=app_share&amp;type=video</t>
        </is>
      </c>
      <c r="G473" s="5" t="inlineStr">
        <is>
          <t>495</t>
        </is>
      </c>
      <c r="H473" s="5" t="inlineStr">
        <is>
          <t>口播</t>
        </is>
      </c>
      <c r="I473" s="5" t="n"/>
      <c r="J473" s="5" t="n"/>
      <c r="K473" s="5" t="n">
        <v>93</v>
      </c>
      <c r="L473" s="5" t="n">
        <v>1996</v>
      </c>
      <c r="M473" s="5" t="n">
        <v>74</v>
      </c>
      <c r="N473" s="5" t="n">
        <v>40</v>
      </c>
      <c r="O473" s="5" t="n">
        <v>29</v>
      </c>
      <c r="P473" s="8">
        <f>IF(AND(M473&lt;&gt;"",M473&gt;0),M473+N473+O473,"")</f>
        <v/>
      </c>
      <c r="Q473" s="11">
        <f>IF(AND(L473&lt;&gt;"",L473&gt;0,P473&lt;&gt;""),P473/L473,"")</f>
        <v/>
      </c>
      <c r="R473" s="16">
        <f>IF(AND(P473&lt;&gt;"",P473&gt;0),(I473+J473+K473)/P473,"")</f>
        <v/>
      </c>
    </row>
    <row r="474" ht="81" customHeight="1">
      <c r="A474" s="5" t="inlineStr">
        <is>
          <t>2026-02-26</t>
        </is>
      </c>
      <c r="B474" s="5" t="inlineStr">
        <is>
          <t>9周</t>
        </is>
      </c>
      <c r="C474" s="5" t="inlineStr">
        <is>
          <t>小红书</t>
        </is>
      </c>
      <c r="D474" s="5" t="n"/>
      <c r="E474" s="5" t="n"/>
      <c r="F474" s="5" t="inlineStr">
        <is>
          <t>https://www.xiaohongshu.com/discovery/item/69a059430000000015039cd1?xsec_token=CBcR0YU_PpGennz9mZJUbCZPrp_qrvEe2Y71w8oVV4T04=&amp;xsec_source=app_share&amp;type=video</t>
        </is>
      </c>
      <c r="G474" s="5" t="inlineStr">
        <is>
          <t>001A1</t>
        </is>
      </c>
      <c r="H474" s="5" t="inlineStr">
        <is>
          <t>合集</t>
        </is>
      </c>
      <c r="I474" s="5" t="n">
        <v>1700</v>
      </c>
      <c r="J474" s="5" t="n"/>
      <c r="K474" s="5" t="n">
        <v>107.5</v>
      </c>
      <c r="L474" s="5" t="n">
        <v>41442</v>
      </c>
      <c r="M474" s="5" t="n">
        <v>5480</v>
      </c>
      <c r="N474" s="5" t="n">
        <v>2723</v>
      </c>
      <c r="O474" s="5" t="n">
        <v>137</v>
      </c>
      <c r="P474" s="8">
        <f>IF(AND(M474&lt;&gt;"",M474&gt;0),M474+N474+O474,"")</f>
        <v/>
      </c>
      <c r="Q474" s="11">
        <f>IF(AND(L474&lt;&gt;"",L474&gt;0,P474&lt;&gt;""),P474/L474,"")</f>
        <v/>
      </c>
      <c r="R474" s="16">
        <f>IF(AND(P474&lt;&gt;"",P474&gt;0),(I474+J474+K474)/P474,"")</f>
        <v/>
      </c>
    </row>
    <row r="475" ht="27" customHeight="1">
      <c r="A475" s="5" t="inlineStr">
        <is>
          <t>2026-02-27</t>
        </is>
      </c>
      <c r="B475" s="5" t="inlineStr">
        <is>
          <t>9周</t>
        </is>
      </c>
      <c r="C475" s="5" t="inlineStr">
        <is>
          <t>抖音</t>
        </is>
      </c>
      <c r="D475" s="5" t="n"/>
      <c r="E475" s="5" t="n"/>
      <c r="F475" s="5" t="inlineStr">
        <is>
          <t>https://v.douyin.com/4uWEGyEL0t0/</t>
        </is>
      </c>
      <c r="G475" s="5" t="inlineStr">
        <is>
          <t>495</t>
        </is>
      </c>
      <c r="H475" s="5" t="inlineStr">
        <is>
          <t>跳舞</t>
        </is>
      </c>
      <c r="I475" s="5" t="n">
        <v>100</v>
      </c>
      <c r="J475" s="5" t="n"/>
      <c r="K475" s="5" t="n">
        <v>93</v>
      </c>
      <c r="L475" s="5" t="n">
        <v>155000</v>
      </c>
      <c r="M475" s="5" t="n">
        <v>1707</v>
      </c>
      <c r="N475" s="5" t="n">
        <v>161</v>
      </c>
      <c r="O475" s="5" t="n">
        <v>77</v>
      </c>
      <c r="P475" s="8">
        <f>IF(AND(M475&lt;&gt;"",M475&gt;0),M475+N475+O475,"")</f>
        <v/>
      </c>
      <c r="Q475" s="11">
        <f>IF(AND(L475&lt;&gt;"",L475&gt;0,P475&lt;&gt;""),P475/L475,"")</f>
        <v/>
      </c>
      <c r="R475" s="16">
        <f>IF(AND(P475&lt;&gt;"",P475&gt;0),(I475+J475+K475)/P475,"")</f>
        <v/>
      </c>
    </row>
    <row r="476" ht="27" customHeight="1">
      <c r="A476" s="5" t="inlineStr">
        <is>
          <t>2026-02-27</t>
        </is>
      </c>
      <c r="B476" s="5" t="inlineStr">
        <is>
          <t>9周</t>
        </is>
      </c>
      <c r="C476" s="5" t="inlineStr">
        <is>
          <t>抖音</t>
        </is>
      </c>
      <c r="D476" s="5" t="n"/>
      <c r="E476" s="5" t="n"/>
      <c r="F476" s="5" t="inlineStr">
        <is>
          <t>https://v.douyin.com/kszZt2TeTtU/ HVY:/ 08/15 P@K.Wm</t>
        </is>
      </c>
      <c r="G476" s="5" t="inlineStr">
        <is>
          <t>001A1</t>
        </is>
      </c>
      <c r="H476" s="5" t="inlineStr">
        <is>
          <t>合集</t>
        </is>
      </c>
      <c r="I476" s="5" t="n"/>
      <c r="J476" s="5" t="n"/>
      <c r="K476" s="5" t="n">
        <v>107.5</v>
      </c>
      <c r="L476" s="5" t="n">
        <v>154000</v>
      </c>
      <c r="M476" s="5" t="n">
        <v>4620</v>
      </c>
      <c r="N476" s="5" t="n">
        <v>2870</v>
      </c>
      <c r="O476" s="5" t="n">
        <v>102</v>
      </c>
      <c r="P476" s="8">
        <f>IF(AND(M476&lt;&gt;"",M476&gt;0),M476+N476+O476,"")</f>
        <v/>
      </c>
      <c r="Q476" s="11">
        <f>IF(AND(L476&lt;&gt;"",L476&gt;0,P476&lt;&gt;""),P476/L476,"")</f>
        <v/>
      </c>
      <c r="R476" s="16">
        <f>IF(AND(P476&lt;&gt;"",P476&gt;0),(I476+J476+K476)/P476,"")</f>
        <v/>
      </c>
    </row>
    <row r="477" ht="27" customHeight="1">
      <c r="A477" s="5" t="inlineStr">
        <is>
          <t>2026-02-27</t>
        </is>
      </c>
      <c r="B477" s="5" t="inlineStr">
        <is>
          <t>9周</t>
        </is>
      </c>
      <c r="C477" s="5" t="inlineStr">
        <is>
          <t>抖音</t>
        </is>
      </c>
      <c r="D477" s="5" t="n"/>
      <c r="E477" s="5" t="n"/>
      <c r="F477" s="5" t="inlineStr">
        <is>
          <t>https://v.douyin.com/6FXTYJEUev8/</t>
        </is>
      </c>
      <c r="G477" s="5" t="inlineStr">
        <is>
          <t>0002A1</t>
        </is>
      </c>
      <c r="H477" s="5" t="inlineStr">
        <is>
          <t>穿搭</t>
        </is>
      </c>
      <c r="I477" s="5" t="n"/>
      <c r="J477" s="5" t="n"/>
      <c r="K477" s="5" t="n">
        <v>110.5</v>
      </c>
      <c r="L477" s="5" t="n">
        <v>7914</v>
      </c>
      <c r="M477" s="5" t="n">
        <v>260</v>
      </c>
      <c r="N477" s="5" t="n">
        <v>30</v>
      </c>
      <c r="O477" s="5" t="n">
        <v>9</v>
      </c>
      <c r="P477" s="8">
        <f>IF(AND(M477&lt;&gt;"",M477&gt;0),M477+N477+O477,"")</f>
        <v/>
      </c>
      <c r="Q477" s="11">
        <f>IF(AND(L477&lt;&gt;"",L477&gt;0,P477&lt;&gt;""),P477/L477,"")</f>
        <v/>
      </c>
      <c r="R477" s="16">
        <f>IF(AND(P477&lt;&gt;"",P477&gt;0),(I477+J477+K477)/P477,"")</f>
        <v/>
      </c>
    </row>
    <row r="478" ht="27" customHeight="1">
      <c r="A478" s="5" t="inlineStr">
        <is>
          <t>2026-02-27</t>
        </is>
      </c>
      <c r="B478" s="5" t="inlineStr">
        <is>
          <t>9周</t>
        </is>
      </c>
      <c r="C478" s="5" t="inlineStr">
        <is>
          <t>抖音</t>
        </is>
      </c>
      <c r="D478" s="5" t="n"/>
      <c r="E478" s="5" t="n"/>
      <c r="F478" s="5" t="inlineStr">
        <is>
          <t>https://v.douyin.com/AayWnw4kheM/</t>
        </is>
      </c>
      <c r="G478" s="5" t="inlineStr">
        <is>
          <t>495</t>
        </is>
      </c>
      <c r="H478" s="5" t="inlineStr">
        <is>
          <t>江衡</t>
        </is>
      </c>
      <c r="I478" s="5" t="n"/>
      <c r="J478" s="5" t="n"/>
      <c r="K478" s="5" t="n">
        <v>93</v>
      </c>
      <c r="L478" s="5" t="n">
        <v>2072</v>
      </c>
      <c r="M478" s="5" t="n">
        <v>213</v>
      </c>
      <c r="N478" s="5" t="n">
        <v>4</v>
      </c>
      <c r="O478" s="5" t="n">
        <v>1</v>
      </c>
      <c r="P478" s="8">
        <f>IF(AND(M478&lt;&gt;"",M478&gt;0),M478+N478+O478,"")</f>
        <v/>
      </c>
      <c r="Q478" s="11">
        <f>IF(AND(L478&lt;&gt;"",L478&gt;0,P478&lt;&gt;""),P478/L478,"")</f>
        <v/>
      </c>
      <c r="R478" s="16">
        <f>IF(AND(P478&lt;&gt;"",P478&gt;0),(I478+J478+K478)/P478,"")</f>
        <v/>
      </c>
    </row>
    <row r="479" ht="27" customHeight="1">
      <c r="A479" s="5" t="inlineStr">
        <is>
          <t>2026-02-27</t>
        </is>
      </c>
      <c r="B479" s="5" t="inlineStr">
        <is>
          <t>9周</t>
        </is>
      </c>
      <c r="C479" s="5" t="inlineStr">
        <is>
          <t>抖音</t>
        </is>
      </c>
      <c r="D479" s="5" t="n"/>
      <c r="E479" s="5" t="n"/>
      <c r="F479" s="5" t="inlineStr">
        <is>
          <t>https://v.douyin.com/mJdiJarQ21E/</t>
        </is>
      </c>
      <c r="G479" s="5" t="inlineStr">
        <is>
          <t>495</t>
        </is>
      </c>
      <c r="H479" s="5" t="inlineStr">
        <is>
          <t>穿搭</t>
        </is>
      </c>
      <c r="I479" s="5" t="n">
        <v>60</v>
      </c>
      <c r="J479" s="5" t="n"/>
      <c r="K479" s="5" t="n">
        <v>93</v>
      </c>
      <c r="L479" s="5" t="n">
        <v>7700</v>
      </c>
      <c r="M479" s="5" t="n">
        <v>485</v>
      </c>
      <c r="N479" s="5" t="n">
        <v>31</v>
      </c>
      <c r="O479" s="5" t="n">
        <v>18</v>
      </c>
      <c r="P479" s="8">
        <f>IF(AND(M479&lt;&gt;"",M479&gt;0),M479+N479+O479,"")</f>
        <v/>
      </c>
      <c r="Q479" s="11">
        <f>IF(AND(L479&lt;&gt;"",L479&gt;0,P479&lt;&gt;""),P479/L479,"")</f>
        <v/>
      </c>
      <c r="R479" s="16">
        <f>IF(AND(P479&lt;&gt;"",P479&gt;0),(I479+J479+K479)/P479,"")</f>
        <v/>
      </c>
    </row>
    <row r="480" ht="81" customHeight="1">
      <c r="A480" s="5" t="inlineStr">
        <is>
          <t>2026-02-27</t>
        </is>
      </c>
      <c r="B480" s="5" t="inlineStr">
        <is>
          <t>9周</t>
        </is>
      </c>
      <c r="C480" s="5" t="inlineStr">
        <is>
          <t>小红书</t>
        </is>
      </c>
      <c r="D480" s="5" t="n"/>
      <c r="E480" s="5" t="n"/>
      <c r="F480" s="5" t="inlineStr">
        <is>
          <t>https://www.xiaohongshu.com/discovery/item/69a153310000000026030b0b?xsec_token=CBfh0Cnt_S7DZ3jtps6lUUg36OtqQDU2cU49IxNrzTzLQ=&amp;xsec_source=app_share&amp;type=video</t>
        </is>
      </c>
      <c r="G480" s="5" t="inlineStr">
        <is>
          <t>0002A1</t>
        </is>
      </c>
      <c r="H480" s="5" t="inlineStr">
        <is>
          <t>口播</t>
        </is>
      </c>
      <c r="I480" s="5" t="n">
        <v>500</v>
      </c>
      <c r="J480" s="5" t="n"/>
      <c r="K480" s="5" t="n">
        <v>110.5</v>
      </c>
      <c r="L480" s="5" t="n">
        <v>25758</v>
      </c>
      <c r="M480" s="5" t="n">
        <v>1113</v>
      </c>
      <c r="N480" s="5" t="n">
        <v>590</v>
      </c>
      <c r="O480" s="5" t="n">
        <v>160</v>
      </c>
      <c r="P480" s="8">
        <f>IF(AND(M480&lt;&gt;"",M480&gt;0),M480+N480+O480,"")</f>
        <v/>
      </c>
      <c r="Q480" s="11">
        <f>IF(AND(L480&lt;&gt;"",L480&gt;0,P480&lt;&gt;""),P480/L480,"")</f>
        <v/>
      </c>
      <c r="R480" s="16">
        <f>IF(AND(P480&lt;&gt;"",P480&gt;0),(I480+J480+K480)/P480,"")</f>
        <v/>
      </c>
    </row>
    <row r="481" ht="81" customHeight="1">
      <c r="A481" s="5" t="inlineStr">
        <is>
          <t>2026-02-27</t>
        </is>
      </c>
      <c r="B481" s="5" t="inlineStr">
        <is>
          <t>9周</t>
        </is>
      </c>
      <c r="C481" s="5" t="inlineStr">
        <is>
          <t>小红书</t>
        </is>
      </c>
      <c r="D481" s="5" t="n"/>
      <c r="E481" s="5" t="n"/>
      <c r="F481" s="5" t="inlineStr">
        <is>
          <t>https://www.xiaohongshu.com/discovery/item/69a19374000000001d012a17?xsec_token=CBKjO9tK92AxYj3juYb3P3leOdwkUvjWtfxip28DuQubg=&amp;xsec_source=app_share&amp;type=video</t>
        </is>
      </c>
      <c r="G481" s="5" t="inlineStr">
        <is>
          <t>495</t>
        </is>
      </c>
      <c r="H481" s="5" t="inlineStr">
        <is>
          <t>口播</t>
        </is>
      </c>
      <c r="I481" s="5" t="n">
        <v>500</v>
      </c>
      <c r="J481" s="5" t="n"/>
      <c r="K481" s="5" t="n">
        <v>93</v>
      </c>
      <c r="L481" s="5" t="n">
        <v>38498</v>
      </c>
      <c r="M481" s="5" t="n">
        <v>2135</v>
      </c>
      <c r="N481" s="5" t="n">
        <v>721</v>
      </c>
      <c r="O481" s="5" t="n">
        <v>318</v>
      </c>
      <c r="P481" s="8">
        <f>IF(AND(M481&lt;&gt;"",M481&gt;0),M481+N481+O481,"")</f>
        <v/>
      </c>
      <c r="Q481" s="11">
        <f>IF(AND(L481&lt;&gt;"",L481&gt;0,P481&lt;&gt;""),P481/L481,"")</f>
        <v/>
      </c>
      <c r="R481" s="16">
        <f>IF(AND(P481&lt;&gt;"",P481&gt;0),(I481+J481+K481)/P481,"")</f>
        <v/>
      </c>
    </row>
    <row r="482" ht="81" customHeight="1">
      <c r="A482" s="5" t="inlineStr">
        <is>
          <t>2026-02-27</t>
        </is>
      </c>
      <c r="B482" s="5" t="inlineStr">
        <is>
          <t>9周</t>
        </is>
      </c>
      <c r="C482" s="5" t="inlineStr">
        <is>
          <t>小红书</t>
        </is>
      </c>
      <c r="D482" s="5" t="n"/>
      <c r="E482" s="5" t="n"/>
      <c r="F482" s="5" t="inlineStr">
        <is>
          <t>https://www.xiaohongshu.com/discovery/item/69a19d390000000026030b94?xsec_token=CBP_MchsYfPBDsbIaZnSxdyl029SIURlj23EuTpPz6qz8=&amp;xsec_source=app_share&amp;type=video</t>
        </is>
      </c>
      <c r="G482" s="5" t="inlineStr">
        <is>
          <t>495</t>
        </is>
      </c>
      <c r="H482" s="5" t="inlineStr">
        <is>
          <t>穿搭</t>
        </is>
      </c>
      <c r="I482" s="5" t="n"/>
      <c r="J482" s="5" t="n"/>
      <c r="K482" s="5" t="n">
        <v>93</v>
      </c>
      <c r="L482" s="5" t="n">
        <v>2216</v>
      </c>
      <c r="M482" s="5" t="n">
        <v>154</v>
      </c>
      <c r="N482" s="5" t="n">
        <v>21</v>
      </c>
      <c r="O482" s="5" t="n">
        <v>15</v>
      </c>
      <c r="P482" s="8">
        <f>IF(AND(M482&lt;&gt;"",M482&gt;0),M482+N482+O482,"")</f>
        <v/>
      </c>
      <c r="Q482" s="11">
        <f>IF(AND(L482&lt;&gt;"",L482&gt;0,P482&lt;&gt;""),P482/L482,"")</f>
        <v/>
      </c>
      <c r="R482" s="16">
        <f>IF(AND(P482&lt;&gt;"",P482&gt;0),(I482+J482+K482)/P482,"")</f>
        <v/>
      </c>
    </row>
    <row r="483" ht="27" customHeight="1">
      <c r="A483" s="5" t="inlineStr">
        <is>
          <t>2026-02-28</t>
        </is>
      </c>
      <c r="B483" s="5" t="inlineStr">
        <is>
          <t>9周</t>
        </is>
      </c>
      <c r="C483" s="5" t="inlineStr">
        <is>
          <t>抖音</t>
        </is>
      </c>
      <c r="D483" s="5" t="n"/>
      <c r="E483" s="5" t="n"/>
      <c r="F483" s="5" t="inlineStr">
        <is>
          <t>https://v.douyin.com/eAxr4PQCqtM/</t>
        </is>
      </c>
      <c r="G483" s="5" t="inlineStr">
        <is>
          <t>0002A1</t>
        </is>
      </c>
      <c r="H483" s="5" t="inlineStr">
        <is>
          <t>穿搭</t>
        </is>
      </c>
      <c r="I483" s="5" t="n"/>
      <c r="J483" s="5" t="n"/>
      <c r="K483" s="5" t="n">
        <v>110.5</v>
      </c>
      <c r="L483" s="5" t="n">
        <v>55000</v>
      </c>
      <c r="M483" s="5" t="n">
        <v>1940</v>
      </c>
      <c r="N483" s="5" t="n">
        <v>284</v>
      </c>
      <c r="O483" s="5" t="n">
        <v>40</v>
      </c>
      <c r="P483" s="8">
        <f>IF(AND(M483&lt;&gt;"",M483&gt;0),M483+N483+O483,"")</f>
        <v/>
      </c>
      <c r="Q483" s="11">
        <f>IF(AND(L483&lt;&gt;"",L483&gt;0,P483&lt;&gt;""),P483/L483,"")</f>
        <v/>
      </c>
      <c r="R483" s="16">
        <f>IF(AND(P483&lt;&gt;"",P483&gt;0),(I483+J483+K483)/P483,"")</f>
        <v/>
      </c>
    </row>
    <row r="484" ht="27" customHeight="1">
      <c r="A484" s="5" t="inlineStr">
        <is>
          <t>2026-02-28</t>
        </is>
      </c>
      <c r="B484" s="5" t="inlineStr">
        <is>
          <t>9周</t>
        </is>
      </c>
      <c r="C484" s="5" t="inlineStr">
        <is>
          <t>抖音</t>
        </is>
      </c>
      <c r="D484" s="5" t="n"/>
      <c r="E484" s="5" t="n"/>
      <c r="F484" s="5" t="inlineStr">
        <is>
          <t>https://v.douyin.com/oK_P_wBlkFk/</t>
        </is>
      </c>
      <c r="G484" s="5" t="inlineStr">
        <is>
          <t>1225</t>
        </is>
      </c>
      <c r="H484" s="5" t="inlineStr">
        <is>
          <t>学生</t>
        </is>
      </c>
      <c r="I484" s="5" t="n"/>
      <c r="J484" s="5" t="n"/>
      <c r="K484" s="5" t="n">
        <v>55.5</v>
      </c>
      <c r="L484" s="5" t="n">
        <v>21000</v>
      </c>
      <c r="M484" s="5" t="n">
        <v>1870</v>
      </c>
      <c r="N484" s="5" t="n">
        <v>48</v>
      </c>
      <c r="O484" s="5" t="n">
        <v>80</v>
      </c>
      <c r="P484" s="8">
        <f>IF(AND(M484&lt;&gt;"",M484&gt;0),M484+N484+O484,"")</f>
        <v/>
      </c>
      <c r="Q484" s="11">
        <f>IF(AND(L484&lt;&gt;"",L484&gt;0,P484&lt;&gt;""),P484/L484,"")</f>
        <v/>
      </c>
      <c r="R484" s="16">
        <f>IF(AND(P484&lt;&gt;"",P484&gt;0),(I484+J484+K484)/P484,"")</f>
        <v/>
      </c>
    </row>
    <row r="485" ht="27" customHeight="1">
      <c r="A485" s="5" t="inlineStr">
        <is>
          <t>2026-02-28</t>
        </is>
      </c>
      <c r="B485" s="5" t="inlineStr">
        <is>
          <t>9周</t>
        </is>
      </c>
      <c r="C485" s="5" t="inlineStr">
        <is>
          <t>抖音</t>
        </is>
      </c>
      <c r="D485" s="5" t="n"/>
      <c r="E485" s="5" t="n"/>
      <c r="F485" s="5" t="inlineStr">
        <is>
          <t>https://v.douyin.com/1wO4Vx42Hl8/ V@l.pq</t>
        </is>
      </c>
      <c r="G485" s="5" t="inlineStr">
        <is>
          <t>495</t>
        </is>
      </c>
      <c r="H485" s="5" t="inlineStr">
        <is>
          <t>合集</t>
        </is>
      </c>
      <c r="I485" s="5" t="n">
        <v>2800</v>
      </c>
      <c r="J485" s="5" t="n"/>
      <c r="K485" s="5" t="n">
        <v>93</v>
      </c>
      <c r="L485" s="5" t="n">
        <v>209000</v>
      </c>
      <c r="M485" s="5" t="n">
        <v>26000</v>
      </c>
      <c r="N485" s="5" t="n">
        <v>997</v>
      </c>
      <c r="O485" s="5" t="n">
        <v>150</v>
      </c>
      <c r="P485" s="8">
        <f>IF(AND(M485&lt;&gt;"",M485&gt;0),M485+N485+O485,"")</f>
        <v/>
      </c>
      <c r="Q485" s="11">
        <f>IF(AND(L485&lt;&gt;"",L485&gt;0,P485&lt;&gt;""),P485/L485,"")</f>
        <v/>
      </c>
      <c r="R485" s="16">
        <f>IF(AND(P485&lt;&gt;"",P485&gt;0),(I485+J485+K485)/P485,"")</f>
        <v/>
      </c>
    </row>
    <row r="486" ht="67.5" customHeight="1">
      <c r="A486" s="5" t="inlineStr">
        <is>
          <t>2026-02-28</t>
        </is>
      </c>
      <c r="B486" s="5" t="inlineStr">
        <is>
          <t>9周</t>
        </is>
      </c>
      <c r="C486" s="5" t="inlineStr">
        <is>
          <t>小红书</t>
        </is>
      </c>
      <c r="D486" s="5" t="n"/>
      <c r="E486" s="5" t="n"/>
      <c r="F486" s="5" t="inlineStr">
        <is>
          <t>https://www.xiaohongshu.com/discovery/item/69a2c240000000002801f6e4?xsec_token=CBhLyUcg2NI2F-2ywHm7oWfcFugKJnsPhyX9j_az2UMTQ=&amp;xsec_source=app_share</t>
        </is>
      </c>
      <c r="G486" s="5" t="inlineStr">
        <is>
          <t>0002A1</t>
        </is>
      </c>
      <c r="H486" s="5" t="inlineStr">
        <is>
          <t>穿搭</t>
        </is>
      </c>
      <c r="I486" s="5" t="n"/>
      <c r="J486" s="5" t="n"/>
      <c r="K486" s="5" t="n">
        <v>110.5</v>
      </c>
      <c r="L486" s="5" t="n">
        <v>737</v>
      </c>
      <c r="M486" s="5" t="n">
        <v>37</v>
      </c>
      <c r="N486" s="5" t="n">
        <v>7</v>
      </c>
      <c r="O486" s="5" t="n">
        <v>3</v>
      </c>
      <c r="P486" s="8">
        <f>IF(AND(M486&lt;&gt;"",M486&gt;0),M486+N486+O486,"")</f>
        <v/>
      </c>
      <c r="Q486" s="11">
        <f>IF(AND(L486&lt;&gt;"",L486&gt;0,P486&lt;&gt;""),P486/L486,"")</f>
        <v/>
      </c>
      <c r="R486" s="16">
        <f>IF(AND(P486&lt;&gt;"",P486&gt;0),(I486+J486+K486)/P486,"")</f>
        <v/>
      </c>
    </row>
    <row r="487" ht="27" customHeight="1">
      <c r="A487" s="5" t="inlineStr">
        <is>
          <t>2026-02-28</t>
        </is>
      </c>
      <c r="B487" s="5" t="inlineStr">
        <is>
          <t>9周</t>
        </is>
      </c>
      <c r="C487" s="5" t="inlineStr">
        <is>
          <t>抖音</t>
        </is>
      </c>
      <c r="D487" s="5" t="n"/>
      <c r="E487" s="5" t="n"/>
      <c r="F487" s="5" t="inlineStr">
        <is>
          <t>https://v.douyin.com/1wO4Vx42Hl8/ V@l.pq</t>
        </is>
      </c>
      <c r="G487" s="5" t="inlineStr">
        <is>
          <t>001A1</t>
        </is>
      </c>
      <c r="H487" s="5" t="inlineStr">
        <is>
          <t>合集</t>
        </is>
      </c>
      <c r="I487" s="5" t="n">
        <v>2800</v>
      </c>
      <c r="J487" s="5" t="n"/>
      <c r="K487" s="5" t="n">
        <v>107.5</v>
      </c>
      <c r="L487" s="5" t="n">
        <v>209000</v>
      </c>
      <c r="M487" s="5" t="n">
        <v>26000</v>
      </c>
      <c r="N487" s="5" t="n">
        <v>997</v>
      </c>
      <c r="O487" s="5" t="n">
        <v>150</v>
      </c>
      <c r="P487" s="8">
        <f>IF(AND(M487&lt;&gt;"",M487&gt;0),M487+N487+O487,"")</f>
        <v/>
      </c>
      <c r="Q487" s="11">
        <f>IF(AND(L487&lt;&gt;"",L487&gt;0,P487&lt;&gt;""),P487/L487,"")</f>
        <v/>
      </c>
      <c r="R487" s="16">
        <f>IF(AND(P487&lt;&gt;"",P487&gt;0),(I487+J487+K487)/P487,"")</f>
        <v/>
      </c>
    </row>
    <row r="488" ht="27" customHeight="1">
      <c r="A488" s="5" t="inlineStr">
        <is>
          <t>2026-02-28</t>
        </is>
      </c>
      <c r="B488" s="5" t="inlineStr">
        <is>
          <t>9周</t>
        </is>
      </c>
      <c r="C488" s="5" t="inlineStr">
        <is>
          <t>抖音</t>
        </is>
      </c>
      <c r="D488" s="5" t="n"/>
      <c r="E488" s="5" t="n"/>
      <c r="F488" s="5" t="inlineStr">
        <is>
          <t>https://v.douyin.com/1wO4Vx42Hl8/ V@l.pq</t>
        </is>
      </c>
      <c r="G488" s="5" t="inlineStr">
        <is>
          <t>0002A1</t>
        </is>
      </c>
      <c r="H488" s="5" t="inlineStr">
        <is>
          <t>合集</t>
        </is>
      </c>
      <c r="I488" s="5" t="n">
        <v>2800</v>
      </c>
      <c r="J488" s="5" t="n"/>
      <c r="K488" s="5" t="n">
        <v>110.5</v>
      </c>
      <c r="L488" s="5" t="n">
        <v>209000</v>
      </c>
      <c r="M488" s="5" t="n">
        <v>26000</v>
      </c>
      <c r="N488" s="5" t="n">
        <v>997</v>
      </c>
      <c r="O488" s="5" t="n">
        <v>150</v>
      </c>
      <c r="P488" s="8">
        <f>IF(AND(M488&lt;&gt;"",M488&gt;0),M488+N488+O488,"")</f>
        <v/>
      </c>
      <c r="Q488" s="11">
        <f>IF(AND(L488&lt;&gt;"",L488&gt;0,P488&lt;&gt;""),P488/L488,"")</f>
        <v/>
      </c>
      <c r="R488" s="16">
        <f>IF(AND(P488&lt;&gt;"",P488&gt;0),(I488+J488+K488)/P488,"")</f>
        <v/>
      </c>
    </row>
    <row r="489" ht="27" customHeight="1">
      <c r="A489" s="5" t="inlineStr">
        <is>
          <t>2026-03-01</t>
        </is>
      </c>
      <c r="B489" s="5" t="inlineStr">
        <is>
          <t>9周</t>
        </is>
      </c>
      <c r="C489" s="5" t="inlineStr">
        <is>
          <t>抖音</t>
        </is>
      </c>
      <c r="D489" s="5" t="n"/>
      <c r="E489" s="5" t="n"/>
      <c r="F489" s="5" t="inlineStr">
        <is>
          <t>https://v.douyin.com/8wZ9fWf-2wQ/</t>
        </is>
      </c>
      <c r="G489" s="5" t="inlineStr">
        <is>
          <t>495</t>
        </is>
      </c>
      <c r="H489" s="5" t="inlineStr">
        <is>
          <t>穿搭</t>
        </is>
      </c>
      <c r="I489" s="5" t="n">
        <v>50</v>
      </c>
      <c r="J489" s="5" t="n"/>
      <c r="K489" s="5" t="n">
        <v>93</v>
      </c>
      <c r="L489" s="5" t="n">
        <v>15000</v>
      </c>
      <c r="M489" s="5" t="n">
        <v>3295</v>
      </c>
      <c r="N489" s="5" t="n">
        <v>286</v>
      </c>
      <c r="O489" s="5" t="n">
        <v>36</v>
      </c>
      <c r="P489" s="8">
        <f>IF(AND(M489&lt;&gt;"",M489&gt;0),M489+N489+O489,"")</f>
        <v/>
      </c>
      <c r="Q489" s="11">
        <f>IF(AND(L489&lt;&gt;"",L489&gt;0,P489&lt;&gt;""),P489/L489,"")</f>
        <v/>
      </c>
      <c r="R489" s="16">
        <f>IF(AND(P489&lt;&gt;"",P489&gt;0),(I489+J489+K489)/P489,"")</f>
        <v/>
      </c>
    </row>
    <row r="490" ht="27" customHeight="1">
      <c r="A490" s="5" t="inlineStr">
        <is>
          <t>2026-03-01</t>
        </is>
      </c>
      <c r="B490" s="5" t="inlineStr">
        <is>
          <t>9周</t>
        </is>
      </c>
      <c r="C490" s="5" t="inlineStr">
        <is>
          <t>抖音</t>
        </is>
      </c>
      <c r="D490" s="5" t="n"/>
      <c r="E490" s="5" t="n"/>
      <c r="F490" s="5" t="inlineStr">
        <is>
          <t>https://v.douyin.com/5LIbkfmt9js/</t>
        </is>
      </c>
      <c r="G490" s="5" t="inlineStr">
        <is>
          <t>0001A1</t>
        </is>
      </c>
      <c r="H490" s="5" t="inlineStr">
        <is>
          <t>赵一博</t>
        </is>
      </c>
      <c r="I490" s="5" t="n"/>
      <c r="J490" s="5" t="n"/>
      <c r="K490" s="5" t="n">
        <v>107.5</v>
      </c>
      <c r="L490" s="5" t="n">
        <v>18000</v>
      </c>
      <c r="M490" s="5" t="n">
        <v>450</v>
      </c>
      <c r="N490" s="5" t="n">
        <v>19</v>
      </c>
      <c r="O490" s="5" t="n">
        <v>52</v>
      </c>
      <c r="P490" s="8">
        <f>IF(AND(M490&lt;&gt;"",M490&gt;0),M490+N490+O490,"")</f>
        <v/>
      </c>
      <c r="Q490" s="11">
        <f>IF(AND(L490&lt;&gt;"",L490&gt;0,P490&lt;&gt;""),P490/L490,"")</f>
        <v/>
      </c>
      <c r="R490" s="16">
        <f>IF(AND(P490&lt;&gt;"",P490&gt;0),(I490+J490+K490)/P490,"")</f>
        <v/>
      </c>
    </row>
    <row r="491" ht="27" customHeight="1">
      <c r="A491" s="5" t="inlineStr">
        <is>
          <t>2026-03-01</t>
        </is>
      </c>
      <c r="B491" s="5" t="inlineStr">
        <is>
          <t>9周</t>
        </is>
      </c>
      <c r="C491" s="5" t="inlineStr">
        <is>
          <t>抖音</t>
        </is>
      </c>
      <c r="D491" s="5" t="n"/>
      <c r="E491" s="5" t="n"/>
      <c r="F491" s="5" t="inlineStr">
        <is>
          <t>https://v.douyin.com/DEbzhwDQydc/</t>
        </is>
      </c>
      <c r="G491" s="5" t="inlineStr">
        <is>
          <t>0001A1</t>
        </is>
      </c>
      <c r="H491" s="5" t="inlineStr">
        <is>
          <t>穿搭</t>
        </is>
      </c>
      <c r="I491" s="5" t="n">
        <v>75</v>
      </c>
      <c r="J491" s="5" t="n"/>
      <c r="K491" s="5" t="n">
        <v>107.5</v>
      </c>
      <c r="L491" s="5" t="n">
        <v>42000</v>
      </c>
      <c r="M491" s="5" t="n">
        <v>1686</v>
      </c>
      <c r="N491" s="5" t="n">
        <v>365</v>
      </c>
      <c r="O491" s="5" t="n">
        <v>34</v>
      </c>
      <c r="P491" s="8">
        <f>IF(AND(M491&lt;&gt;"",M491&gt;0),M491+N491+O491,"")</f>
        <v/>
      </c>
      <c r="Q491" s="11">
        <f>IF(AND(L491&lt;&gt;"",L491&gt;0,P491&lt;&gt;""),P491/L491,"")</f>
        <v/>
      </c>
      <c r="R491" s="16">
        <f>IF(AND(P491&lt;&gt;"",P491&gt;0),(I491+J491+K491)/P491,"")</f>
        <v/>
      </c>
    </row>
    <row r="492" ht="27" customHeight="1">
      <c r="A492" s="5" t="inlineStr">
        <is>
          <t>2026-03-01</t>
        </is>
      </c>
      <c r="B492" s="5" t="inlineStr">
        <is>
          <t>9周</t>
        </is>
      </c>
      <c r="C492" s="5" t="inlineStr">
        <is>
          <t>抖音</t>
        </is>
      </c>
      <c r="D492" s="5" t="n"/>
      <c r="E492" s="5" t="n"/>
      <c r="F492" s="5" t="inlineStr">
        <is>
          <t>https://v.douyin.com/xweZKI8yr6Y/</t>
        </is>
      </c>
      <c r="G492" s="5" t="inlineStr">
        <is>
          <t>0001A1</t>
        </is>
      </c>
      <c r="H492" s="5" t="inlineStr">
        <is>
          <t>穿搭</t>
        </is>
      </c>
      <c r="I492" s="5" t="n">
        <v>150</v>
      </c>
      <c r="J492" s="5" t="n"/>
      <c r="K492" s="5" t="n">
        <v>107.5</v>
      </c>
      <c r="L492" s="5" t="n">
        <v>24000</v>
      </c>
      <c r="M492" s="5" t="n">
        <v>2607</v>
      </c>
      <c r="N492" s="5" t="n">
        <v>132</v>
      </c>
      <c r="O492" s="5" t="n">
        <v>18</v>
      </c>
      <c r="P492" s="8">
        <f>IF(AND(M492&lt;&gt;"",M492&gt;0),M492+N492+O492,"")</f>
        <v/>
      </c>
      <c r="Q492" s="11">
        <f>IF(AND(L492&lt;&gt;"",L492&gt;0,P492&lt;&gt;""),P492/L492,"")</f>
        <v/>
      </c>
      <c r="R492" s="16">
        <f>IF(AND(P492&lt;&gt;"",P492&gt;0),(I492+J492+K492)/P492,"")</f>
        <v/>
      </c>
    </row>
    <row r="493" ht="27" customHeight="1">
      <c r="A493" s="5" t="inlineStr">
        <is>
          <t>2026-03-01</t>
        </is>
      </c>
      <c r="B493" s="5" t="inlineStr">
        <is>
          <t>9周</t>
        </is>
      </c>
      <c r="C493" s="5" t="inlineStr">
        <is>
          <t>抖音</t>
        </is>
      </c>
      <c r="D493" s="5" t="n"/>
      <c r="E493" s="5" t="n"/>
      <c r="F493" s="5" t="inlineStr">
        <is>
          <t>https://v.douyin.com/wHu_HCMp-ZQ/ AgB:/ X@z.GI 10/09</t>
        </is>
      </c>
      <c r="G493" s="5" t="inlineStr">
        <is>
          <t>0002A1</t>
        </is>
      </c>
      <c r="H493" s="5" t="inlineStr">
        <is>
          <t>穆祉丞</t>
        </is>
      </c>
      <c r="I493" s="5" t="n"/>
      <c r="J493" s="5" t="n"/>
      <c r="K493" s="5" t="n">
        <v>110.5</v>
      </c>
      <c r="L493" s="5" t="n">
        <v>58000</v>
      </c>
      <c r="M493" s="5" t="n">
        <v>3000</v>
      </c>
      <c r="N493" s="5" t="n">
        <v>42</v>
      </c>
      <c r="O493" s="5" t="n">
        <v>64</v>
      </c>
      <c r="P493" s="8">
        <f>IF(AND(M493&lt;&gt;"",M493&gt;0),M493+N493+O493,"")</f>
        <v/>
      </c>
      <c r="Q493" s="11">
        <f>IF(AND(L493&lt;&gt;"",L493&gt;0,P493&lt;&gt;""),P493/L493,"")</f>
        <v/>
      </c>
      <c r="R493" s="16">
        <f>IF(AND(P493&lt;&gt;"",P493&gt;0),(I493+J493+K493)/P493,"")</f>
        <v/>
      </c>
    </row>
    <row r="494" ht="27" customHeight="1">
      <c r="A494" s="5" t="inlineStr">
        <is>
          <t>2026-03-01</t>
        </is>
      </c>
      <c r="B494" s="5" t="inlineStr">
        <is>
          <t>9周</t>
        </is>
      </c>
      <c r="C494" s="5" t="inlineStr">
        <is>
          <t>抖音</t>
        </is>
      </c>
      <c r="D494" s="5" t="n"/>
      <c r="E494" s="5" t="n"/>
      <c r="F494" s="5" t="inlineStr">
        <is>
          <t>https://v.douyin.com/HUSULH4Y1aQ/ YmD:/ 04/18 Z@Z.zt</t>
        </is>
      </c>
      <c r="G494" s="5" t="inlineStr">
        <is>
          <t>0001A1</t>
        </is>
      </c>
      <c r="H494" s="5" t="inlineStr">
        <is>
          <t>赵一博</t>
        </is>
      </c>
      <c r="I494" s="5" t="n"/>
      <c r="J494" s="5" t="n"/>
      <c r="K494" s="5" t="n">
        <v>107.5</v>
      </c>
      <c r="L494" s="5" t="n">
        <v>34000</v>
      </c>
      <c r="M494" s="5" t="n">
        <v>262</v>
      </c>
      <c r="N494" s="5" t="n">
        <v>40</v>
      </c>
      <c r="O494" s="5" t="n">
        <v>16</v>
      </c>
      <c r="P494" s="8">
        <f>IF(AND(M494&lt;&gt;"",M494&gt;0),M494+N494+O494,"")</f>
        <v/>
      </c>
      <c r="Q494" s="11">
        <f>IF(AND(L494&lt;&gt;"",L494&gt;0,P494&lt;&gt;""),P494/L494,"")</f>
        <v/>
      </c>
      <c r="R494" s="16">
        <f>IF(AND(P494&lt;&gt;"",P494&gt;0),(I494+J494+K494)/P494,"")</f>
        <v/>
      </c>
    </row>
    <row r="495" ht="27" customHeight="1">
      <c r="A495" s="5" t="inlineStr">
        <is>
          <t>2026-03-01</t>
        </is>
      </c>
      <c r="B495" s="5" t="inlineStr">
        <is>
          <t>9周</t>
        </is>
      </c>
      <c r="C495" s="5" t="inlineStr">
        <is>
          <t>抖音</t>
        </is>
      </c>
      <c r="D495" s="5" t="n"/>
      <c r="E495" s="5" t="n"/>
      <c r="F495" s="5" t="inlineStr">
        <is>
          <t>https://v.douyin.com/6GuhZWytecE/</t>
        </is>
      </c>
      <c r="G495" s="5" t="inlineStr">
        <is>
          <t>0001A1</t>
        </is>
      </c>
      <c r="H495" s="5" t="inlineStr">
        <is>
          <t>穿搭</t>
        </is>
      </c>
      <c r="I495" s="5" t="n"/>
      <c r="J495" s="5" t="n"/>
      <c r="K495" s="5" t="n">
        <v>107.5</v>
      </c>
      <c r="L495" s="5" t="n">
        <v>4268</v>
      </c>
      <c r="M495" s="5" t="n">
        <v>383</v>
      </c>
      <c r="N495" s="5" t="n">
        <v>30</v>
      </c>
      <c r="O495" s="5" t="n">
        <v>12</v>
      </c>
      <c r="P495" s="8">
        <f>IF(AND(M495&lt;&gt;"",M495&gt;0),M495+N495+O495,"")</f>
        <v/>
      </c>
      <c r="Q495" s="11">
        <f>IF(AND(L495&lt;&gt;"",L495&gt;0,P495&lt;&gt;""),P495/L495,"")</f>
        <v/>
      </c>
      <c r="R495" s="16">
        <f>IF(AND(P495&lt;&gt;"",P495&gt;0),(I495+J495+K495)/P495,"")</f>
        <v/>
      </c>
    </row>
    <row r="496" ht="27" customHeight="1">
      <c r="A496" s="5" t="inlineStr">
        <is>
          <t>2026-03-01</t>
        </is>
      </c>
      <c r="B496" s="5" t="inlineStr">
        <is>
          <t>9周</t>
        </is>
      </c>
      <c r="C496" s="5" t="inlineStr">
        <is>
          <t>抖音</t>
        </is>
      </c>
      <c r="D496" s="5" t="n"/>
      <c r="E496" s="5" t="n"/>
      <c r="F496" s="5" t="inlineStr">
        <is>
          <t>https://v.douyin.com/F_jQwmevFXY/</t>
        </is>
      </c>
      <c r="G496" s="5" t="inlineStr">
        <is>
          <t>0001A1</t>
        </is>
      </c>
      <c r="H496" s="5" t="inlineStr">
        <is>
          <t>穿搭</t>
        </is>
      </c>
      <c r="I496" s="5" t="n">
        <v>200</v>
      </c>
      <c r="J496" s="5" t="n"/>
      <c r="K496" s="5" t="n">
        <v>107.5</v>
      </c>
      <c r="L496" s="5" t="n">
        <v>2858</v>
      </c>
      <c r="M496" s="5" t="n">
        <v>292</v>
      </c>
      <c r="N496" s="5" t="n">
        <v>4</v>
      </c>
      <c r="O496" s="5" t="n">
        <v>43</v>
      </c>
      <c r="P496" s="8">
        <f>IF(AND(M496&lt;&gt;"",M496&gt;0),M496+N496+O496,"")</f>
        <v/>
      </c>
      <c r="Q496" s="11">
        <f>IF(AND(L496&lt;&gt;"",L496&gt;0,P496&lt;&gt;""),P496/L496,"")</f>
        <v/>
      </c>
      <c r="R496" s="16">
        <f>IF(AND(P496&lt;&gt;"",P496&gt;0),(I496+J496+K496)/P496,"")</f>
        <v/>
      </c>
    </row>
    <row r="497" ht="27" customHeight="1">
      <c r="A497" s="5" t="inlineStr">
        <is>
          <t>2026-03-01</t>
        </is>
      </c>
      <c r="B497" s="5" t="inlineStr">
        <is>
          <t>9周</t>
        </is>
      </c>
      <c r="C497" s="5" t="inlineStr">
        <is>
          <t>抖音</t>
        </is>
      </c>
      <c r="D497" s="5" t="n"/>
      <c r="E497" s="5" t="n"/>
      <c r="F497" s="5" t="inlineStr">
        <is>
          <t>https://v.douyin.com/Fvg-c_PvbrI/</t>
        </is>
      </c>
      <c r="G497" s="5" t="inlineStr">
        <is>
          <t>0001A1</t>
        </is>
      </c>
      <c r="H497" s="5" t="inlineStr">
        <is>
          <t>赵一博</t>
        </is>
      </c>
      <c r="I497" s="5" t="n"/>
      <c r="J497" s="5" t="n"/>
      <c r="K497" s="5" t="n">
        <v>107.5</v>
      </c>
      <c r="L497" s="5" t="n">
        <v>30000</v>
      </c>
      <c r="M497" s="5" t="n">
        <v>269</v>
      </c>
      <c r="N497" s="5" t="n">
        <v>27</v>
      </c>
      <c r="O497" s="5" t="n">
        <v>82</v>
      </c>
      <c r="P497" s="8">
        <f>IF(AND(M497&lt;&gt;"",M497&gt;0),M497+N497+O497,"")</f>
        <v/>
      </c>
      <c r="Q497" s="11">
        <f>IF(AND(L497&lt;&gt;"",L497&gt;0,P497&lt;&gt;""),P497/L497,"")</f>
        <v/>
      </c>
      <c r="R497" s="16">
        <f>IF(AND(P497&lt;&gt;"",P497&gt;0),(I497+J497+K497)/P497,"")</f>
        <v/>
      </c>
    </row>
    <row r="498" ht="81" customHeight="1">
      <c r="A498" s="5" t="inlineStr">
        <is>
          <t>2026-03-01</t>
        </is>
      </c>
      <c r="B498" s="5" t="inlineStr">
        <is>
          <t>9周</t>
        </is>
      </c>
      <c r="C498" s="5" t="inlineStr">
        <is>
          <t>小红书</t>
        </is>
      </c>
      <c r="D498" s="5" t="n"/>
      <c r="E498" s="5" t="n"/>
      <c r="F498" s="5" t="inlineStr">
        <is>
          <t>https://www.xiaohongshu.com/discovery/item/69a3c88e0000000022038033?xsec_token=CBkNQ2TP91h-C_xEi-e6OI3HyJ8THyyTfLQXlXaI8Ab2A=&amp;xsec_source=app_share</t>
        </is>
      </c>
      <c r="G498" s="5" t="inlineStr">
        <is>
          <t>0001A1</t>
        </is>
      </c>
      <c r="H498" s="5" t="inlineStr">
        <is>
          <t>赵一博</t>
        </is>
      </c>
      <c r="I498" s="5" t="n"/>
      <c r="J498" s="5" t="n"/>
      <c r="K498" s="5" t="n">
        <v>107.5</v>
      </c>
      <c r="L498" s="5" t="n">
        <v>335</v>
      </c>
      <c r="M498" s="5" t="n">
        <v>20</v>
      </c>
      <c r="N498" s="5" t="n">
        <v>1</v>
      </c>
      <c r="O498" s="5" t="n">
        <v>3</v>
      </c>
      <c r="P498" s="8">
        <f>IF(AND(M498&lt;&gt;"",M498&gt;0),M498+N498+O498,"")</f>
        <v/>
      </c>
      <c r="Q498" s="11">
        <f>IF(AND(L498&lt;&gt;"",L498&gt;0,P498&lt;&gt;""),P498/L498,"")</f>
        <v/>
      </c>
      <c r="R498" s="16">
        <f>IF(AND(P498&lt;&gt;"",P498&gt;0),(I498+J498+K498)/P498,"")</f>
        <v/>
      </c>
    </row>
    <row r="499" ht="81" customHeight="1">
      <c r="A499" s="5" t="inlineStr">
        <is>
          <t>2026-03-01</t>
        </is>
      </c>
      <c r="B499" s="5" t="inlineStr">
        <is>
          <t>9周</t>
        </is>
      </c>
      <c r="C499" s="5" t="inlineStr">
        <is>
          <t>小红书</t>
        </is>
      </c>
      <c r="D499" s="5" t="n"/>
      <c r="E499" s="5" t="n"/>
      <c r="F499" s="5" t="inlineStr">
        <is>
          <t>https://www.xiaohongshu.com/discovery/item/69a3e2d5000000002603d40d?xsec_token=CBkNQ2TP91h-C_xEi-e6OI3LvFI1mOhklt5RAQUom51FA=&amp;xsec_source=app_share&amp;type=video</t>
        </is>
      </c>
      <c r="G499" s="5" t="inlineStr">
        <is>
          <t>0002A1</t>
        </is>
      </c>
      <c r="H499" s="5" t="inlineStr">
        <is>
          <t>穆祉丞</t>
        </is>
      </c>
      <c r="I499" s="5" t="n"/>
      <c r="J499" s="5" t="n"/>
      <c r="K499" s="5" t="n">
        <v>110.5</v>
      </c>
      <c r="L499" s="5" t="n">
        <v>286</v>
      </c>
      <c r="M499" s="5" t="n">
        <v>18</v>
      </c>
      <c r="N499" s="5" t="n">
        <v>1</v>
      </c>
      <c r="O499" s="5" t="n">
        <v>2</v>
      </c>
      <c r="P499" s="8">
        <f>IF(AND(M499&lt;&gt;"",M499&gt;0),M499+N499+O499,"")</f>
        <v/>
      </c>
      <c r="Q499" s="11">
        <f>IF(AND(L499&lt;&gt;"",L499&gt;0,P499&lt;&gt;""),P499/L499,"")</f>
        <v/>
      </c>
      <c r="R499" s="16">
        <f>IF(AND(P499&lt;&gt;"",P499&gt;0),(I499+J499+K499)/P499,"")</f>
        <v/>
      </c>
    </row>
    <row r="500" ht="67.5" customHeight="1">
      <c r="A500" s="5" t="inlineStr">
        <is>
          <t>2026-03-01</t>
        </is>
      </c>
      <c r="B500" s="5" t="inlineStr">
        <is>
          <t>9周</t>
        </is>
      </c>
      <c r="C500" s="5" t="inlineStr">
        <is>
          <t>小红书</t>
        </is>
      </c>
      <c r="D500" s="5" t="n"/>
      <c r="E500" s="5" t="n"/>
      <c r="F500" s="5" t="inlineStr">
        <is>
          <t>https://www.xiaohongshu.com/discovery/item/69a3fa57000000001d02627a?xsec_token=CBkNQ2TP91h-C_xEi-e6OI3AV9V2lNwksMFalMrvY-rFw=&amp;xsec_source=app_share</t>
        </is>
      </c>
      <c r="G500" s="5" t="inlineStr">
        <is>
          <t>0001A1</t>
        </is>
      </c>
      <c r="H500" s="5" t="inlineStr">
        <is>
          <t>赵一博</t>
        </is>
      </c>
      <c r="I500" s="5" t="n"/>
      <c r="J500" s="5" t="n"/>
      <c r="K500" s="5" t="n">
        <v>107.5</v>
      </c>
      <c r="L500" s="5" t="n">
        <v>505</v>
      </c>
      <c r="M500" s="5" t="n">
        <v>28</v>
      </c>
      <c r="N500" s="5" t="n">
        <v>3</v>
      </c>
      <c r="O500" s="5" t="n">
        <v>3</v>
      </c>
      <c r="P500" s="8">
        <f>IF(AND(M500&lt;&gt;"",M500&gt;0),M500+N500+O500,"")</f>
        <v/>
      </c>
      <c r="Q500" s="11">
        <f>IF(AND(L500&lt;&gt;"",L500&gt;0,P500&lt;&gt;""),P500/L500,"")</f>
        <v/>
      </c>
      <c r="R500" s="16">
        <f>IF(AND(P500&lt;&gt;"",P500&gt;0),(I500+J500+K500)/P500,"")</f>
        <v/>
      </c>
    </row>
    <row r="501" ht="27" customHeight="1">
      <c r="A501" s="5" t="inlineStr">
        <is>
          <t>2026-03-02</t>
        </is>
      </c>
      <c r="B501" s="5" t="inlineStr">
        <is>
          <t>10周</t>
        </is>
      </c>
      <c r="C501" s="5" t="inlineStr">
        <is>
          <t>抖音</t>
        </is>
      </c>
      <c r="D501" s="5" t="n"/>
      <c r="E501" s="5" t="n"/>
      <c r="F501" s="5" t="inlineStr">
        <is>
          <t>https://v.douyin.com/IECK7uiTNr0/</t>
        </is>
      </c>
      <c r="G501" s="5" t="inlineStr">
        <is>
          <t>0002A1</t>
        </is>
      </c>
      <c r="H501" s="5" t="inlineStr">
        <is>
          <t>穆祉丞</t>
        </is>
      </c>
      <c r="I501" s="5" t="n"/>
      <c r="J501" s="5" t="n"/>
      <c r="K501" s="5" t="n">
        <v>110.5</v>
      </c>
      <c r="L501" s="5" t="n">
        <v>2365</v>
      </c>
      <c r="M501" s="5" t="n">
        <v>158</v>
      </c>
      <c r="N501" s="5" t="n">
        <v>18</v>
      </c>
      <c r="O501" s="5" t="n">
        <v>17</v>
      </c>
      <c r="P501" s="8">
        <f>IF(AND(M501&lt;&gt;"",M501&gt;0),M501+N501+O501,"")</f>
        <v/>
      </c>
      <c r="Q501" s="11">
        <f>IF(AND(L501&lt;&gt;"",L501&gt;0,P501&lt;&gt;""),P501/L501,"")</f>
        <v/>
      </c>
      <c r="R501" s="16">
        <f>IF(AND(P501&lt;&gt;"",P501&gt;0),(I501+J501+K501)/P501,"")</f>
        <v/>
      </c>
    </row>
    <row r="502" ht="27" customHeight="1">
      <c r="A502" s="5" t="inlineStr">
        <is>
          <t>2026-03-02</t>
        </is>
      </c>
      <c r="B502" s="5" t="inlineStr">
        <is>
          <t>10周</t>
        </is>
      </c>
      <c r="C502" s="5" t="inlineStr">
        <is>
          <t>抖音</t>
        </is>
      </c>
      <c r="D502" s="5" t="n"/>
      <c r="E502" s="5" t="n"/>
      <c r="F502" s="5" t="inlineStr">
        <is>
          <t>https://v.douyin.com/AxFoCkZA37w/</t>
        </is>
      </c>
      <c r="G502" s="5" t="inlineStr">
        <is>
          <t>0002A1</t>
        </is>
      </c>
      <c r="H502" s="5" t="inlineStr">
        <is>
          <t>刘耀文</t>
        </is>
      </c>
      <c r="I502" s="5" t="n"/>
      <c r="J502" s="5" t="n"/>
      <c r="K502" s="5" t="n">
        <v>110.5</v>
      </c>
      <c r="L502" s="5" t="n">
        <v>1546</v>
      </c>
      <c r="M502" s="5" t="n">
        <v>189</v>
      </c>
      <c r="N502" s="5" t="n">
        <v>7</v>
      </c>
      <c r="O502" s="5" t="n">
        <v>36</v>
      </c>
      <c r="P502" s="8">
        <f>IF(AND(M502&lt;&gt;"",M502&gt;0),M502+N502+O502,"")</f>
        <v/>
      </c>
      <c r="Q502" s="11">
        <f>IF(AND(L502&lt;&gt;"",L502&gt;0,P502&lt;&gt;""),P502/L502,"")</f>
        <v/>
      </c>
      <c r="R502" s="16">
        <f>IF(AND(P502&lt;&gt;"",P502&gt;0),(I502+J502+K502)/P502,"")</f>
        <v/>
      </c>
    </row>
    <row r="503" ht="27" customHeight="1">
      <c r="A503" s="5" t="inlineStr">
        <is>
          <t>2026-03-02</t>
        </is>
      </c>
      <c r="B503" s="5" t="inlineStr">
        <is>
          <t>10周</t>
        </is>
      </c>
      <c r="C503" s="5" t="inlineStr">
        <is>
          <t>抖音</t>
        </is>
      </c>
      <c r="D503" s="5" t="n"/>
      <c r="E503" s="5" t="n"/>
      <c r="F503" s="5" t="inlineStr">
        <is>
          <t>https://www.douyin.com/video/7612556771869131697</t>
        </is>
      </c>
      <c r="G503" s="5" t="inlineStr">
        <is>
          <t>1225</t>
        </is>
      </c>
      <c r="H503" s="5" t="inlineStr">
        <is>
          <t>学生</t>
        </is>
      </c>
      <c r="I503" s="5" t="n"/>
      <c r="J503" s="5" t="n"/>
      <c r="K503" s="5" t="n">
        <v>55.5</v>
      </c>
      <c r="L503" s="5" t="n">
        <v>11000</v>
      </c>
      <c r="M503" s="5" t="n">
        <v>1169</v>
      </c>
      <c r="N503" s="5" t="n">
        <v>83</v>
      </c>
      <c r="O503" s="5" t="n">
        <v>25</v>
      </c>
      <c r="P503" s="8">
        <f>IF(AND(M503&lt;&gt;"",M503&gt;0),M503+N503+O503,"")</f>
        <v/>
      </c>
      <c r="Q503" s="11">
        <f>IF(AND(L503&lt;&gt;"",L503&gt;0,P503&lt;&gt;""),P503/L503,"")</f>
        <v/>
      </c>
      <c r="R503" s="16">
        <f>IF(AND(P503&lt;&gt;"",P503&gt;0),(I503+J503+K503)/P503,"")</f>
        <v/>
      </c>
    </row>
    <row r="504" ht="27" customHeight="1">
      <c r="A504" s="5" t="inlineStr">
        <is>
          <t>2026-03-02</t>
        </is>
      </c>
      <c r="B504" s="5" t="inlineStr">
        <is>
          <t>10周</t>
        </is>
      </c>
      <c r="C504" s="5" t="inlineStr">
        <is>
          <t>抖音</t>
        </is>
      </c>
      <c r="D504" s="5" t="n"/>
      <c r="E504" s="5" t="n"/>
      <c r="F504" s="5" t="inlineStr">
        <is>
          <t>https://v.douyin.com/bqBSHnhSRf4/ W@z.GI</t>
        </is>
      </c>
      <c r="G504" s="5" t="inlineStr">
        <is>
          <t>495</t>
        </is>
      </c>
      <c r="H504" s="5" t="inlineStr">
        <is>
          <t>合集</t>
        </is>
      </c>
      <c r="I504" s="5" t="n">
        <v>600</v>
      </c>
      <c r="J504" s="5" t="n"/>
      <c r="K504" s="5" t="n">
        <v>93</v>
      </c>
      <c r="L504" s="5" t="n">
        <v>155000</v>
      </c>
      <c r="M504" s="5" t="n">
        <v>6541</v>
      </c>
      <c r="N504" s="5" t="n">
        <v>177</v>
      </c>
      <c r="O504" s="5" t="n">
        <v>167</v>
      </c>
      <c r="P504" s="8">
        <f>IF(AND(M504&lt;&gt;"",M504&gt;0),M504+N504+O504,"")</f>
        <v/>
      </c>
      <c r="Q504" s="11">
        <f>IF(AND(L504&lt;&gt;"",L504&gt;0,P504&lt;&gt;""),P504/L504,"")</f>
        <v/>
      </c>
      <c r="R504" s="16">
        <f>IF(AND(P504&lt;&gt;"",P504&gt;0),(I504+J504+K504)/P504,"")</f>
        <v/>
      </c>
    </row>
    <row r="505" ht="27" customHeight="1">
      <c r="A505" s="5" t="inlineStr">
        <is>
          <t>2026-03-02</t>
        </is>
      </c>
      <c r="B505" s="5" t="inlineStr">
        <is>
          <t>10周</t>
        </is>
      </c>
      <c r="C505" s="5" t="inlineStr">
        <is>
          <t>抖音</t>
        </is>
      </c>
      <c r="D505" s="5" t="n"/>
      <c r="E505" s="5" t="n"/>
      <c r="F505" s="5" t="inlineStr">
        <is>
          <t>https://v.douyin.com/2GgTEnbSTqU/</t>
        </is>
      </c>
      <c r="G505" s="5" t="inlineStr">
        <is>
          <t>0002A1</t>
        </is>
      </c>
      <c r="H505" s="5" t="inlineStr">
        <is>
          <t>穿搭</t>
        </is>
      </c>
      <c r="I505" s="5" t="n">
        <v>150</v>
      </c>
      <c r="J505" s="5" t="n"/>
      <c r="K505" s="5" t="n">
        <v>110.5</v>
      </c>
      <c r="L505" s="5" t="n">
        <v>5837</v>
      </c>
      <c r="M505" s="5" t="n">
        <v>579</v>
      </c>
      <c r="N505" s="5" t="n">
        <v>22</v>
      </c>
      <c r="O505" s="5" t="n">
        <v>27</v>
      </c>
      <c r="P505" s="8">
        <f>IF(AND(M505&lt;&gt;"",M505&gt;0),M505+N505+O505,"")</f>
        <v/>
      </c>
      <c r="Q505" s="11">
        <f>IF(AND(L505&lt;&gt;"",L505&gt;0,P505&lt;&gt;""),P505/L505,"")</f>
        <v/>
      </c>
      <c r="R505" s="16">
        <f>IF(AND(P505&lt;&gt;"",P505&gt;0),(I505+J505+K505)/P505,"")</f>
        <v/>
      </c>
    </row>
    <row r="506" ht="27" customHeight="1">
      <c r="A506" s="5" t="inlineStr">
        <is>
          <t>2026-03-02</t>
        </is>
      </c>
      <c r="B506" s="5" t="inlineStr">
        <is>
          <t>10周</t>
        </is>
      </c>
      <c r="C506" s="5" t="inlineStr">
        <is>
          <t>抖音</t>
        </is>
      </c>
      <c r="D506" s="5" t="n"/>
      <c r="E506" s="5" t="n"/>
      <c r="F506" s="5" t="inlineStr">
        <is>
          <t>https://v.douyin.com/Zim-bdBfKVs/</t>
        </is>
      </c>
      <c r="G506" s="5" t="inlineStr">
        <is>
          <t>495</t>
        </is>
      </c>
      <c r="H506" s="5" t="inlineStr">
        <is>
          <t>穿搭</t>
        </is>
      </c>
      <c r="I506" s="5" t="n">
        <v>80</v>
      </c>
      <c r="J506" s="5" t="n"/>
      <c r="K506" s="5" t="n">
        <v>93</v>
      </c>
      <c r="L506" s="5" t="n">
        <v>34000</v>
      </c>
      <c r="M506" s="5" t="n">
        <v>3528</v>
      </c>
      <c r="N506" s="5" t="n">
        <v>176</v>
      </c>
      <c r="O506" s="5" t="n">
        <v>115</v>
      </c>
      <c r="P506" s="8">
        <f>IF(AND(M506&lt;&gt;"",M506&gt;0),M506+N506+O506,"")</f>
        <v/>
      </c>
      <c r="Q506" s="11">
        <f>IF(AND(L506&lt;&gt;"",L506&gt;0,P506&lt;&gt;""),P506/L506,"")</f>
        <v/>
      </c>
      <c r="R506" s="16">
        <f>IF(AND(P506&lt;&gt;"",P506&gt;0),(I506+J506+K506)/P506,"")</f>
        <v/>
      </c>
    </row>
    <row r="507" ht="27" customHeight="1">
      <c r="A507" s="5" t="inlineStr">
        <is>
          <t>2026-03-02</t>
        </is>
      </c>
      <c r="B507" s="5" t="inlineStr">
        <is>
          <t>10周</t>
        </is>
      </c>
      <c r="C507" s="5" t="inlineStr">
        <is>
          <t>抖音</t>
        </is>
      </c>
      <c r="D507" s="5" t="n"/>
      <c r="E507" s="5" t="n"/>
      <c r="F507" s="5" t="inlineStr">
        <is>
          <t>https://v.douyin.com/2-rWDauaQWs/</t>
        </is>
      </c>
      <c r="G507" s="5" t="inlineStr">
        <is>
          <t>0001A1</t>
        </is>
      </c>
      <c r="H507" s="5" t="inlineStr">
        <is>
          <t>穿搭</t>
        </is>
      </c>
      <c r="I507" s="5" t="n"/>
      <c r="J507" s="5" t="n"/>
      <c r="K507" s="5" t="n">
        <v>107.5</v>
      </c>
      <c r="L507" s="5" t="n">
        <v>2260</v>
      </c>
      <c r="M507" s="5" t="n">
        <v>372</v>
      </c>
      <c r="N507" s="5" t="n">
        <v>8</v>
      </c>
      <c r="O507" s="5" t="n">
        <v>10</v>
      </c>
      <c r="P507" s="8">
        <f>IF(AND(M507&lt;&gt;"",M507&gt;0),M507+N507+O507,"")</f>
        <v/>
      </c>
      <c r="Q507" s="11">
        <f>IF(AND(L507&lt;&gt;"",L507&gt;0,P507&lt;&gt;""),P507/L507,"")</f>
        <v/>
      </c>
      <c r="R507" s="16">
        <f>IF(AND(P507&lt;&gt;"",P507&gt;0),(I507+J507+K507)/P507,"")</f>
        <v/>
      </c>
    </row>
    <row r="508" ht="27" customHeight="1">
      <c r="A508" s="5" t="inlineStr">
        <is>
          <t>2026-03-02</t>
        </is>
      </c>
      <c r="B508" s="5" t="inlineStr">
        <is>
          <t>10周</t>
        </is>
      </c>
      <c r="C508" s="5" t="inlineStr">
        <is>
          <t>抖音</t>
        </is>
      </c>
      <c r="D508" s="5" t="n"/>
      <c r="E508" s="5" t="n"/>
      <c r="F508" s="5" t="inlineStr">
        <is>
          <t>https://v.douyin.com/fDVHimWJgiM/</t>
        </is>
      </c>
      <c r="G508" s="5" t="inlineStr">
        <is>
          <t>0001A1</t>
        </is>
      </c>
      <c r="H508" s="5" t="inlineStr">
        <is>
          <t>穿搭</t>
        </is>
      </c>
      <c r="I508" s="5" t="n"/>
      <c r="J508" s="5" t="n"/>
      <c r="K508" s="5" t="n">
        <v>107.5</v>
      </c>
      <c r="L508" s="5" t="n">
        <v>92000</v>
      </c>
      <c r="M508" s="5" t="n">
        <v>2676</v>
      </c>
      <c r="N508" s="5" t="n">
        <v>475</v>
      </c>
      <c r="O508" s="5" t="n">
        <v>73</v>
      </c>
      <c r="P508" s="8">
        <f>IF(AND(M508&lt;&gt;"",M508&gt;0),M508+N508+O508,"")</f>
        <v/>
      </c>
      <c r="Q508" s="11">
        <f>IF(AND(L508&lt;&gt;"",L508&gt;0,P508&lt;&gt;""),P508/L508,"")</f>
        <v/>
      </c>
      <c r="R508" s="16">
        <f>IF(AND(P508&lt;&gt;"",P508&gt;0),(I508+J508+K508)/P508,"")</f>
        <v/>
      </c>
    </row>
    <row r="509" ht="67.5" customHeight="1">
      <c r="A509" s="5" t="inlineStr">
        <is>
          <t>2026-03-02</t>
        </is>
      </c>
      <c r="B509" s="5" t="inlineStr">
        <is>
          <t>10周</t>
        </is>
      </c>
      <c r="C509" s="5" t="inlineStr">
        <is>
          <t>小红书</t>
        </is>
      </c>
      <c r="D509" s="5" t="n"/>
      <c r="E509" s="5" t="n"/>
      <c r="F509" s="5" t="inlineStr">
        <is>
          <t>https://www.xiaohongshu.com/discovery/item/69a51989000000001b01cb88?xsec_token=CBaB415XTJ1um8hy1tb2vTOKZJIXXYllVz7dhbHgVIS7I=&amp;xsec_source=app_share</t>
        </is>
      </c>
      <c r="G509" s="5" t="inlineStr">
        <is>
          <t>0001A1</t>
        </is>
      </c>
      <c r="H509" s="5" t="inlineStr">
        <is>
          <t>穿搭</t>
        </is>
      </c>
      <c r="I509" s="5" t="n"/>
      <c r="J509" s="5" t="n"/>
      <c r="K509" s="5" t="n">
        <v>107.5</v>
      </c>
      <c r="L509" s="5" t="n">
        <v>480</v>
      </c>
      <c r="M509" s="5" t="n">
        <v>196</v>
      </c>
      <c r="N509" s="5" t="n">
        <v>70</v>
      </c>
      <c r="O509" s="5" t="n">
        <v>6</v>
      </c>
      <c r="P509" s="8">
        <f>IF(AND(M509&lt;&gt;"",M509&gt;0),M509+N509+O509,"")</f>
        <v/>
      </c>
      <c r="Q509" s="11">
        <f>IF(AND(L509&lt;&gt;"",L509&gt;0,P509&lt;&gt;""),P509/L509,"")</f>
        <v/>
      </c>
      <c r="R509" s="16">
        <f>IF(AND(P509&lt;&gt;"",P509&gt;0),(I509+J509+K509)/P509,"")</f>
        <v/>
      </c>
    </row>
    <row r="510" ht="67.5" customHeight="1">
      <c r="A510" s="5" t="inlineStr">
        <is>
          <t>2026-03-02</t>
        </is>
      </c>
      <c r="B510" s="5" t="inlineStr">
        <is>
          <t>10周</t>
        </is>
      </c>
      <c r="C510" s="5" t="inlineStr">
        <is>
          <t>小红书</t>
        </is>
      </c>
      <c r="D510" s="5" t="n"/>
      <c r="E510" s="5" t="n"/>
      <c r="F510" s="5" t="inlineStr">
        <is>
          <t>https://www.xiaohongshu.com/discovery/item/69a5501c0000000015023cbb?xsec_token=CBCpsid0tAc_KnmeI1EE7nkH01UaJLGereWK4FesHQY30=&amp;xsec_source=app_share</t>
        </is>
      </c>
      <c r="G510" s="5" t="inlineStr">
        <is>
          <t>0002A1</t>
        </is>
      </c>
      <c r="H510" s="5" t="inlineStr">
        <is>
          <t>刘耀文</t>
        </is>
      </c>
      <c r="I510" s="5" t="n"/>
      <c r="J510" s="5" t="n"/>
      <c r="K510" s="5" t="n">
        <v>110.5</v>
      </c>
      <c r="L510" s="5" t="n">
        <v>415</v>
      </c>
      <c r="M510" s="5" t="n">
        <v>29</v>
      </c>
      <c r="N510" s="5" t="n">
        <v>3</v>
      </c>
      <c r="O510" s="5" t="n">
        <v>2</v>
      </c>
      <c r="P510" s="8">
        <f>IF(AND(M510&lt;&gt;"",M510&gt;0),M510+N510+O510,"")</f>
        <v/>
      </c>
      <c r="Q510" s="11">
        <f>IF(AND(L510&lt;&gt;"",L510&gt;0,P510&lt;&gt;""),P510/L510,"")</f>
        <v/>
      </c>
      <c r="R510" s="16">
        <f>IF(AND(P510&lt;&gt;"",P510&gt;0),(I510+J510+K510)/P510,"")</f>
        <v/>
      </c>
    </row>
    <row r="511" ht="81" customHeight="1">
      <c r="A511" s="5" t="inlineStr">
        <is>
          <t>2026-03-02</t>
        </is>
      </c>
      <c r="B511" s="5" t="inlineStr">
        <is>
          <t>10周</t>
        </is>
      </c>
      <c r="C511" s="5" t="inlineStr">
        <is>
          <t>小红书</t>
        </is>
      </c>
      <c r="D511" s="5" t="n"/>
      <c r="E511" s="5" t="n"/>
      <c r="F511" s="5" t="inlineStr">
        <is>
          <t>https://www.xiaohongshu.com/discovery/item/69a557a0000000000e03c472?xsec_token=CBaB415XTJ1um8hy1tb2vTOOlEEpBzi-TfgeIbcxTlbLM=&amp;xsec_source=app_share&amp;type=video</t>
        </is>
      </c>
      <c r="G511" s="5" t="inlineStr">
        <is>
          <t>0002A1</t>
        </is>
      </c>
      <c r="H511" s="5" t="inlineStr">
        <is>
          <t>穿搭</t>
        </is>
      </c>
      <c r="I511" s="5" t="n"/>
      <c r="J511" s="5" t="n"/>
      <c r="K511" s="5" t="n">
        <v>110.5</v>
      </c>
      <c r="L511" s="5" t="n">
        <v>2037</v>
      </c>
      <c r="M511" s="5" t="n">
        <v>166</v>
      </c>
      <c r="N511" s="5" t="n">
        <v>23</v>
      </c>
      <c r="O511" s="5" t="n">
        <v>4</v>
      </c>
      <c r="P511" s="8">
        <f>IF(AND(M511&lt;&gt;"",M511&gt;0),M511+N511+O511,"")</f>
        <v/>
      </c>
      <c r="Q511" s="11">
        <f>IF(AND(L511&lt;&gt;"",L511&gt;0,P511&lt;&gt;""),P511/L511,"")</f>
        <v/>
      </c>
      <c r="R511" s="16">
        <f>IF(AND(P511&lt;&gt;"",P511&gt;0),(I511+J511+K511)/P511,"")</f>
        <v/>
      </c>
    </row>
    <row r="512" ht="81" customHeight="1">
      <c r="A512" s="5" t="inlineStr">
        <is>
          <t>2026-03-02</t>
        </is>
      </c>
      <c r="B512" s="5" t="inlineStr">
        <is>
          <t>10周</t>
        </is>
      </c>
      <c r="C512" s="5" t="inlineStr">
        <is>
          <t>小红书</t>
        </is>
      </c>
      <c r="D512" s="5" t="n"/>
      <c r="E512" s="5" t="n"/>
      <c r="F512" s="5" t="inlineStr">
        <is>
          <t>https://www.xiaohongshu.com/discovery/item/69a5a381000000001a02dea1?xsec_token=CBR4Rw-K8QVIo2o9eUSL70dspL5XRvrFhkyfk_GvL_UFk=&amp;xsec_source=app_share&amp;type=video</t>
        </is>
      </c>
      <c r="G512" s="5" t="inlineStr">
        <is>
          <t>0002A1</t>
        </is>
      </c>
      <c r="H512" s="5" t="inlineStr">
        <is>
          <t>穿搭</t>
        </is>
      </c>
      <c r="I512" s="5" t="n">
        <v>200</v>
      </c>
      <c r="J512" s="5" t="n"/>
      <c r="K512" s="5" t="n">
        <v>110.5</v>
      </c>
      <c r="L512" s="5" t="n">
        <v>5736</v>
      </c>
      <c r="M512" s="5" t="n">
        <v>826</v>
      </c>
      <c r="N512" s="5" t="n">
        <v>233</v>
      </c>
      <c r="O512" s="5" t="n">
        <v>41</v>
      </c>
      <c r="P512" s="8">
        <f>IF(AND(M512&lt;&gt;"",M512&gt;0),M512+N512+O512,"")</f>
        <v/>
      </c>
      <c r="Q512" s="11">
        <f>IF(AND(L512&lt;&gt;"",L512&gt;0,P512&lt;&gt;""),P512/L512,"")</f>
        <v/>
      </c>
      <c r="R512" s="16">
        <f>IF(AND(P512&lt;&gt;"",P512&gt;0),(I512+J512+K512)/P512,"")</f>
        <v/>
      </c>
    </row>
    <row r="513" ht="27" customHeight="1">
      <c r="A513" s="5" t="inlineStr">
        <is>
          <t>2026-03-03</t>
        </is>
      </c>
      <c r="B513" s="5" t="inlineStr">
        <is>
          <t>10周</t>
        </is>
      </c>
      <c r="C513" s="5" t="inlineStr">
        <is>
          <t>抖音</t>
        </is>
      </c>
      <c r="D513" s="5" t="n"/>
      <c r="E513" s="5" t="n"/>
      <c r="F513" s="5" t="inlineStr">
        <is>
          <t>https://v.douyin.com/ZxP_QxGso8I/</t>
        </is>
      </c>
      <c r="G513" s="5" t="inlineStr">
        <is>
          <t>0002A1</t>
        </is>
      </c>
      <c r="H513" s="5" t="inlineStr">
        <is>
          <t>口播</t>
        </is>
      </c>
      <c r="I513" s="5" t="n">
        <v>200</v>
      </c>
      <c r="J513" s="5" t="n"/>
      <c r="K513" s="5" t="n">
        <v>110.5</v>
      </c>
      <c r="L513" s="5" t="n">
        <v>8545</v>
      </c>
      <c r="M513" s="5" t="n">
        <v>345</v>
      </c>
      <c r="N513" s="5" t="n">
        <v>45</v>
      </c>
      <c r="O513" s="5" t="n">
        <v>198</v>
      </c>
      <c r="P513" s="8">
        <f>IF(AND(M513&lt;&gt;"",M513&gt;0),M513+N513+O513,"")</f>
        <v/>
      </c>
      <c r="Q513" s="11">
        <f>IF(AND(L513&lt;&gt;"",L513&gt;0,P513&lt;&gt;""),P513/L513,"")</f>
        <v/>
      </c>
      <c r="R513" s="16">
        <f>IF(AND(P513&lt;&gt;"",P513&gt;0),(I513+J513+K513)/P513,"")</f>
        <v/>
      </c>
    </row>
    <row r="514" ht="27" customHeight="1">
      <c r="A514" s="5" t="inlineStr">
        <is>
          <t>2026-03-03</t>
        </is>
      </c>
      <c r="B514" s="5" t="inlineStr">
        <is>
          <t>10周</t>
        </is>
      </c>
      <c r="C514" s="5" t="inlineStr">
        <is>
          <t>抖音</t>
        </is>
      </c>
      <c r="D514" s="5" t="n"/>
      <c r="E514" s="5" t="n"/>
      <c r="F514" s="5" t="inlineStr">
        <is>
          <t>https://v.douyin.com/0yBmLZ-zw90/</t>
        </is>
      </c>
      <c r="G514" s="5" t="inlineStr">
        <is>
          <t>0002A1</t>
        </is>
      </c>
      <c r="H514" s="5" t="inlineStr">
        <is>
          <t>穿搭</t>
        </is>
      </c>
      <c r="I514" s="5" t="n"/>
      <c r="J514" s="5" t="n"/>
      <c r="K514" s="5" t="n">
        <v>110.5</v>
      </c>
      <c r="L514" s="5" t="n">
        <v>23000</v>
      </c>
      <c r="M514" s="5" t="n">
        <v>1848</v>
      </c>
      <c r="N514" s="5" t="n">
        <v>250</v>
      </c>
      <c r="O514" s="5" t="n">
        <v>37</v>
      </c>
      <c r="P514" s="8">
        <f>IF(AND(M514&lt;&gt;"",M514&gt;0),M514+N514+O514,"")</f>
        <v/>
      </c>
      <c r="Q514" s="11">
        <f>IF(AND(L514&lt;&gt;"",L514&gt;0,P514&lt;&gt;""),P514/L514,"")</f>
        <v/>
      </c>
      <c r="R514" s="16">
        <f>IF(AND(P514&lt;&gt;"",P514&gt;0),(I514+J514+K514)/P514,"")</f>
        <v/>
      </c>
    </row>
    <row r="515" ht="27" customHeight="1">
      <c r="A515" s="5" t="inlineStr">
        <is>
          <t>2026-03-03</t>
        </is>
      </c>
      <c r="B515" s="5" t="inlineStr">
        <is>
          <t>10周</t>
        </is>
      </c>
      <c r="C515" s="5" t="inlineStr">
        <is>
          <t>抖音</t>
        </is>
      </c>
      <c r="D515" s="5" t="n"/>
      <c r="E515" s="5" t="n"/>
      <c r="F515" s="5" t="inlineStr">
        <is>
          <t>https://v.douyin.com/EB_uk8WiRJ0/</t>
        </is>
      </c>
      <c r="G515" s="5" t="inlineStr">
        <is>
          <t>0001A1</t>
        </is>
      </c>
      <c r="H515" s="5" t="inlineStr">
        <is>
          <t>口播</t>
        </is>
      </c>
      <c r="I515" s="5" t="n">
        <v>500</v>
      </c>
      <c r="J515" s="5" t="n"/>
      <c r="K515" s="5" t="n">
        <v>107.5</v>
      </c>
      <c r="L515" s="5" t="n">
        <v>29000</v>
      </c>
      <c r="M515" s="5" t="n">
        <v>1434</v>
      </c>
      <c r="N515" s="5" t="n">
        <v>268</v>
      </c>
      <c r="O515" s="5" t="n">
        <v>50</v>
      </c>
      <c r="P515" s="8">
        <f>IF(AND(M515&lt;&gt;"",M515&gt;0),M515+N515+O515,"")</f>
        <v/>
      </c>
      <c r="Q515" s="11">
        <f>IF(AND(L515&lt;&gt;"",L515&gt;0,P515&lt;&gt;""),P515/L515,"")</f>
        <v/>
      </c>
      <c r="R515" s="16">
        <f>IF(AND(P515&lt;&gt;"",P515&gt;0),(I515+J515+K515)/P515,"")</f>
        <v/>
      </c>
    </row>
    <row r="516" ht="27" customHeight="1">
      <c r="A516" s="5" t="inlineStr">
        <is>
          <t>2026-03-03</t>
        </is>
      </c>
      <c r="B516" s="5" t="inlineStr">
        <is>
          <t>10周</t>
        </is>
      </c>
      <c r="C516" s="5" t="inlineStr">
        <is>
          <t>抖音</t>
        </is>
      </c>
      <c r="D516" s="5" t="n"/>
      <c r="E516" s="5" t="n"/>
      <c r="F516" s="5" t="inlineStr">
        <is>
          <t>https://v.douyin.com/ERH4siC5l_o/</t>
        </is>
      </c>
      <c r="G516" s="5" t="inlineStr">
        <is>
          <t>0001A1</t>
        </is>
      </c>
      <c r="H516" s="5" t="inlineStr">
        <is>
          <t>穿搭</t>
        </is>
      </c>
      <c r="I516" s="5" t="n"/>
      <c r="J516" s="5" t="n"/>
      <c r="K516" s="5" t="n">
        <v>107.5</v>
      </c>
      <c r="L516" s="5" t="n">
        <v>8263</v>
      </c>
      <c r="M516" s="5" t="n">
        <v>460</v>
      </c>
      <c r="N516" s="5" t="n">
        <v>7</v>
      </c>
      <c r="O516" s="5" t="n">
        <v>21</v>
      </c>
      <c r="P516" s="8">
        <f>IF(AND(M516&lt;&gt;"",M516&gt;0),M516+N516+O516,"")</f>
        <v/>
      </c>
      <c r="Q516" s="11">
        <f>IF(AND(L516&lt;&gt;"",L516&gt;0,P516&lt;&gt;""),P516/L516,"")</f>
        <v/>
      </c>
      <c r="R516" s="16">
        <f>IF(AND(P516&lt;&gt;"",P516&gt;0),(I516+J516+K516)/P516,"")</f>
        <v/>
      </c>
    </row>
    <row r="517" ht="27" customHeight="1">
      <c r="A517" s="5" t="inlineStr">
        <is>
          <t>2026-03-03</t>
        </is>
      </c>
      <c r="B517" s="5" t="inlineStr">
        <is>
          <t>10周</t>
        </is>
      </c>
      <c r="C517" s="5" t="inlineStr">
        <is>
          <t>抖音</t>
        </is>
      </c>
      <c r="D517" s="5" t="n"/>
      <c r="E517" s="5" t="n"/>
      <c r="F517" s="5" t="inlineStr">
        <is>
          <t>https://v.douyin.com/ee38R6y0C0M/</t>
        </is>
      </c>
      <c r="G517" s="5" t="inlineStr">
        <is>
          <t>495</t>
        </is>
      </c>
      <c r="H517" s="5" t="inlineStr">
        <is>
          <t>穿搭</t>
        </is>
      </c>
      <c r="I517" s="5" t="n"/>
      <c r="J517" s="5" t="n"/>
      <c r="K517" s="5" t="n">
        <v>93</v>
      </c>
      <c r="L517" s="5" t="n">
        <v>10000</v>
      </c>
      <c r="M517" s="5" t="n">
        <v>615</v>
      </c>
      <c r="N517" s="5" t="n">
        <v>15</v>
      </c>
      <c r="O517" s="5" t="n">
        <v>33</v>
      </c>
      <c r="P517" s="8">
        <f>IF(AND(M517&lt;&gt;"",M517&gt;0),M517+N517+O517,"")</f>
        <v/>
      </c>
      <c r="Q517" s="11">
        <f>IF(AND(L517&lt;&gt;"",L517&gt;0,P517&lt;&gt;""),P517/L517,"")</f>
        <v/>
      </c>
      <c r="R517" s="16">
        <f>IF(AND(P517&lt;&gt;"",P517&gt;0),(I517+J517+K517)/P517,"")</f>
        <v/>
      </c>
    </row>
    <row r="518" ht="27" customHeight="1">
      <c r="A518" s="5" t="inlineStr">
        <is>
          <t>2026-03-03</t>
        </is>
      </c>
      <c r="B518" s="5" t="inlineStr">
        <is>
          <t>10周</t>
        </is>
      </c>
      <c r="C518" s="5" t="inlineStr">
        <is>
          <t>抖音</t>
        </is>
      </c>
      <c r="D518" s="5" t="n"/>
      <c r="E518" s="5" t="n"/>
      <c r="F518" s="5" t="inlineStr">
        <is>
          <t>https://v.douyin.com/2FAU4Owt2CI/</t>
        </is>
      </c>
      <c r="G518" s="5" t="inlineStr">
        <is>
          <t>0002A1</t>
        </is>
      </c>
      <c r="H518" s="5" t="inlineStr">
        <is>
          <t>穿搭</t>
        </is>
      </c>
      <c r="I518" s="5" t="n"/>
      <c r="J518" s="5" t="n"/>
      <c r="K518" s="5" t="n">
        <v>110.5</v>
      </c>
      <c r="L518" s="5" t="n">
        <v>8316</v>
      </c>
      <c r="M518" s="5" t="n">
        <v>440</v>
      </c>
      <c r="N518" s="5" t="n">
        <v>17</v>
      </c>
      <c r="O518" s="5" t="n">
        <v>25</v>
      </c>
      <c r="P518" s="8">
        <f>IF(AND(M518&lt;&gt;"",M518&gt;0),M518+N518+O518,"")</f>
        <v/>
      </c>
      <c r="Q518" s="11">
        <f>IF(AND(L518&lt;&gt;"",L518&gt;0,P518&lt;&gt;""),P518/L518,"")</f>
        <v/>
      </c>
      <c r="R518" s="16">
        <f>IF(AND(P518&lt;&gt;"",P518&gt;0),(I518+J518+K518)/P518,"")</f>
        <v/>
      </c>
    </row>
    <row r="519" ht="81" customHeight="1">
      <c r="A519" s="5" t="inlineStr">
        <is>
          <t>2026-03-03</t>
        </is>
      </c>
      <c r="B519" s="5" t="inlineStr">
        <is>
          <t>10周</t>
        </is>
      </c>
      <c r="C519" s="5" t="inlineStr">
        <is>
          <t>小红书</t>
        </is>
      </c>
      <c r="D519" s="5" t="n"/>
      <c r="E519" s="5" t="n"/>
      <c r="F519" s="5" t="inlineStr">
        <is>
          <t>https://www.xiaohongshu.com/discovery/item/69a6c911000000002602e5fa?xsec_token=CB3YiqmYwBtaEd4itjTWRWERHlMKJhHMvxlAKbLUXw3yo=&amp;xsec_source=app_share&amp;type=video</t>
        </is>
      </c>
      <c r="G519" s="5" t="inlineStr">
        <is>
          <t>0002A1</t>
        </is>
      </c>
      <c r="H519" s="5" t="inlineStr">
        <is>
          <t>口播</t>
        </is>
      </c>
      <c r="I519" s="5" t="n">
        <v>250</v>
      </c>
      <c r="J519" s="5" t="n"/>
      <c r="K519" s="5" t="n">
        <v>110.5</v>
      </c>
      <c r="L519" s="5" t="n">
        <v>1464</v>
      </c>
      <c r="M519" s="5" t="n">
        <v>297</v>
      </c>
      <c r="N519" s="5" t="n">
        <v>146</v>
      </c>
      <c r="O519" s="5" t="n">
        <v>71</v>
      </c>
      <c r="P519" s="8">
        <f>IF(AND(M519&lt;&gt;"",M519&gt;0),M519+N519+O519,"")</f>
        <v/>
      </c>
      <c r="Q519" s="11">
        <f>IF(AND(L519&lt;&gt;"",L519&gt;0,P519&lt;&gt;""),P519/L519,"")</f>
        <v/>
      </c>
      <c r="R519" s="16">
        <f>IF(AND(P519&lt;&gt;"",P519&gt;0),(I519+J519+K519)/P519,"")</f>
        <v/>
      </c>
    </row>
    <row r="520" ht="81" customHeight="1">
      <c r="A520" s="5" t="inlineStr">
        <is>
          <t>2026-03-03</t>
        </is>
      </c>
      <c r="B520" s="5" t="inlineStr">
        <is>
          <t>10周</t>
        </is>
      </c>
      <c r="C520" s="5" t="inlineStr">
        <is>
          <t>小红书</t>
        </is>
      </c>
      <c r="D520" s="5" t="n"/>
      <c r="E520" s="5" t="n"/>
      <c r="F520" s="5" t="inlineStr">
        <is>
          <t>https://www.xiaohongshu.com/discovery/item/69a6eb7b000000002303898e?xsec_token=CB3YiqmYwBtaEd4itjTWRWEU1kPJChn0h6ycQJdUT7Tls=&amp;xsec_source=app_share&amp;type=video</t>
        </is>
      </c>
      <c r="G520" s="5" t="inlineStr">
        <is>
          <t>1217W</t>
        </is>
      </c>
      <c r="H520" s="5" t="inlineStr">
        <is>
          <t>好物分享</t>
        </is>
      </c>
      <c r="I520" s="5" t="n">
        <v>100</v>
      </c>
      <c r="J520" s="5" t="n"/>
      <c r="K520" s="5" t="n">
        <v>54</v>
      </c>
      <c r="L520" s="5" t="n">
        <v>7520</v>
      </c>
      <c r="M520" s="5" t="n">
        <v>1318</v>
      </c>
      <c r="N520" s="5" t="n">
        <v>294</v>
      </c>
      <c r="O520" s="5" t="n">
        <v>12</v>
      </c>
      <c r="P520" s="8">
        <f>IF(AND(M520&lt;&gt;"",M520&gt;0),M520+N520+O520,"")</f>
        <v/>
      </c>
      <c r="Q520" s="11">
        <f>IF(AND(L520&lt;&gt;"",L520&gt;0,P520&lt;&gt;""),P520/L520,"")</f>
        <v/>
      </c>
      <c r="R520" s="16">
        <f>IF(AND(P520&lt;&gt;"",P520&gt;0),(I520+J520+K520)/P520,"")</f>
        <v/>
      </c>
    </row>
    <row r="521" ht="27" customHeight="1">
      <c r="A521" s="5" t="inlineStr">
        <is>
          <t>2026-03-04</t>
        </is>
      </c>
      <c r="B521" s="5" t="inlineStr">
        <is>
          <t>10周</t>
        </is>
      </c>
      <c r="C521" s="5" t="inlineStr">
        <is>
          <t>抖音</t>
        </is>
      </c>
      <c r="D521" s="5" t="n"/>
      <c r="E521" s="5" t="n"/>
      <c r="F521" s="5" t="inlineStr">
        <is>
          <t>https://v.douyin.com/ThhMOtPhTaY/ KWM:/ W@z.GI</t>
        </is>
      </c>
      <c r="G521" s="5" t="inlineStr">
        <is>
          <t>495</t>
        </is>
      </c>
      <c r="H521" s="5" t="inlineStr">
        <is>
          <t>穿搭</t>
        </is>
      </c>
      <c r="I521" s="5" t="n"/>
      <c r="J521" s="5" t="n"/>
      <c r="K521" s="5" t="n">
        <v>93</v>
      </c>
      <c r="L521" s="5" t="n">
        <v>3368</v>
      </c>
      <c r="M521" s="5" t="n">
        <v>178</v>
      </c>
      <c r="N521" s="5" t="n">
        <v>7</v>
      </c>
      <c r="O521" s="5" t="n">
        <v>9</v>
      </c>
      <c r="P521" s="8">
        <f>IF(AND(M521&lt;&gt;"",M521&gt;0),M521+N521+O521,"")</f>
        <v/>
      </c>
      <c r="Q521" s="11">
        <f>IF(AND(L521&lt;&gt;"",L521&gt;0,P521&lt;&gt;""),P521/L521,"")</f>
        <v/>
      </c>
      <c r="R521" s="16">
        <f>IF(AND(P521&lt;&gt;"",P521&gt;0),(I521+J521+K521)/P521,"")</f>
        <v/>
      </c>
    </row>
    <row r="522" ht="27" customHeight="1">
      <c r="A522" s="5" t="inlineStr">
        <is>
          <t>2026-03-04</t>
        </is>
      </c>
      <c r="B522" s="5" t="inlineStr">
        <is>
          <t>10周</t>
        </is>
      </c>
      <c r="C522" s="5" t="inlineStr">
        <is>
          <t>抖音</t>
        </is>
      </c>
      <c r="D522" s="5" t="n"/>
      <c r="E522" s="5" t="n"/>
      <c r="F522" s="5" t="inlineStr">
        <is>
          <t>https://v.douyin.com/ABuoA0r8MRo/</t>
        </is>
      </c>
      <c r="G522" s="5" t="inlineStr">
        <is>
          <t>0002A1</t>
        </is>
      </c>
      <c r="H522" s="5" t="inlineStr">
        <is>
          <t>穿搭</t>
        </is>
      </c>
      <c r="I522" s="5" t="n">
        <v>750</v>
      </c>
      <c r="J522" s="5" t="n"/>
      <c r="K522" s="5" t="n">
        <v>110.5</v>
      </c>
      <c r="L522" s="5" t="n">
        <v>12000</v>
      </c>
      <c r="M522" s="5" t="n">
        <v>1214</v>
      </c>
      <c r="N522" s="5" t="n">
        <v>80</v>
      </c>
      <c r="O522" s="5" t="n">
        <v>28</v>
      </c>
      <c r="P522" s="8">
        <f>IF(AND(M522&lt;&gt;"",M522&gt;0),M522+N522+O522,"")</f>
        <v/>
      </c>
      <c r="Q522" s="11">
        <f>IF(AND(L522&lt;&gt;"",L522&gt;0,P522&lt;&gt;""),P522/L522,"")</f>
        <v/>
      </c>
      <c r="R522" s="16">
        <f>IF(AND(P522&lt;&gt;"",P522&gt;0),(I522+J522+K522)/P522,"")</f>
        <v/>
      </c>
    </row>
    <row r="523" ht="27" customHeight="1">
      <c r="A523" s="5" t="inlineStr">
        <is>
          <t>2026-03-04</t>
        </is>
      </c>
      <c r="B523" s="5" t="inlineStr">
        <is>
          <t>10周</t>
        </is>
      </c>
      <c r="C523" s="5" t="inlineStr">
        <is>
          <t>抖音</t>
        </is>
      </c>
      <c r="D523" s="5" t="n"/>
      <c r="E523" s="5" t="n"/>
      <c r="F523" s="5" t="inlineStr">
        <is>
          <t>https://v.douyin.com/duyQZfWqGl0/</t>
        </is>
      </c>
      <c r="G523" s="5" t="inlineStr">
        <is>
          <t>1225</t>
        </is>
      </c>
      <c r="H523" s="5" t="inlineStr">
        <is>
          <t>学生</t>
        </is>
      </c>
      <c r="I523" s="5" t="n"/>
      <c r="J523" s="5" t="n"/>
      <c r="K523" s="5" t="n">
        <v>55.5</v>
      </c>
      <c r="L523" s="5" t="n">
        <v>38000</v>
      </c>
      <c r="M523" s="5" t="n">
        <v>798</v>
      </c>
      <c r="N523" s="5" t="n">
        <v>31</v>
      </c>
      <c r="O523" s="5" t="n">
        <v>83</v>
      </c>
      <c r="P523" s="8">
        <f>IF(AND(M523&lt;&gt;"",M523&gt;0),M523+N523+O523,"")</f>
        <v/>
      </c>
      <c r="Q523" s="11">
        <f>IF(AND(L523&lt;&gt;"",L523&gt;0,P523&lt;&gt;""),P523/L523,"")</f>
        <v/>
      </c>
      <c r="R523" s="16">
        <f>IF(AND(P523&lt;&gt;"",P523&gt;0),(I523+J523+K523)/P523,"")</f>
        <v/>
      </c>
    </row>
    <row r="524" ht="81" customHeight="1">
      <c r="A524" s="5" t="inlineStr">
        <is>
          <t>2026-03-04</t>
        </is>
      </c>
      <c r="B524" s="5" t="inlineStr">
        <is>
          <t>10周</t>
        </is>
      </c>
      <c r="C524" s="5" t="inlineStr">
        <is>
          <t>抖音</t>
        </is>
      </c>
      <c r="D524" s="5" t="n"/>
      <c r="E524" s="5" t="n"/>
      <c r="F524" s="5" t="inlineStr">
        <is>
          <t>https://www.douyin.com/user/MS4wLjABAAAAkGtOmvdEMJEPdvYvxc2KpF3f4QP0ehPAszwBOI1IuKR-wO4vKNIuTKlaeMHlbSPV?from_tab_name=main&amp;modal_id=7613307805801501113</t>
        </is>
      </c>
      <c r="G524" s="5" t="inlineStr">
        <is>
          <t>1172W</t>
        </is>
      </c>
      <c r="H524" s="5" t="inlineStr">
        <is>
          <t>学生</t>
        </is>
      </c>
      <c r="I524" s="5" t="n">
        <v>300</v>
      </c>
      <c r="J524" s="5" t="n"/>
      <c r="K524" s="5" t="n">
        <v>57.5</v>
      </c>
      <c r="L524" s="5" t="n">
        <v>35000</v>
      </c>
      <c r="M524" s="5" t="n">
        <v>3397</v>
      </c>
      <c r="N524" s="5" t="n">
        <v>155</v>
      </c>
      <c r="O524" s="5" t="n">
        <v>305</v>
      </c>
      <c r="P524" s="8">
        <f>IF(AND(M524&lt;&gt;"",M524&gt;0),M524+N524+O524,"")</f>
        <v/>
      </c>
      <c r="Q524" s="11">
        <f>IF(AND(L524&lt;&gt;"",L524&gt;0,P524&lt;&gt;""),P524/L524,"")</f>
        <v/>
      </c>
      <c r="R524" s="16">
        <f>IF(AND(P524&lt;&gt;"",P524&gt;0),(I524+J524+K524)/P524,"")</f>
        <v/>
      </c>
    </row>
    <row r="525" ht="81" customHeight="1">
      <c r="A525" s="5" t="inlineStr">
        <is>
          <t>2026-03-04</t>
        </is>
      </c>
      <c r="B525" s="5" t="inlineStr">
        <is>
          <t>10周</t>
        </is>
      </c>
      <c r="C525" s="5" t="inlineStr">
        <is>
          <t>小红书</t>
        </is>
      </c>
      <c r="D525" s="5" t="n"/>
      <c r="E525" s="5" t="n"/>
      <c r="F525" s="5" t="inlineStr">
        <is>
          <t>https://www.xiaohongshu.com/discovery/item/69a770db000000001a01c3d8?xsec_token=CBenutNkHnjFqv_nqZYIv1xc6WqJRvKQzQjitdEAt8W9Y=&amp;xsec_source=app_share&amp;type=video</t>
        </is>
      </c>
      <c r="G525" s="5" t="inlineStr">
        <is>
          <t>0002A1</t>
        </is>
      </c>
      <c r="H525" s="5" t="inlineStr">
        <is>
          <t>口播</t>
        </is>
      </c>
      <c r="I525" s="5" t="n"/>
      <c r="J525" s="5" t="n"/>
      <c r="K525" s="5" t="n">
        <v>110.5</v>
      </c>
      <c r="L525" s="5" t="n">
        <v>293</v>
      </c>
      <c r="M525" s="5" t="n">
        <v>17</v>
      </c>
      <c r="N525" s="5" t="n">
        <v>4</v>
      </c>
      <c r="O525" s="5" t="n">
        <v>3</v>
      </c>
      <c r="P525" s="8">
        <f>IF(AND(M525&lt;&gt;"",M525&gt;0),M525+N525+O525,"")</f>
        <v/>
      </c>
      <c r="Q525" s="11">
        <f>IF(AND(L525&lt;&gt;"",L525&gt;0,P525&lt;&gt;""),P525/L525,"")</f>
        <v/>
      </c>
      <c r="R525" s="16">
        <f>IF(AND(P525&lt;&gt;"",P525&gt;0),(I525+J525+K525)/P525,"")</f>
        <v/>
      </c>
    </row>
    <row r="526" ht="81" customHeight="1">
      <c r="A526" s="5" t="inlineStr">
        <is>
          <t>2026-03-04</t>
        </is>
      </c>
      <c r="B526" s="5" t="inlineStr">
        <is>
          <t>10周</t>
        </is>
      </c>
      <c r="C526" s="5" t="inlineStr">
        <is>
          <t>小红书</t>
        </is>
      </c>
      <c r="D526" s="5" t="n"/>
      <c r="E526" s="5" t="n"/>
      <c r="F526" s="5" t="inlineStr">
        <is>
          <t>https://www.xiaohongshu.com/discovery/item/69a802950000000023039496?xsec_token=CBHvISyvF7s8aFbCVHHNpbsiK4OV7T5neNciu-7kCC_BY=&amp;xsec_source=app_share&amp;type=video</t>
        </is>
      </c>
      <c r="G526" s="5" t="inlineStr">
        <is>
          <t>495</t>
        </is>
      </c>
      <c r="H526" s="5" t="inlineStr">
        <is>
          <t>穿搭</t>
        </is>
      </c>
      <c r="I526" s="5" t="n"/>
      <c r="J526" s="5" t="n"/>
      <c r="K526" s="5" t="n">
        <v>93</v>
      </c>
      <c r="L526" s="5" t="n">
        <v>2657</v>
      </c>
      <c r="M526" s="5" t="n">
        <v>212</v>
      </c>
      <c r="N526" s="5" t="n">
        <v>22</v>
      </c>
      <c r="O526" s="5" t="n">
        <v>7</v>
      </c>
      <c r="P526" s="8">
        <f>IF(AND(M526&lt;&gt;"",M526&gt;0),M526+N526+O526,"")</f>
        <v/>
      </c>
      <c r="Q526" s="11">
        <f>IF(AND(L526&lt;&gt;"",L526&gt;0,P526&lt;&gt;""),P526/L526,"")</f>
        <v/>
      </c>
      <c r="R526" s="16">
        <f>IF(AND(P526&lt;&gt;"",P526&gt;0),(I526+J526+K526)/P526,"")</f>
        <v/>
      </c>
    </row>
    <row r="527" ht="27" customHeight="1">
      <c r="A527" s="5" t="inlineStr">
        <is>
          <t>2026-03-05</t>
        </is>
      </c>
      <c r="B527" s="5" t="inlineStr">
        <is>
          <t>10周</t>
        </is>
      </c>
      <c r="C527" s="5" t="inlineStr">
        <is>
          <t>抖音</t>
        </is>
      </c>
      <c r="D527" s="5" t="n"/>
      <c r="E527" s="5" t="n"/>
      <c r="F527" s="5" t="inlineStr">
        <is>
          <t>https://v.douyin.com/imSxdLvTaYY/</t>
        </is>
      </c>
      <c r="G527" s="5" t="inlineStr">
        <is>
          <t>0002A1</t>
        </is>
      </c>
      <c r="H527" s="5" t="inlineStr">
        <is>
          <t>穿搭</t>
        </is>
      </c>
      <c r="I527" s="5" t="n"/>
      <c r="J527" s="5" t="n"/>
      <c r="K527" s="5" t="n">
        <v>110.5</v>
      </c>
      <c r="L527" s="5" t="n">
        <v>14000</v>
      </c>
      <c r="M527" s="5" t="n">
        <v>1095</v>
      </c>
      <c r="N527" s="5" t="n">
        <v>57</v>
      </c>
      <c r="O527" s="5" t="n">
        <v>40</v>
      </c>
      <c r="P527" s="8">
        <f>IF(AND(M527&lt;&gt;"",M527&gt;0),M527+N527+O527,"")</f>
        <v/>
      </c>
      <c r="Q527" s="11">
        <f>IF(AND(L527&lt;&gt;"",L527&gt;0,P527&lt;&gt;""),P527/L527,"")</f>
        <v/>
      </c>
      <c r="R527" s="16">
        <f>IF(AND(P527&lt;&gt;"",P527&gt;0),(I527+J527+K527)/P527,"")</f>
        <v/>
      </c>
    </row>
    <row r="528" ht="27" customHeight="1">
      <c r="A528" s="5" t="inlineStr">
        <is>
          <t>2026-03-05</t>
        </is>
      </c>
      <c r="B528" s="5" t="inlineStr">
        <is>
          <t>10周</t>
        </is>
      </c>
      <c r="C528" s="5" t="inlineStr">
        <is>
          <t>抖音</t>
        </is>
      </c>
      <c r="D528" s="5" t="n"/>
      <c r="E528" s="5" t="n"/>
      <c r="F528" s="5" t="inlineStr">
        <is>
          <t>https://v.douyin.com/GZU2mAm55Jg/</t>
        </is>
      </c>
      <c r="G528" s="5" t="inlineStr">
        <is>
          <t>0002A1</t>
        </is>
      </c>
      <c r="H528" s="5" t="inlineStr">
        <is>
          <t>穿搭</t>
        </is>
      </c>
      <c r="I528" s="5" t="n">
        <v>200</v>
      </c>
      <c r="J528" s="5" t="n"/>
      <c r="K528" s="5" t="n">
        <v>110.5</v>
      </c>
      <c r="L528" s="5" t="n">
        <v>2206</v>
      </c>
      <c r="M528" s="5" t="n">
        <v>116</v>
      </c>
      <c r="N528" s="5" t="n">
        <v>4</v>
      </c>
      <c r="O528" s="5" t="n">
        <v>5</v>
      </c>
      <c r="P528" s="8">
        <f>IF(AND(M528&lt;&gt;"",M528&gt;0),M528+N528+O528,"")</f>
        <v/>
      </c>
      <c r="Q528" s="11">
        <f>IF(AND(L528&lt;&gt;"",L528&gt;0,P528&lt;&gt;""),P528/L528,"")</f>
        <v/>
      </c>
      <c r="R528" s="16">
        <f>IF(AND(P528&lt;&gt;"",P528&gt;0),(I528+J528+K528)/P528,"")</f>
        <v/>
      </c>
    </row>
    <row r="529" ht="81" customHeight="1">
      <c r="A529" s="5" t="inlineStr">
        <is>
          <t>2026-03-05</t>
        </is>
      </c>
      <c r="B529" s="5" t="inlineStr">
        <is>
          <t>10周</t>
        </is>
      </c>
      <c r="C529" s="5" t="inlineStr">
        <is>
          <t>小红书</t>
        </is>
      </c>
      <c r="D529" s="5" t="n"/>
      <c r="E529" s="5" t="n"/>
      <c r="F529" s="5" t="inlineStr">
        <is>
          <t>https://www.xiaohongshu.com/discovery/item/69a8e986000000002203acc1?xsec_token=CBHvISyvF7s8aFbCVHHNpbsrAXKz-g4T5-AQ4A6BzSbIM=&amp;xsec_source=app_share</t>
        </is>
      </c>
      <c r="G529" s="5" t="inlineStr">
        <is>
          <t>0002A1</t>
        </is>
      </c>
      <c r="H529" s="5" t="inlineStr">
        <is>
          <t>穿搭</t>
        </is>
      </c>
      <c r="I529" s="5" t="n"/>
      <c r="J529" s="5" t="n"/>
      <c r="K529" s="5" t="n">
        <v>110.5</v>
      </c>
      <c r="L529" s="5" t="n">
        <v>8211</v>
      </c>
      <c r="M529" s="5" t="n">
        <v>385</v>
      </c>
      <c r="N529" s="5" t="n">
        <v>46</v>
      </c>
      <c r="O529" s="5" t="n">
        <v>25</v>
      </c>
      <c r="P529" s="8">
        <f>IF(AND(M529&lt;&gt;"",M529&gt;0),M529+N529+O529,"")</f>
        <v/>
      </c>
      <c r="Q529" s="11">
        <f>IF(AND(L529&lt;&gt;"",L529&gt;0,P529&lt;&gt;""),P529/L529,"")</f>
        <v/>
      </c>
      <c r="R529" s="16">
        <f>IF(AND(P529&lt;&gt;"",P529&gt;0),(I529+J529+K529)/P529,"")</f>
        <v/>
      </c>
    </row>
    <row r="530" ht="27" customHeight="1">
      <c r="A530" s="5" t="inlineStr">
        <is>
          <t>2026-03-06</t>
        </is>
      </c>
      <c r="B530" s="5" t="inlineStr">
        <is>
          <t>10周</t>
        </is>
      </c>
      <c r="C530" s="5" t="inlineStr">
        <is>
          <t>抖音</t>
        </is>
      </c>
      <c r="D530" s="5" t="n"/>
      <c r="E530" s="5" t="n"/>
      <c r="F530" s="5" t="inlineStr">
        <is>
          <t>https://v.douyin.com/bjPwYbINB2o/</t>
        </is>
      </c>
      <c r="G530" s="5" t="inlineStr">
        <is>
          <t>495</t>
        </is>
      </c>
      <c r="H530" s="5" t="inlineStr">
        <is>
          <t>穿搭</t>
        </is>
      </c>
      <c r="I530" s="5" t="n"/>
      <c r="J530" s="5" t="n"/>
      <c r="K530" s="5" t="n">
        <v>93</v>
      </c>
      <c r="L530" s="5" t="n">
        <v>13000</v>
      </c>
      <c r="M530" s="5" t="n">
        <v>716</v>
      </c>
      <c r="N530" s="5" t="n">
        <v>50</v>
      </c>
      <c r="O530" s="5" t="n">
        <v>47</v>
      </c>
      <c r="P530" s="8">
        <f>IF(AND(M530&lt;&gt;"",M530&gt;0),M530+N530+O530,"")</f>
        <v/>
      </c>
      <c r="Q530" s="11">
        <f>IF(AND(L530&lt;&gt;"",L530&gt;0,P530&lt;&gt;""),P530/L530,"")</f>
        <v/>
      </c>
      <c r="R530" s="16">
        <f>IF(AND(P530&lt;&gt;"",P530&gt;0),(I530+J530+K530)/P530,"")</f>
        <v/>
      </c>
    </row>
    <row r="531" ht="27" customHeight="1">
      <c r="A531" s="5" t="inlineStr">
        <is>
          <t>2026-03-06</t>
        </is>
      </c>
      <c r="B531" s="5" t="inlineStr">
        <is>
          <t>10周</t>
        </is>
      </c>
      <c r="C531" s="5" t="inlineStr">
        <is>
          <t>抖音</t>
        </is>
      </c>
      <c r="D531" s="5" t="n"/>
      <c r="E531" s="5" t="n"/>
      <c r="F531" s="5" t="inlineStr">
        <is>
          <t>https://v.douyin.com/5OPHXvJ2LE4/</t>
        </is>
      </c>
      <c r="G531" s="5" t="inlineStr">
        <is>
          <t>495</t>
        </is>
      </c>
      <c r="H531" s="5" t="inlineStr">
        <is>
          <t>穿搭</t>
        </is>
      </c>
      <c r="I531" s="5" t="n">
        <v>50</v>
      </c>
      <c r="J531" s="5" t="n"/>
      <c r="K531" s="5" t="n">
        <v>93</v>
      </c>
      <c r="L531" s="5" t="n">
        <v>15000</v>
      </c>
      <c r="M531" s="5" t="n">
        <v>807</v>
      </c>
      <c r="N531" s="5" t="n">
        <v>81</v>
      </c>
      <c r="O531" s="5" t="n">
        <v>17</v>
      </c>
      <c r="P531" s="8">
        <f>IF(AND(M531&lt;&gt;"",M531&gt;0),M531+N531+O531,"")</f>
        <v/>
      </c>
      <c r="Q531" s="11">
        <f>IF(AND(L531&lt;&gt;"",L531&gt;0,P531&lt;&gt;""),P531/L531,"")</f>
        <v/>
      </c>
      <c r="R531" s="16">
        <f>IF(AND(P531&lt;&gt;"",P531&gt;0),(I531+J531+K531)/P531,"")</f>
        <v/>
      </c>
    </row>
    <row r="532" ht="67.5" customHeight="1">
      <c r="A532" s="5" t="inlineStr">
        <is>
          <t>2026-03-06</t>
        </is>
      </c>
      <c r="B532" s="5" t="inlineStr">
        <is>
          <t>10周</t>
        </is>
      </c>
      <c r="C532" s="5" t="inlineStr">
        <is>
          <t>抖音</t>
        </is>
      </c>
      <c r="D532" s="5" t="n"/>
      <c r="E532" s="5" t="n"/>
      <c r="F532" s="5" t="inlineStr">
        <is>
          <t>https://fast.dewu.com/h5-sociality/community/community-share?trendId=460298249&amp;shareType=0&amp;source=videoTrend&amp;shareId=nwgYv4N&amp;shareChannel=6</t>
        </is>
      </c>
      <c r="G532" s="5" t="inlineStr">
        <is>
          <t>1217W</t>
        </is>
      </c>
      <c r="H532" s="5" t="inlineStr">
        <is>
          <t>学生</t>
        </is>
      </c>
      <c r="I532" s="5" t="n"/>
      <c r="J532" s="5" t="n"/>
      <c r="K532" s="5" t="n">
        <v>54</v>
      </c>
      <c r="L532" s="5" t="n">
        <v>7164</v>
      </c>
      <c r="M532" s="5" t="n">
        <v>125</v>
      </c>
      <c r="N532" s="5" t="n">
        <v>0</v>
      </c>
      <c r="O532" s="5" t="n">
        <v>1</v>
      </c>
      <c r="P532" s="8">
        <f>IF(AND(M532&lt;&gt;"",M532&gt;0),M532+N532+O532,"")</f>
        <v/>
      </c>
      <c r="Q532" s="11">
        <f>IF(AND(L532&lt;&gt;"",L532&gt;0,P532&lt;&gt;""),P532/L532,"")</f>
        <v/>
      </c>
      <c r="R532" s="16">
        <f>IF(AND(P532&lt;&gt;"",P532&gt;0),(I532+J532+K532)/P532,"")</f>
        <v/>
      </c>
    </row>
    <row r="533" ht="27" customHeight="1">
      <c r="A533" s="5" t="inlineStr">
        <is>
          <t>2026-03-06</t>
        </is>
      </c>
      <c r="B533" s="5" t="inlineStr">
        <is>
          <t>10周</t>
        </is>
      </c>
      <c r="C533" s="5" t="inlineStr">
        <is>
          <t>抖音</t>
        </is>
      </c>
      <c r="D533" s="5" t="n"/>
      <c r="E533" s="5" t="n"/>
      <c r="F533" s="5" t="inlineStr">
        <is>
          <t>https://v.douyin.com/hUViR14EoDY/</t>
        </is>
      </c>
      <c r="G533" s="5" t="inlineStr">
        <is>
          <t>1217W</t>
        </is>
      </c>
      <c r="H533" s="5" t="inlineStr">
        <is>
          <t>口播</t>
        </is>
      </c>
      <c r="I533" s="5" t="n"/>
      <c r="J533" s="5" t="n"/>
      <c r="K533" s="5" t="n">
        <v>54</v>
      </c>
      <c r="L533" s="5" t="n">
        <v>62000</v>
      </c>
      <c r="M533" s="5" t="n">
        <v>856</v>
      </c>
      <c r="N533" s="5" t="n">
        <v>195</v>
      </c>
      <c r="O533" s="5" t="n">
        <v>193</v>
      </c>
      <c r="P533" s="8">
        <f>IF(AND(M533&lt;&gt;"",M533&gt;0),M533+N533+O533,"")</f>
        <v/>
      </c>
      <c r="Q533" s="11">
        <f>IF(AND(L533&lt;&gt;"",L533&gt;0,P533&lt;&gt;""),P533/L533,"")</f>
        <v/>
      </c>
      <c r="R533" s="16">
        <f>IF(AND(P533&lt;&gt;"",P533&gt;0),(I533+J533+K533)/P533,"")</f>
        <v/>
      </c>
    </row>
    <row r="534" ht="40.5" customHeight="1">
      <c r="A534" s="5" t="inlineStr">
        <is>
          <t>2026-03-06</t>
        </is>
      </c>
      <c r="B534" s="5" t="inlineStr">
        <is>
          <t>10周</t>
        </is>
      </c>
      <c r="C534" s="5" t="inlineStr">
        <is>
          <t>抖音</t>
        </is>
      </c>
      <c r="D534" s="5" t="n"/>
      <c r="E534" s="5" t="n"/>
      <c r="F534" s="5" t="inlineStr">
        <is>
          <t>https://www.douyin.com/user/self?from_tab_name=main&amp;modal_id=7613356564263126521&amp;showTab=like</t>
        </is>
      </c>
      <c r="G534" s="5" t="inlineStr">
        <is>
          <t>0001A1</t>
        </is>
      </c>
      <c r="H534" s="5" t="inlineStr">
        <is>
          <t>穿搭</t>
        </is>
      </c>
      <c r="I534" s="5" t="n">
        <v>250</v>
      </c>
      <c r="J534" s="5" t="n"/>
      <c r="K534" s="5" t="n">
        <v>107.5</v>
      </c>
      <c r="L534" s="5" t="n">
        <v>23000</v>
      </c>
      <c r="M534" s="5" t="n">
        <v>1954</v>
      </c>
      <c r="N534" s="5" t="n">
        <v>117</v>
      </c>
      <c r="O534" s="5" t="n">
        <v>48</v>
      </c>
      <c r="P534" s="8">
        <f>IF(AND(M534&lt;&gt;"",M534&gt;0),M534+N534+O534,"")</f>
        <v/>
      </c>
      <c r="Q534" s="11">
        <f>IF(AND(L534&lt;&gt;"",L534&gt;0,P534&lt;&gt;""),P534/L534,"")</f>
        <v/>
      </c>
      <c r="R534" s="16">
        <f>IF(AND(P534&lt;&gt;"",P534&gt;0),(I534+J534+K534)/P534,"")</f>
        <v/>
      </c>
    </row>
    <row r="535" ht="27" customHeight="1">
      <c r="A535" s="5" t="inlineStr">
        <is>
          <t>2026-03-06</t>
        </is>
      </c>
      <c r="B535" s="5" t="inlineStr">
        <is>
          <t>10周</t>
        </is>
      </c>
      <c r="C535" s="5" t="inlineStr">
        <is>
          <t>抖音</t>
        </is>
      </c>
      <c r="D535" s="5" t="n"/>
      <c r="E535" s="5" t="n"/>
      <c r="F535" s="5" t="inlineStr">
        <is>
          <t>https://v.douyin.com/oKLl7s34KIw/ m@d.aA</t>
        </is>
      </c>
      <c r="G535" s="5" t="inlineStr">
        <is>
          <t>0002A1</t>
        </is>
      </c>
      <c r="H535" s="5" t="inlineStr">
        <is>
          <t>刘耀文</t>
        </is>
      </c>
      <c r="I535" s="5" t="n"/>
      <c r="J535" s="5" t="n"/>
      <c r="K535" s="5" t="n">
        <v>110.5</v>
      </c>
      <c r="L535" s="5" t="n">
        <v>1701</v>
      </c>
      <c r="M535" s="5" t="n">
        <v>160</v>
      </c>
      <c r="N535" s="5" t="n">
        <v>5</v>
      </c>
      <c r="O535" s="5" t="n">
        <v>74</v>
      </c>
      <c r="P535" s="8">
        <f>IF(AND(M535&lt;&gt;"",M535&gt;0),M535+N535+O535,"")</f>
        <v/>
      </c>
      <c r="Q535" s="11">
        <f>IF(AND(L535&lt;&gt;"",L535&gt;0,P535&lt;&gt;""),P535/L535,"")</f>
        <v/>
      </c>
      <c r="R535" s="16">
        <f>IF(AND(P535&lt;&gt;"",P535&gt;0),(I535+J535+K535)/P535,"")</f>
        <v/>
      </c>
    </row>
    <row r="536" ht="27" customHeight="1">
      <c r="A536" s="5" t="inlineStr">
        <is>
          <t>2026-03-06</t>
        </is>
      </c>
      <c r="B536" s="5" t="inlineStr">
        <is>
          <t>10周</t>
        </is>
      </c>
      <c r="C536" s="5" t="inlineStr">
        <is>
          <t>抖音</t>
        </is>
      </c>
      <c r="D536" s="5" t="n"/>
      <c r="E536" s="5" t="n"/>
      <c r="F536" s="5" t="inlineStr">
        <is>
          <t>https://v.douyin.com/GM2iPu7lYkg/</t>
        </is>
      </c>
      <c r="G536" s="5" t="inlineStr">
        <is>
          <t>0001A1</t>
        </is>
      </c>
      <c r="H536" s="5" t="inlineStr">
        <is>
          <t>口播</t>
        </is>
      </c>
      <c r="I536" s="5" t="n">
        <v>2000</v>
      </c>
      <c r="J536" s="5" t="n"/>
      <c r="K536" s="5" t="n">
        <v>107.5</v>
      </c>
      <c r="L536" s="5" t="n">
        <v>150000</v>
      </c>
      <c r="M536" s="5" t="n">
        <v>2144</v>
      </c>
      <c r="N536" s="5" t="n">
        <v>327</v>
      </c>
      <c r="O536" s="5" t="n">
        <v>112</v>
      </c>
      <c r="P536" s="8">
        <f>IF(AND(M536&lt;&gt;"",M536&gt;0),M536+N536+O536,"")</f>
        <v/>
      </c>
      <c r="Q536" s="11">
        <f>IF(AND(L536&lt;&gt;"",L536&gt;0,P536&lt;&gt;""),P536/L536,"")</f>
        <v/>
      </c>
      <c r="R536" s="16">
        <f>IF(AND(P536&lt;&gt;"",P536&gt;0),(I536+J536+K536)/P536,"")</f>
        <v/>
      </c>
    </row>
    <row r="537" ht="27" customHeight="1">
      <c r="A537" s="5" t="inlineStr">
        <is>
          <t>2026-03-06</t>
        </is>
      </c>
      <c r="B537" s="5" t="inlineStr">
        <is>
          <t>10周</t>
        </is>
      </c>
      <c r="C537" s="5" t="inlineStr">
        <is>
          <t>抖音</t>
        </is>
      </c>
      <c r="D537" s="5" t="n"/>
      <c r="E537" s="5" t="n"/>
      <c r="F537" s="5" t="inlineStr">
        <is>
          <t>https://v.douyin.com/6FFPQLu7EGY/</t>
        </is>
      </c>
      <c r="G537" s="5" t="inlineStr">
        <is>
          <t>0001A1</t>
        </is>
      </c>
      <c r="H537" s="5" t="inlineStr">
        <is>
          <t>穿搭</t>
        </is>
      </c>
      <c r="I537" s="5" t="n">
        <v>120</v>
      </c>
      <c r="J537" s="5" t="n"/>
      <c r="K537" s="5" t="n">
        <v>107.5</v>
      </c>
      <c r="L537" s="5" t="n">
        <v>9033</v>
      </c>
      <c r="M537" s="5" t="n">
        <v>815</v>
      </c>
      <c r="N537" s="5" t="n">
        <v>38</v>
      </c>
      <c r="O537" s="5" t="n">
        <v>74</v>
      </c>
      <c r="P537" s="8">
        <f>IF(AND(M537&lt;&gt;"",M537&gt;0),M537+N537+O537,"")</f>
        <v/>
      </c>
      <c r="Q537" s="11">
        <f>IF(AND(L537&lt;&gt;"",L537&gt;0,P537&lt;&gt;""),P537/L537,"")</f>
        <v/>
      </c>
      <c r="R537" s="16">
        <f>IF(AND(P537&lt;&gt;"",P537&gt;0),(I537+J537+K537)/P537,"")</f>
        <v/>
      </c>
    </row>
    <row r="538" ht="67.5" customHeight="1">
      <c r="A538" s="5" t="inlineStr">
        <is>
          <t>2026-03-06</t>
        </is>
      </c>
      <c r="B538" s="5" t="inlineStr">
        <is>
          <t>10周</t>
        </is>
      </c>
      <c r="C538" s="5" t="inlineStr">
        <is>
          <t>抖音</t>
        </is>
      </c>
      <c r="D538" s="5" t="n"/>
      <c r="E538" s="5" t="n"/>
      <c r="F538" s="5" t="inlineStr">
        <is>
          <t>https://www.douyin.com/user/MS4wLjABAAAA6O-a34aL3dqpmcvNxrl09RYjbU5gXZOXf_WyhbdF63HhYA69UXEt31yBFivrp9iI?modal_id=7613714245398931950</t>
        </is>
      </c>
      <c r="G538" s="5" t="inlineStr">
        <is>
          <t>1225</t>
        </is>
      </c>
      <c r="H538" s="5" t="inlineStr">
        <is>
          <t>学生</t>
        </is>
      </c>
      <c r="I538" s="5" t="n"/>
      <c r="J538" s="5" t="n"/>
      <c r="K538" s="5" t="n">
        <v>55.5</v>
      </c>
      <c r="L538" s="5" t="n">
        <v>3061</v>
      </c>
      <c r="M538" s="5" t="n">
        <v>288</v>
      </c>
      <c r="N538" s="5" t="n">
        <v>8</v>
      </c>
      <c r="O538" s="5" t="n">
        <v>88</v>
      </c>
      <c r="P538" s="8">
        <f>IF(AND(M538&lt;&gt;"",M538&gt;0),M538+N538+O538,"")</f>
        <v/>
      </c>
      <c r="Q538" s="11">
        <f>IF(AND(L538&lt;&gt;"",L538&gt;0,P538&lt;&gt;""),P538/L538,"")</f>
        <v/>
      </c>
      <c r="R538" s="16">
        <f>IF(AND(P538&lt;&gt;"",P538&gt;0),(I538+J538+K538)/P538,"")</f>
        <v/>
      </c>
    </row>
    <row r="539" ht="27" customHeight="1">
      <c r="A539" s="5" t="inlineStr">
        <is>
          <t>2026-03-06</t>
        </is>
      </c>
      <c r="B539" s="5" t="inlineStr">
        <is>
          <t>10周</t>
        </is>
      </c>
      <c r="C539" s="5" t="inlineStr">
        <is>
          <t>抖音</t>
        </is>
      </c>
      <c r="D539" s="5" t="n"/>
      <c r="E539" s="5" t="n"/>
      <c r="F539" s="5" t="inlineStr">
        <is>
          <t>https://v.douyin.com/5h6ph7H3M88/</t>
        </is>
      </c>
      <c r="G539" s="5" t="inlineStr">
        <is>
          <t>495</t>
        </is>
      </c>
      <c r="H539" s="5" t="inlineStr">
        <is>
          <t>穿搭</t>
        </is>
      </c>
      <c r="I539" s="5" t="n"/>
      <c r="J539" s="5" t="n"/>
      <c r="K539" s="5" t="n">
        <v>93</v>
      </c>
      <c r="L539" s="5" t="n">
        <v>26000</v>
      </c>
      <c r="M539" s="5" t="n">
        <v>859</v>
      </c>
      <c r="N539" s="5" t="n">
        <v>121</v>
      </c>
      <c r="O539" s="5" t="n">
        <v>21</v>
      </c>
      <c r="P539" s="8">
        <f>IF(AND(M539&lt;&gt;"",M539&gt;0),M539+N539+O539,"")</f>
        <v/>
      </c>
      <c r="Q539" s="11">
        <f>IF(AND(L539&lt;&gt;"",L539&gt;0,P539&lt;&gt;""),P539/L539,"")</f>
        <v/>
      </c>
      <c r="R539" s="16">
        <f>IF(AND(P539&lt;&gt;"",P539&gt;0),(I539+J539+K539)/P539,"")</f>
        <v/>
      </c>
    </row>
    <row r="540" ht="27" customHeight="1">
      <c r="A540" s="5" t="inlineStr">
        <is>
          <t>2026-03-06</t>
        </is>
      </c>
      <c r="B540" s="5" t="inlineStr">
        <is>
          <t>10周</t>
        </is>
      </c>
      <c r="C540" s="5" t="inlineStr">
        <is>
          <t>抖音</t>
        </is>
      </c>
      <c r="D540" s="5" t="n"/>
      <c r="E540" s="5" t="n"/>
      <c r="F540" s="5" t="inlineStr">
        <is>
          <t>https://v.douyin.com/MT8eKnaG7xg/</t>
        </is>
      </c>
      <c r="G540" s="5" t="inlineStr">
        <is>
          <t>0002A1</t>
        </is>
      </c>
      <c r="H540" s="5" t="inlineStr">
        <is>
          <t>穿搭</t>
        </is>
      </c>
      <c r="I540" s="5" t="n"/>
      <c r="J540" s="5" t="n"/>
      <c r="K540" s="5" t="n">
        <v>110.5</v>
      </c>
      <c r="L540" s="5" t="n">
        <v>13000</v>
      </c>
      <c r="M540" s="5" t="n">
        <v>783</v>
      </c>
      <c r="N540" s="5" t="n">
        <v>94</v>
      </c>
      <c r="O540" s="5" t="n">
        <v>40</v>
      </c>
      <c r="P540" s="8">
        <f>IF(AND(M540&lt;&gt;"",M540&gt;0),M540+N540+O540,"")</f>
        <v/>
      </c>
      <c r="Q540" s="11">
        <f>IF(AND(L540&lt;&gt;"",L540&gt;0,P540&lt;&gt;""),P540/L540,"")</f>
        <v/>
      </c>
      <c r="R540" s="16">
        <f>IF(AND(P540&lt;&gt;"",P540&gt;0),(I540+J540+K540)/P540,"")</f>
        <v/>
      </c>
    </row>
    <row r="541" ht="27" customHeight="1">
      <c r="A541" s="5" t="inlineStr">
        <is>
          <t>2026-03-06</t>
        </is>
      </c>
      <c r="B541" s="5" t="inlineStr">
        <is>
          <t>10周</t>
        </is>
      </c>
      <c r="C541" s="5" t="inlineStr">
        <is>
          <t>抖音</t>
        </is>
      </c>
      <c r="D541" s="5" t="n"/>
      <c r="E541" s="5" t="n"/>
      <c r="F541" s="5" t="inlineStr">
        <is>
          <t>https://v.douyin.com/5Y_xOqX1ArQ/</t>
        </is>
      </c>
      <c r="G541" s="5" t="inlineStr">
        <is>
          <t>0002A1</t>
        </is>
      </c>
      <c r="H541" s="5" t="inlineStr">
        <is>
          <t>穿搭</t>
        </is>
      </c>
      <c r="I541" s="5" t="n"/>
      <c r="J541" s="5" t="n"/>
      <c r="K541" s="5" t="n">
        <v>110.5</v>
      </c>
      <c r="L541" s="5" t="n">
        <v>2564</v>
      </c>
      <c r="M541" s="5" t="n">
        <v>137</v>
      </c>
      <c r="N541" s="5" t="n">
        <v>11</v>
      </c>
      <c r="O541" s="5" t="n">
        <v>8</v>
      </c>
      <c r="P541" s="8">
        <f>IF(AND(M541&lt;&gt;"",M541&gt;0),M541+N541+O541,"")</f>
        <v/>
      </c>
      <c r="Q541" s="11">
        <f>IF(AND(L541&lt;&gt;"",L541&gt;0,P541&lt;&gt;""),P541/L541,"")</f>
        <v/>
      </c>
      <c r="R541" s="16">
        <f>IF(AND(P541&lt;&gt;"",P541&gt;0),(I541+J541+K541)/P541,"")</f>
        <v/>
      </c>
    </row>
    <row r="542" ht="40.5" customHeight="1">
      <c r="A542" s="5" t="inlineStr">
        <is>
          <t>2026-03-06</t>
        </is>
      </c>
      <c r="B542" s="5" t="inlineStr">
        <is>
          <t>10周</t>
        </is>
      </c>
      <c r="C542" s="5" t="inlineStr">
        <is>
          <t>抖音</t>
        </is>
      </c>
      <c r="D542" s="5" t="n"/>
      <c r="E542" s="5" t="n"/>
      <c r="F542" s="5" t="inlineStr">
        <is>
          <t>https://www.douyin.com/user/self?from_tab_name=main&amp;modal_id=7613732948239901285&amp;showTab=like</t>
        </is>
      </c>
      <c r="G542" s="5" t="inlineStr">
        <is>
          <t>0002A1</t>
        </is>
      </c>
      <c r="H542" s="5" t="inlineStr">
        <is>
          <t>穿搭</t>
        </is>
      </c>
      <c r="I542" s="5" t="n">
        <v>200</v>
      </c>
      <c r="J542" s="5" t="n"/>
      <c r="K542" s="5" t="n">
        <v>110.5</v>
      </c>
      <c r="L542" s="5" t="n">
        <v>52000</v>
      </c>
      <c r="M542" s="5" t="n">
        <v>635</v>
      </c>
      <c r="N542" s="5" t="n">
        <v>155</v>
      </c>
      <c r="O542" s="5" t="n">
        <v>10</v>
      </c>
      <c r="P542" s="8">
        <f>IF(AND(M542&lt;&gt;"",M542&gt;0),M542+N542+O542,"")</f>
        <v/>
      </c>
      <c r="Q542" s="11">
        <f>IF(AND(L542&lt;&gt;"",L542&gt;0,P542&lt;&gt;""),P542/L542,"")</f>
        <v/>
      </c>
      <c r="R542" s="16">
        <f>IF(AND(P542&lt;&gt;"",P542&gt;0),(I542+J542+K542)/P542,"")</f>
        <v/>
      </c>
    </row>
    <row r="543" ht="27" customHeight="1">
      <c r="A543" s="5" t="inlineStr">
        <is>
          <t>2026-03-06</t>
        </is>
      </c>
      <c r="B543" s="5" t="inlineStr">
        <is>
          <t>10周</t>
        </is>
      </c>
      <c r="C543" s="5" t="inlineStr">
        <is>
          <t>抖音</t>
        </is>
      </c>
      <c r="D543" s="5" t="n"/>
      <c r="E543" s="5" t="n"/>
      <c r="F543" s="5" t="inlineStr">
        <is>
          <t>https://v.douyin.com/E-vMnBsD6VI/</t>
        </is>
      </c>
      <c r="G543" s="5" t="inlineStr">
        <is>
          <t>0002A1</t>
        </is>
      </c>
      <c r="H543" s="5" t="inlineStr">
        <is>
          <t>刘耀文</t>
        </is>
      </c>
      <c r="I543" s="5" t="n"/>
      <c r="J543" s="5" t="n"/>
      <c r="K543" s="5" t="n">
        <v>110.5</v>
      </c>
      <c r="L543" s="5" t="n">
        <v>1209</v>
      </c>
      <c r="M543" s="5" t="n">
        <v>53</v>
      </c>
      <c r="N543" s="5" t="n">
        <v>3</v>
      </c>
      <c r="O543" s="5" t="n">
        <v>14</v>
      </c>
      <c r="P543" s="8">
        <f>IF(AND(M543&lt;&gt;"",M543&gt;0),M543+N543+O543,"")</f>
        <v/>
      </c>
      <c r="Q543" s="11">
        <f>IF(AND(L543&lt;&gt;"",L543&gt;0,P543&lt;&gt;""),P543/L543,"")</f>
        <v/>
      </c>
      <c r="R543" s="16">
        <f>IF(AND(P543&lt;&gt;"",P543&gt;0),(I543+J543+K543)/P543,"")</f>
        <v/>
      </c>
    </row>
    <row r="544" ht="27" customHeight="1">
      <c r="A544" s="5" t="inlineStr">
        <is>
          <t>2026-03-06</t>
        </is>
      </c>
      <c r="B544" s="5" t="inlineStr">
        <is>
          <t>10周</t>
        </is>
      </c>
      <c r="C544" s="5" t="inlineStr">
        <is>
          <t>抖音</t>
        </is>
      </c>
      <c r="D544" s="5" t="n"/>
      <c r="E544" s="5" t="n"/>
      <c r="F544" s="5" t="inlineStr">
        <is>
          <t>https://v.douyin.com/SumU3YklctM/</t>
        </is>
      </c>
      <c r="G544" s="5" t="inlineStr">
        <is>
          <t>1217W</t>
        </is>
      </c>
      <c r="H544" s="5" t="inlineStr">
        <is>
          <t>学生</t>
        </is>
      </c>
      <c r="I544" s="5" t="n"/>
      <c r="J544" s="5" t="n"/>
      <c r="K544" s="5" t="n">
        <v>54</v>
      </c>
      <c r="L544" s="5" t="n">
        <v>8451</v>
      </c>
      <c r="M544" s="5" t="n">
        <v>1072</v>
      </c>
      <c r="N544" s="5" t="n">
        <v>30</v>
      </c>
      <c r="O544" s="5" t="n">
        <v>18</v>
      </c>
      <c r="P544" s="8">
        <f>IF(AND(M544&lt;&gt;"",M544&gt;0),M544+N544+O544,"")</f>
        <v/>
      </c>
      <c r="Q544" s="11">
        <f>IF(AND(L544&lt;&gt;"",L544&gt;0,P544&lt;&gt;""),P544/L544,"")</f>
        <v/>
      </c>
      <c r="R544" s="16">
        <f>IF(AND(P544&lt;&gt;"",P544&gt;0),(I544+J544+K544)/P544,"")</f>
        <v/>
      </c>
    </row>
    <row r="545" ht="27" customHeight="1">
      <c r="A545" s="5" t="inlineStr">
        <is>
          <t>2026-03-06</t>
        </is>
      </c>
      <c r="B545" s="5" t="inlineStr">
        <is>
          <t>10周</t>
        </is>
      </c>
      <c r="C545" s="5" t="inlineStr">
        <is>
          <t>抖音</t>
        </is>
      </c>
      <c r="D545" s="5" t="n"/>
      <c r="E545" s="5" t="n"/>
      <c r="F545" s="5" t="inlineStr">
        <is>
          <t>https://v.douyin.com/CfXepNrOpYo/ C@u.Sy</t>
        </is>
      </c>
      <c r="G545" s="5" t="inlineStr">
        <is>
          <t>0002A1</t>
        </is>
      </c>
      <c r="H545" s="5" t="inlineStr">
        <is>
          <t>穿搭</t>
        </is>
      </c>
      <c r="I545" s="5" t="n"/>
      <c r="J545" s="5" t="n"/>
      <c r="K545" s="5" t="n">
        <v>110.5</v>
      </c>
      <c r="L545" s="5" t="n">
        <v>21000</v>
      </c>
      <c r="M545" s="5" t="n">
        <v>1451</v>
      </c>
      <c r="N545" s="5" t="n">
        <v>2448</v>
      </c>
      <c r="O545" s="5" t="n">
        <v>49</v>
      </c>
      <c r="P545" s="8">
        <f>IF(AND(M545&lt;&gt;"",M545&gt;0),M545+N545+O545,"")</f>
        <v/>
      </c>
      <c r="Q545" s="11">
        <f>IF(AND(L545&lt;&gt;"",L545&gt;0,P545&lt;&gt;""),P545/L545,"")</f>
        <v/>
      </c>
      <c r="R545" s="16">
        <f>IF(AND(P545&lt;&gt;"",P545&gt;0),(I545+J545+K545)/P545,"")</f>
        <v/>
      </c>
    </row>
    <row r="546" ht="27" customHeight="1">
      <c r="A546" s="5" t="inlineStr">
        <is>
          <t>2026-03-06</t>
        </is>
      </c>
      <c r="B546" s="5" t="inlineStr">
        <is>
          <t>10周</t>
        </is>
      </c>
      <c r="C546" s="5" t="inlineStr">
        <is>
          <t>抖音</t>
        </is>
      </c>
      <c r="D546" s="5" t="n"/>
      <c r="E546" s="5" t="n"/>
      <c r="F546" s="5" t="inlineStr">
        <is>
          <t>https://v.douyin.com/tZBIpb10Klk/</t>
        </is>
      </c>
      <c r="G546" s="5" t="inlineStr">
        <is>
          <t>0002A1</t>
        </is>
      </c>
      <c r="H546" s="5" t="inlineStr">
        <is>
          <t>穆祉丞</t>
        </is>
      </c>
      <c r="I546" s="5" t="n"/>
      <c r="J546" s="5" t="n"/>
      <c r="K546" s="5" t="n">
        <v>110.5</v>
      </c>
      <c r="L546" s="5" t="n">
        <v>19000</v>
      </c>
      <c r="M546" s="5" t="n">
        <v>1278</v>
      </c>
      <c r="N546" s="5" t="n">
        <v>25</v>
      </c>
      <c r="O546" s="5" t="n">
        <v>41</v>
      </c>
      <c r="P546" s="8">
        <f>IF(AND(M546&lt;&gt;"",M546&gt;0),M546+N546+O546,"")</f>
        <v/>
      </c>
      <c r="Q546" s="11">
        <f>IF(AND(L546&lt;&gt;"",L546&gt;0,P546&lt;&gt;""),P546/L546,"")</f>
        <v/>
      </c>
      <c r="R546" s="16">
        <f>IF(AND(P546&lt;&gt;"",P546&gt;0),(I546+J546+K546)/P546,"")</f>
        <v/>
      </c>
    </row>
    <row r="547" ht="27" customHeight="1">
      <c r="A547" s="5" t="inlineStr">
        <is>
          <t>2026-03-06</t>
        </is>
      </c>
      <c r="B547" s="5" t="inlineStr">
        <is>
          <t>10周</t>
        </is>
      </c>
      <c r="C547" s="5" t="inlineStr">
        <is>
          <t>抖音</t>
        </is>
      </c>
      <c r="D547" s="5" t="n"/>
      <c r="E547" s="5" t="n"/>
      <c r="F547" s="5" t="inlineStr">
        <is>
          <t>https://v.douyin.com/G-liTwr82EY/</t>
        </is>
      </c>
      <c r="G547" s="5" t="inlineStr">
        <is>
          <t>0002A1</t>
        </is>
      </c>
      <c r="H547" s="5" t="inlineStr">
        <is>
          <t>穆祉丞</t>
        </is>
      </c>
      <c r="I547" s="5" t="n"/>
      <c r="J547" s="5" t="n"/>
      <c r="K547" s="5" t="n">
        <v>110.5</v>
      </c>
      <c r="L547" s="5" t="n">
        <v>4988</v>
      </c>
      <c r="M547" s="5" t="n">
        <v>550</v>
      </c>
      <c r="N547" s="5" t="n">
        <v>3</v>
      </c>
      <c r="O547" s="5" t="n">
        <v>46</v>
      </c>
      <c r="P547" s="8">
        <f>IF(AND(M547&lt;&gt;"",M547&gt;0),M547+N547+O547,"")</f>
        <v/>
      </c>
      <c r="Q547" s="11">
        <f>IF(AND(L547&lt;&gt;"",L547&gt;0,P547&lt;&gt;""),P547/L547,"")</f>
        <v/>
      </c>
      <c r="R547" s="16">
        <f>IF(AND(P547&lt;&gt;"",P547&gt;0),(I547+J547+K547)/P547,"")</f>
        <v/>
      </c>
    </row>
    <row r="548" ht="67.5" customHeight="1">
      <c r="A548" s="5" t="inlineStr">
        <is>
          <t>2026-03-06</t>
        </is>
      </c>
      <c r="B548" s="5" t="inlineStr">
        <is>
          <t>10周</t>
        </is>
      </c>
      <c r="C548" s="5" t="inlineStr">
        <is>
          <t>小红书</t>
        </is>
      </c>
      <c r="D548" s="5" t="n"/>
      <c r="E548" s="5" t="n"/>
      <c r="F548" s="5" t="inlineStr">
        <is>
          <t>https://www.xiaohongshu.com/discovery/item/69aa698f000000001502087c?xsec_token=CBBu5AzOFuvBgxod5LjmrV1zx_CHLFRN6Lq9mkoIztICs=&amp;xsec_source=app_share</t>
        </is>
      </c>
      <c r="G548" s="5" t="inlineStr">
        <is>
          <t>0002A1</t>
        </is>
      </c>
      <c r="H548" s="5" t="inlineStr">
        <is>
          <t>穿搭</t>
        </is>
      </c>
      <c r="I548" s="5" t="n"/>
      <c r="J548" s="5" t="n"/>
      <c r="K548" s="5" t="n">
        <v>110.5</v>
      </c>
      <c r="L548" s="5" t="n">
        <v>150</v>
      </c>
      <c r="M548" s="5" t="n">
        <v>9</v>
      </c>
      <c r="N548" s="5" t="n">
        <v>0</v>
      </c>
      <c r="O548" s="5" t="n">
        <v>2</v>
      </c>
      <c r="P548" s="8">
        <f>IF(AND(M548&lt;&gt;"",M548&gt;0),M548+N548+O548,"")</f>
        <v/>
      </c>
      <c r="Q548" s="11">
        <f>IF(AND(L548&lt;&gt;"",L548&gt;0,P548&lt;&gt;""),P548/L548,"")</f>
        <v/>
      </c>
      <c r="R548" s="16">
        <f>IF(AND(P548&lt;&gt;"",P548&gt;0),(I548+J548+K548)/P548,"")</f>
        <v/>
      </c>
    </row>
    <row r="549" ht="81" customHeight="1">
      <c r="A549" s="5" t="inlineStr">
        <is>
          <t>2026-03-06</t>
        </is>
      </c>
      <c r="B549" s="5" t="inlineStr">
        <is>
          <t>10周</t>
        </is>
      </c>
      <c r="C549" s="5" t="inlineStr">
        <is>
          <t>小红书</t>
        </is>
      </c>
      <c r="D549" s="5" t="n"/>
      <c r="E549" s="5" t="n"/>
      <c r="F549" s="5" t="inlineStr">
        <is>
          <t>https://www.xiaohongshu.com/discovery/item/69aaa6e9000000001d0101ce?xsec_token=CBBu5AzOFuvBgxod5LjmrV104NzdwJ5ktx11MIoKgVF6s=&amp;xsec_source=app_share&amp;type=video</t>
        </is>
      </c>
      <c r="G549" s="5" t="inlineStr">
        <is>
          <t>0002A1</t>
        </is>
      </c>
      <c r="H549" s="5" t="inlineStr">
        <is>
          <t>口播</t>
        </is>
      </c>
      <c r="I549" s="5" t="n">
        <v>500</v>
      </c>
      <c r="J549" s="5" t="n"/>
      <c r="K549" s="5" t="n">
        <v>110.5</v>
      </c>
      <c r="L549" s="5" t="n">
        <v>241190</v>
      </c>
      <c r="M549" s="5" t="n">
        <v>10079</v>
      </c>
      <c r="N549" s="5" t="n">
        <v>4420</v>
      </c>
      <c r="O549" s="5" t="n">
        <v>437</v>
      </c>
      <c r="P549" s="8">
        <f>IF(AND(M549&lt;&gt;"",M549&gt;0),M549+N549+O549,"")</f>
        <v/>
      </c>
      <c r="Q549" s="11">
        <f>IF(AND(L549&lt;&gt;"",L549&gt;0,P549&lt;&gt;""),P549/L549,"")</f>
        <v/>
      </c>
      <c r="R549" s="16">
        <f>IF(AND(P549&lt;&gt;"",P549&gt;0),(I549+J549+K549)/P549,"")</f>
        <v/>
      </c>
    </row>
    <row r="550" ht="81" customHeight="1">
      <c r="A550" s="5" t="inlineStr">
        <is>
          <t>2026-03-06</t>
        </is>
      </c>
      <c r="B550" s="5" t="inlineStr">
        <is>
          <t>10周</t>
        </is>
      </c>
      <c r="C550" s="5" t="inlineStr">
        <is>
          <t>小红书</t>
        </is>
      </c>
      <c r="D550" s="5" t="n"/>
      <c r="E550" s="5" t="n"/>
      <c r="F550" s="5" t="inlineStr">
        <is>
          <t>https://www.xiaohongshu.com/discovery/item/69aac73f000000001b015ea7?xsec_token=CBBu5AzOFuvBgxod5LjmrV12nd1HrNceYgvoYD3shh3TQ=&amp;xsec_source=app_share&amp;type=video</t>
        </is>
      </c>
      <c r="G550" s="5" t="inlineStr">
        <is>
          <t>495</t>
        </is>
      </c>
      <c r="H550" s="5" t="inlineStr">
        <is>
          <t>口播</t>
        </is>
      </c>
      <c r="I550" s="5" t="n">
        <v>300</v>
      </c>
      <c r="J550" s="5" t="n"/>
      <c r="K550" s="5" t="n">
        <v>93</v>
      </c>
      <c r="L550" s="5" t="n">
        <v>28197</v>
      </c>
      <c r="M550" s="5" t="n">
        <v>2138</v>
      </c>
      <c r="N550" s="5" t="n">
        <v>684</v>
      </c>
      <c r="O550" s="5" t="n">
        <v>181</v>
      </c>
      <c r="P550" s="8">
        <f>IF(AND(M550&lt;&gt;"",M550&gt;0),M550+N550+O550,"")</f>
        <v/>
      </c>
      <c r="Q550" s="11">
        <f>IF(AND(L550&lt;&gt;"",L550&gt;0,P550&lt;&gt;""),P550/L550,"")</f>
        <v/>
      </c>
      <c r="R550" s="16">
        <f>IF(AND(P550&lt;&gt;"",P550&gt;0),(I550+J550+K550)/P550,"")</f>
        <v/>
      </c>
    </row>
    <row r="551" ht="67.5" customHeight="1">
      <c r="A551" s="5" t="inlineStr">
        <is>
          <t>2026-03-07</t>
        </is>
      </c>
      <c r="B551" s="5" t="inlineStr">
        <is>
          <t>10周</t>
        </is>
      </c>
      <c r="C551" s="5" t="inlineStr">
        <is>
          <t>抖音</t>
        </is>
      </c>
      <c r="D551" s="5" t="n"/>
      <c r="E551" s="5" t="n"/>
      <c r="F551" s="5" t="inlineStr">
        <is>
          <t>https://www.douyin.com/user/MS4wLjABAAAA_O-VF6KYrvIwpgUVMqf2a0-LWvhvXBTI-OF3I4qG1l2bdsVN9hjqXV8Ct0Gea2L1?modal_id=7614496035838248802</t>
        </is>
      </c>
      <c r="G551" s="5" t="inlineStr">
        <is>
          <t>495</t>
        </is>
      </c>
      <c r="H551" s="5" t="inlineStr">
        <is>
          <t>穿搭</t>
        </is>
      </c>
      <c r="I551" s="5" t="n">
        <v>160</v>
      </c>
      <c r="J551" s="5" t="n"/>
      <c r="K551" s="5" t="n">
        <v>93</v>
      </c>
      <c r="L551" s="5" t="n">
        <v>5789</v>
      </c>
      <c r="M551" s="5" t="n">
        <v>720</v>
      </c>
      <c r="N551" s="5" t="n">
        <v>32</v>
      </c>
      <c r="O551" s="5" t="n">
        <v>10</v>
      </c>
      <c r="P551" s="8">
        <f>IF(AND(M551&lt;&gt;"",M551&gt;0),M551+N551+O551,"")</f>
        <v/>
      </c>
      <c r="Q551" s="11">
        <f>IF(AND(L551&lt;&gt;"",L551&gt;0,P551&lt;&gt;""),P551/L551,"")</f>
        <v/>
      </c>
      <c r="R551" s="16">
        <f>IF(AND(P551&lt;&gt;"",P551&gt;0),(I551+J551+K551)/P551,"")</f>
        <v/>
      </c>
    </row>
    <row r="552" ht="27" customHeight="1">
      <c r="A552" s="5" t="inlineStr">
        <is>
          <t>2026-03-07</t>
        </is>
      </c>
      <c r="B552" s="5" t="inlineStr">
        <is>
          <t>10周</t>
        </is>
      </c>
      <c r="C552" s="5" t="inlineStr">
        <is>
          <t>抖音</t>
        </is>
      </c>
      <c r="D552" s="5" t="n"/>
      <c r="E552" s="5" t="n"/>
      <c r="F552" s="5" t="inlineStr">
        <is>
          <t>https://v.douyin.com/6YspN6bBqkc/</t>
        </is>
      </c>
      <c r="G552" s="5" t="inlineStr">
        <is>
          <t>0001A1</t>
        </is>
      </c>
      <c r="H552" s="5" t="inlineStr">
        <is>
          <t>穿搭</t>
        </is>
      </c>
      <c r="I552" s="5" t="n"/>
      <c r="J552" s="5" t="n"/>
      <c r="K552" s="5" t="n">
        <v>107.5</v>
      </c>
      <c r="L552" s="5" t="n">
        <v>73000</v>
      </c>
      <c r="M552" s="5" t="n">
        <v>5172</v>
      </c>
      <c r="N552" s="5" t="n">
        <v>405</v>
      </c>
      <c r="O552" s="5" t="n">
        <v>74</v>
      </c>
      <c r="P552" s="8">
        <f>IF(AND(M552&lt;&gt;"",M552&gt;0),M552+N552+O552,"")</f>
        <v/>
      </c>
      <c r="Q552" s="11">
        <f>IF(AND(L552&lt;&gt;"",L552&gt;0,P552&lt;&gt;""),P552/L552,"")</f>
        <v/>
      </c>
      <c r="R552" s="16">
        <f>IF(AND(P552&lt;&gt;"",P552&gt;0),(I552+J552+K552)/P552,"")</f>
        <v/>
      </c>
    </row>
    <row r="553" ht="27" customHeight="1">
      <c r="A553" s="5" t="inlineStr">
        <is>
          <t>2026-03-07</t>
        </is>
      </c>
      <c r="B553" s="5" t="inlineStr">
        <is>
          <t>10周</t>
        </is>
      </c>
      <c r="C553" s="5" t="inlineStr">
        <is>
          <t>抖音</t>
        </is>
      </c>
      <c r="D553" s="5" t="n"/>
      <c r="E553" s="5" t="n"/>
      <c r="F553" s="5" t="inlineStr">
        <is>
          <t>https://v.douyin.com/6wWOashunKc/</t>
        </is>
      </c>
      <c r="G553" s="5" t="inlineStr">
        <is>
          <t>0002A1</t>
        </is>
      </c>
      <c r="H553" s="5" t="inlineStr">
        <is>
          <t>刘耀文</t>
        </is>
      </c>
      <c r="I553" s="5" t="n"/>
      <c r="J553" s="5" t="n"/>
      <c r="K553" s="5" t="n">
        <v>110.5</v>
      </c>
      <c r="L553" s="5" t="n">
        <v>12000</v>
      </c>
      <c r="M553" s="5" t="n">
        <v>489</v>
      </c>
      <c r="N553" s="5" t="n">
        <v>126</v>
      </c>
      <c r="O553" s="5" t="n">
        <v>107</v>
      </c>
      <c r="P553" s="8">
        <f>IF(AND(M553&lt;&gt;"",M553&gt;0),M553+N553+O553,"")</f>
        <v/>
      </c>
      <c r="Q553" s="11">
        <f>IF(AND(L553&lt;&gt;"",L553&gt;0,P553&lt;&gt;""),P553/L553,"")</f>
        <v/>
      </c>
      <c r="R553" s="16">
        <f>IF(AND(P553&lt;&gt;"",P553&gt;0),(I553+J553+K553)/P553,"")</f>
        <v/>
      </c>
    </row>
    <row r="554" ht="67.5" customHeight="1">
      <c r="A554" s="5" t="inlineStr">
        <is>
          <t>2026-03-07</t>
        </is>
      </c>
      <c r="B554" s="5" t="inlineStr">
        <is>
          <t>10周</t>
        </is>
      </c>
      <c r="C554" s="5" t="inlineStr">
        <is>
          <t>抖音</t>
        </is>
      </c>
      <c r="D554" s="5" t="n"/>
      <c r="E554" s="5" t="n"/>
      <c r="F554" s="5" t="inlineStr">
        <is>
          <t>https://www.douyin.com/user/MS4wLjABAAAAcKVEceAw629IDYL9bQe8nB7_yzUfeEx1KSxjt6WsYj4?from_tab_name=main&amp;modal_id=7614194973826718390</t>
        </is>
      </c>
      <c r="G554" s="5" t="inlineStr">
        <is>
          <t>0002A1</t>
        </is>
      </c>
      <c r="H554" s="5" t="inlineStr">
        <is>
          <t>开箱</t>
        </is>
      </c>
      <c r="I554" s="5" t="n">
        <v>500</v>
      </c>
      <c r="J554" s="5" t="n"/>
      <c r="K554" s="5" t="n">
        <v>110.5</v>
      </c>
      <c r="L554" s="5" t="n">
        <v>6985</v>
      </c>
      <c r="M554" s="5" t="n">
        <v>393</v>
      </c>
      <c r="N554" s="5" t="n">
        <v>101</v>
      </c>
      <c r="O554" s="5" t="n">
        <v>59</v>
      </c>
      <c r="P554" s="8">
        <f>IF(AND(M554&lt;&gt;"",M554&gt;0),M554+N554+O554,"")</f>
        <v/>
      </c>
      <c r="Q554" s="11">
        <f>IF(AND(L554&lt;&gt;"",L554&gt;0,P554&lt;&gt;""),P554/L554,"")</f>
        <v/>
      </c>
      <c r="R554" s="16">
        <f>IF(AND(P554&lt;&gt;"",P554&gt;0),(I554+J554+K554)/P554,"")</f>
        <v/>
      </c>
    </row>
    <row r="555" ht="27" customHeight="1">
      <c r="A555" s="5" t="inlineStr">
        <is>
          <t>2026-03-07</t>
        </is>
      </c>
      <c r="B555" s="5" t="inlineStr">
        <is>
          <t>10周</t>
        </is>
      </c>
      <c r="C555" s="5" t="inlineStr">
        <is>
          <t>抖音</t>
        </is>
      </c>
      <c r="D555" s="5" t="n"/>
      <c r="E555" s="5" t="n"/>
      <c r="F555" s="5" t="inlineStr">
        <is>
          <t>https://v.douyin.com/x8dQd1QRe5w/</t>
        </is>
      </c>
      <c r="G555" s="5" t="inlineStr">
        <is>
          <t>0001A1</t>
        </is>
      </c>
      <c r="H555" s="5" t="inlineStr">
        <is>
          <t>口播</t>
        </is>
      </c>
      <c r="I555" s="5" t="n"/>
      <c r="J555" s="5" t="n"/>
      <c r="K555" s="5" t="n">
        <v>107.5</v>
      </c>
      <c r="L555" s="5" t="n">
        <v>10000</v>
      </c>
      <c r="M555" s="5" t="n">
        <v>648</v>
      </c>
      <c r="N555" s="5" t="n">
        <v>17</v>
      </c>
      <c r="O555" s="5" t="n">
        <v>49</v>
      </c>
      <c r="P555" s="8">
        <f>IF(AND(M555&lt;&gt;"",M555&gt;0),M555+N555+O555,"")</f>
        <v/>
      </c>
      <c r="Q555" s="11">
        <f>IF(AND(L555&lt;&gt;"",L555&gt;0,P555&lt;&gt;""),P555/L555,"")</f>
        <v/>
      </c>
      <c r="R555" s="16">
        <f>IF(AND(P555&lt;&gt;"",P555&gt;0),(I555+J555+K555)/P555,"")</f>
        <v/>
      </c>
    </row>
    <row r="556" ht="27" customHeight="1">
      <c r="A556" s="5" t="inlineStr">
        <is>
          <t>2026-03-07</t>
        </is>
      </c>
      <c r="B556" s="5" t="inlineStr">
        <is>
          <t>10周</t>
        </is>
      </c>
      <c r="C556" s="5" t="inlineStr">
        <is>
          <t>抖音</t>
        </is>
      </c>
      <c r="D556" s="5" t="n"/>
      <c r="E556" s="5" t="n"/>
      <c r="F556" s="5" t="inlineStr">
        <is>
          <t>https://v.douyin.com/WzR_2UKd3oQ/</t>
        </is>
      </c>
      <c r="G556" s="5" t="inlineStr">
        <is>
          <t>0002A1</t>
        </is>
      </c>
      <c r="H556" s="5" t="inlineStr">
        <is>
          <t>穿搭</t>
        </is>
      </c>
      <c r="I556" s="5" t="n"/>
      <c r="J556" s="5" t="n"/>
      <c r="K556" s="5" t="n">
        <v>110.5</v>
      </c>
      <c r="L556" s="5" t="n">
        <v>9657</v>
      </c>
      <c r="M556" s="5" t="n">
        <v>539</v>
      </c>
      <c r="N556" s="5" t="n">
        <v>22</v>
      </c>
      <c r="O556" s="5" t="n">
        <v>43</v>
      </c>
      <c r="P556" s="8">
        <f>IF(AND(M556&lt;&gt;"",M556&gt;0),M556+N556+O556,"")</f>
        <v/>
      </c>
      <c r="Q556" s="11">
        <f>IF(AND(L556&lt;&gt;"",L556&gt;0,P556&lt;&gt;""),P556/L556,"")</f>
        <v/>
      </c>
      <c r="R556" s="16">
        <f>IF(AND(P556&lt;&gt;"",P556&gt;0),(I556+J556+K556)/P556,"")</f>
        <v/>
      </c>
    </row>
    <row r="557" ht="27" customHeight="1">
      <c r="A557" s="5" t="inlineStr">
        <is>
          <t>2026-03-07</t>
        </is>
      </c>
      <c r="B557" s="5" t="inlineStr">
        <is>
          <t>10周</t>
        </is>
      </c>
      <c r="C557" s="5" t="inlineStr">
        <is>
          <t>抖音</t>
        </is>
      </c>
      <c r="D557" s="5" t="n"/>
      <c r="E557" s="5" t="n"/>
      <c r="F557" s="5" t="inlineStr">
        <is>
          <t>https://v.douyin.com/S2VrAd7dG2I/ m@Q.Xm</t>
        </is>
      </c>
      <c r="G557" s="5" t="inlineStr">
        <is>
          <t>0002A1</t>
        </is>
      </c>
      <c r="H557" s="5" t="inlineStr">
        <is>
          <t>穿搭</t>
        </is>
      </c>
      <c r="I557" s="5" t="n"/>
      <c r="J557" s="5" t="n"/>
      <c r="K557" s="5" t="n">
        <v>110.5</v>
      </c>
      <c r="L557" s="5" t="n">
        <v>9823</v>
      </c>
      <c r="M557" s="5" t="n">
        <v>418</v>
      </c>
      <c r="N557" s="5" t="n">
        <v>77</v>
      </c>
      <c r="O557" s="5" t="n">
        <v>10</v>
      </c>
      <c r="P557" s="8">
        <f>IF(AND(M557&lt;&gt;"",M557&gt;0),M557+N557+O557,"")</f>
        <v/>
      </c>
      <c r="Q557" s="11">
        <f>IF(AND(L557&lt;&gt;"",L557&gt;0,P557&lt;&gt;""),P557/L557,"")</f>
        <v/>
      </c>
      <c r="R557" s="16">
        <f>IF(AND(P557&lt;&gt;"",P557&gt;0),(I557+J557+K557)/P557,"")</f>
        <v/>
      </c>
    </row>
    <row r="558" ht="67.5" customHeight="1">
      <c r="A558" s="5" t="inlineStr">
        <is>
          <t>2026-03-07</t>
        </is>
      </c>
      <c r="B558" s="5" t="inlineStr">
        <is>
          <t>10周</t>
        </is>
      </c>
      <c r="C558" s="5" t="inlineStr">
        <is>
          <t>小红书</t>
        </is>
      </c>
      <c r="D558" s="5" t="n"/>
      <c r="E558" s="5" t="n"/>
      <c r="F558" s="5" t="inlineStr">
        <is>
          <t>https://www.xiaohongshu.com/discovery/item/69abd137000000000d0099c5?xsec_token=CBonYcOGmLK1a_zKV9npT2UP1iRg8tkQBBFv3i1xp57GI=&amp;xsec_source=app_share</t>
        </is>
      </c>
      <c r="G558" s="5" t="inlineStr">
        <is>
          <t>0002A1</t>
        </is>
      </c>
      <c r="H558" s="5" t="inlineStr">
        <is>
          <t>穿搭</t>
        </is>
      </c>
      <c r="I558" s="5" t="n"/>
      <c r="J558" s="5" t="n"/>
      <c r="K558" s="5" t="n">
        <v>110.5</v>
      </c>
      <c r="L558" s="5" t="n">
        <v>2616</v>
      </c>
      <c r="M558" s="5" t="n">
        <v>175</v>
      </c>
      <c r="N558" s="5" t="n">
        <v>55</v>
      </c>
      <c r="O558" s="5" t="n">
        <v>3</v>
      </c>
      <c r="P558" s="8">
        <f>IF(AND(M558&lt;&gt;"",M558&gt;0),M558+N558+O558,"")</f>
        <v/>
      </c>
      <c r="Q558" s="11">
        <f>IF(AND(L558&lt;&gt;"",L558&gt;0,P558&lt;&gt;""),P558/L558,"")</f>
        <v/>
      </c>
      <c r="R558" s="16">
        <f>IF(AND(P558&lt;&gt;"",P558&gt;0),(I558+J558+K558)/P558,"")</f>
        <v/>
      </c>
    </row>
    <row r="559" ht="81" customHeight="1">
      <c r="A559" s="5" t="inlineStr">
        <is>
          <t>2026-03-07</t>
        </is>
      </c>
      <c r="B559" s="5" t="inlineStr">
        <is>
          <t>10周</t>
        </is>
      </c>
      <c r="C559" s="5" t="inlineStr">
        <is>
          <t>小红书</t>
        </is>
      </c>
      <c r="D559" s="5" t="n"/>
      <c r="E559" s="5" t="n"/>
      <c r="F559" s="5" t="inlineStr">
        <is>
          <t>https://www.xiaohongshu.com/discovery/item/69aab20e000000002203b10b?xsec_token=CBBu5AzOFuvBgxod5LjmrV1ziPcNfngsMAelUGIR90jPM=&amp;xsec_source=app_share&amp;type=video</t>
        </is>
      </c>
      <c r="G559" s="5" t="inlineStr">
        <is>
          <t>0001A1</t>
        </is>
      </c>
      <c r="H559" s="5" t="inlineStr">
        <is>
          <t>口播</t>
        </is>
      </c>
      <c r="I559" s="5" t="n">
        <v>200</v>
      </c>
      <c r="J559" s="5" t="n"/>
      <c r="K559" s="5" t="n">
        <v>107.5</v>
      </c>
      <c r="L559" s="5" t="n">
        <v>14463</v>
      </c>
      <c r="M559" s="5" t="n">
        <v>788</v>
      </c>
      <c r="N559" s="5" t="n">
        <v>54</v>
      </c>
      <c r="O559" s="5" t="n">
        <v>105</v>
      </c>
      <c r="P559" s="8">
        <f>IF(AND(M559&lt;&gt;"",M559&gt;0),M559+N559+O559,"")</f>
        <v/>
      </c>
      <c r="Q559" s="11">
        <f>IF(AND(L559&lt;&gt;"",L559&gt;0,P559&lt;&gt;""),P559/L559,"")</f>
        <v/>
      </c>
      <c r="R559" s="16">
        <f>IF(AND(P559&lt;&gt;"",P559&gt;0),(I559+J559+K559)/P559,"")</f>
        <v/>
      </c>
    </row>
    <row r="560" ht="81" customHeight="1">
      <c r="A560" s="5" t="inlineStr">
        <is>
          <t>2026-03-07</t>
        </is>
      </c>
      <c r="B560" s="5" t="inlineStr">
        <is>
          <t>10周</t>
        </is>
      </c>
      <c r="C560" s="5" t="inlineStr">
        <is>
          <t>小红书</t>
        </is>
      </c>
      <c r="D560" s="5" t="n"/>
      <c r="E560" s="5" t="n"/>
      <c r="F560" s="5" t="inlineStr">
        <is>
          <t>https://www.xiaohongshu.com/discovery/item/69ac2039000000002603ef8e?xsec_token=CBHWYo4z2s98bQFs2vIU-ciXfa-L5Xfz-lwM1M59ExRIM=&amp;xsec_source=app_share&amp;type=video</t>
        </is>
      </c>
      <c r="G560" s="5" t="inlineStr">
        <is>
          <t>0002A1</t>
        </is>
      </c>
      <c r="H560" s="5" t="inlineStr">
        <is>
          <t>穆祉丞</t>
        </is>
      </c>
      <c r="I560" s="5" t="n"/>
      <c r="J560" s="5" t="n"/>
      <c r="K560" s="5" t="n">
        <v>110.5</v>
      </c>
      <c r="L560" s="5" t="n">
        <v>14443</v>
      </c>
      <c r="M560" s="5" t="n">
        <v>891</v>
      </c>
      <c r="N560" s="5" t="n">
        <v>280</v>
      </c>
      <c r="O560" s="5" t="n">
        <v>65</v>
      </c>
      <c r="P560" s="8">
        <f>IF(AND(M560&lt;&gt;"",M560&gt;0),M560+N560+O560,"")</f>
        <v/>
      </c>
      <c r="Q560" s="11">
        <f>IF(AND(L560&lt;&gt;"",L560&gt;0,P560&lt;&gt;""),P560/L560,"")</f>
        <v/>
      </c>
      <c r="R560" s="16">
        <f>IF(AND(P560&lt;&gt;"",P560&gt;0),(I560+J560+K560)/P560,"")</f>
        <v/>
      </c>
    </row>
    <row r="561" ht="81" customHeight="1">
      <c r="A561" s="5" t="inlineStr">
        <is>
          <t>2026-03-07</t>
        </is>
      </c>
      <c r="B561" s="5" t="inlineStr">
        <is>
          <t>10周</t>
        </is>
      </c>
      <c r="C561" s="5" t="inlineStr">
        <is>
          <t>小红书</t>
        </is>
      </c>
      <c r="D561" s="5" t="n"/>
      <c r="E561" s="5" t="n"/>
      <c r="F561" s="5" t="inlineStr">
        <is>
          <t>https://www.xiaohongshu.com/discovery/item/69ac2549000000000e00d27c?xsec_token=CBHWYo4z2s98bQFs2vIU-ciRw85nJKYBirHOBHdoxqrm0=&amp;xsec_source=app_share</t>
        </is>
      </c>
      <c r="G561" s="5" t="inlineStr">
        <is>
          <t>0002A1</t>
        </is>
      </c>
      <c r="H561" s="5" t="inlineStr">
        <is>
          <t>穿搭</t>
        </is>
      </c>
      <c r="I561" s="5" t="n"/>
      <c r="J561" s="5" t="n"/>
      <c r="K561" s="5" t="n">
        <v>110.5</v>
      </c>
      <c r="L561" s="5" t="n">
        <v>361</v>
      </c>
      <c r="M561" s="5" t="n">
        <v>11</v>
      </c>
      <c r="N561" s="5" t="n">
        <v>4</v>
      </c>
      <c r="O561" s="5" t="n">
        <v>5</v>
      </c>
      <c r="P561" s="8">
        <f>IF(AND(M561&lt;&gt;"",M561&gt;0),M561+N561+O561,"")</f>
        <v/>
      </c>
      <c r="Q561" s="11">
        <f>IF(AND(L561&lt;&gt;"",L561&gt;0,P561&lt;&gt;""),P561/L561,"")</f>
        <v/>
      </c>
      <c r="R561" s="16">
        <f>IF(AND(P561&lt;&gt;"",P561&gt;0),(I561+J561+K561)/P561,"")</f>
        <v/>
      </c>
    </row>
    <row r="562" ht="81" customHeight="1">
      <c r="A562" s="5" t="inlineStr">
        <is>
          <t>2026-03-07</t>
        </is>
      </c>
      <c r="B562" s="5" t="inlineStr">
        <is>
          <t>10周</t>
        </is>
      </c>
      <c r="C562" s="5" t="inlineStr">
        <is>
          <t>小红书</t>
        </is>
      </c>
      <c r="D562" s="5" t="n"/>
      <c r="E562" s="5" t="n"/>
      <c r="F562" s="5" t="inlineStr">
        <is>
          <t>https://www.xiaohongshu.com/discovery/item/69ac43da000000002203a8e8?xsec_token=CBHWYo4z2s98bQFs2vIU-ciU3GJiyqClPdK7lhDh7jbHI=&amp;xsec_source=app_share&amp;type=video</t>
        </is>
      </c>
      <c r="G562" s="5" t="inlineStr">
        <is>
          <t>0002A1</t>
        </is>
      </c>
      <c r="H562" s="5" t="inlineStr">
        <is>
          <t>口播</t>
        </is>
      </c>
      <c r="I562" s="5" t="n">
        <v>400</v>
      </c>
      <c r="J562" s="5" t="n"/>
      <c r="K562" s="5" t="n">
        <v>110.5</v>
      </c>
      <c r="L562" s="5" t="n">
        <v>6816</v>
      </c>
      <c r="M562" s="5" t="n">
        <v>1184</v>
      </c>
      <c r="N562" s="5" t="n">
        <v>310</v>
      </c>
      <c r="O562" s="5" t="n">
        <v>127</v>
      </c>
      <c r="P562" s="8">
        <f>IF(AND(M562&lt;&gt;"",M562&gt;0),M562+N562+O562,"")</f>
        <v/>
      </c>
      <c r="Q562" s="11">
        <f>IF(AND(L562&lt;&gt;"",L562&gt;0,P562&lt;&gt;""),P562/L562,"")</f>
        <v/>
      </c>
      <c r="R562" s="16">
        <f>IF(AND(P562&lt;&gt;"",P562&gt;0),(I562+J562+K562)/P562,"")</f>
        <v/>
      </c>
    </row>
    <row r="563" ht="27" customHeight="1">
      <c r="A563" s="5" t="inlineStr">
        <is>
          <t>2026-03-08</t>
        </is>
      </c>
      <c r="B563" s="5" t="inlineStr">
        <is>
          <t>10周</t>
        </is>
      </c>
      <c r="C563" s="5" t="inlineStr">
        <is>
          <t>抖音</t>
        </is>
      </c>
      <c r="D563" s="5" t="n"/>
      <c r="E563" s="5" t="n"/>
      <c r="F563" s="5" t="inlineStr">
        <is>
          <t>https://v.douyin.com/IJ6YOyt_2vc/</t>
        </is>
      </c>
      <c r="G563" s="5" t="inlineStr">
        <is>
          <t>1225</t>
        </is>
      </c>
      <c r="H563" s="5" t="inlineStr">
        <is>
          <t>学生</t>
        </is>
      </c>
      <c r="I563" s="5" t="n"/>
      <c r="J563" s="5" t="n"/>
      <c r="K563" s="5" t="n">
        <v>55.5</v>
      </c>
      <c r="L563" s="5" t="n">
        <v>26000</v>
      </c>
      <c r="M563" s="5" t="n">
        <v>4619</v>
      </c>
      <c r="N563" s="5" t="n">
        <v>267</v>
      </c>
      <c r="O563" s="5" t="n">
        <v>33</v>
      </c>
      <c r="P563" s="8">
        <f>IF(AND(M563&lt;&gt;"",M563&gt;0),M563+N563+O563,"")</f>
        <v/>
      </c>
      <c r="Q563" s="11">
        <f>IF(AND(L563&lt;&gt;"",L563&gt;0,P563&lt;&gt;""),P563/L563,"")</f>
        <v/>
      </c>
      <c r="R563" s="16">
        <f>IF(AND(P563&lt;&gt;"",P563&gt;0),(I563+J563+K563)/P563,"")</f>
        <v/>
      </c>
    </row>
    <row r="564" ht="27" customHeight="1">
      <c r="A564" s="5" t="inlineStr">
        <is>
          <t>2026-03-08</t>
        </is>
      </c>
      <c r="B564" s="5" t="inlineStr">
        <is>
          <t>10周</t>
        </is>
      </c>
      <c r="C564" s="5" t="inlineStr">
        <is>
          <t>抖音</t>
        </is>
      </c>
      <c r="D564" s="5" t="n"/>
      <c r="E564" s="5" t="n"/>
      <c r="F564" s="5" t="inlineStr">
        <is>
          <t>https://v.douyin.com/B9bVQa0kbXc/</t>
        </is>
      </c>
      <c r="G564" s="5" t="inlineStr">
        <is>
          <t>0002A1</t>
        </is>
      </c>
      <c r="H564" s="5" t="inlineStr">
        <is>
          <t>穿搭</t>
        </is>
      </c>
      <c r="I564" s="5" t="n"/>
      <c r="J564" s="5" t="n"/>
      <c r="K564" s="5" t="n">
        <v>110.5</v>
      </c>
      <c r="L564" s="5" t="n">
        <v>180000</v>
      </c>
      <c r="M564" s="5" t="n">
        <v>8722</v>
      </c>
      <c r="N564" s="5" t="n">
        <v>1396</v>
      </c>
      <c r="O564" s="5" t="n">
        <v>126</v>
      </c>
      <c r="P564" s="8">
        <f>IF(AND(M564&lt;&gt;"",M564&gt;0),M564+N564+O564,"")</f>
        <v/>
      </c>
      <c r="Q564" s="11">
        <f>IF(AND(L564&lt;&gt;"",L564&gt;0,P564&lt;&gt;""),P564/L564,"")</f>
        <v/>
      </c>
      <c r="R564" s="16">
        <f>IF(AND(P564&lt;&gt;"",P564&gt;0),(I564+J564+K564)/P564,"")</f>
        <v/>
      </c>
    </row>
    <row r="565" ht="27" customHeight="1">
      <c r="A565" s="5" t="inlineStr">
        <is>
          <t>2026-03-08</t>
        </is>
      </c>
      <c r="B565" s="5" t="inlineStr">
        <is>
          <t>10周</t>
        </is>
      </c>
      <c r="C565" s="5" t="inlineStr">
        <is>
          <t>抖音</t>
        </is>
      </c>
      <c r="D565" s="5" t="n"/>
      <c r="E565" s="5" t="n"/>
      <c r="F565" s="5" t="inlineStr">
        <is>
          <t>https://v.douyin.com/Cb6NmJaouKo/</t>
        </is>
      </c>
      <c r="G565" s="5" t="inlineStr">
        <is>
          <t>495</t>
        </is>
      </c>
      <c r="H565" s="5" t="inlineStr">
        <is>
          <t>穿搭</t>
        </is>
      </c>
      <c r="I565" s="5" t="n">
        <v>200</v>
      </c>
      <c r="J565" s="5" t="n"/>
      <c r="K565" s="5" t="n">
        <v>93</v>
      </c>
      <c r="L565" s="5" t="n">
        <v>8926</v>
      </c>
      <c r="M565" s="5" t="n">
        <v>814</v>
      </c>
      <c r="N565" s="5" t="n">
        <v>146</v>
      </c>
      <c r="O565" s="5" t="n">
        <v>20</v>
      </c>
      <c r="P565" s="8">
        <f>IF(AND(M565&lt;&gt;"",M565&gt;0),M565+N565+O565,"")</f>
        <v/>
      </c>
      <c r="Q565" s="11">
        <f>IF(AND(L565&lt;&gt;"",L565&gt;0,P565&lt;&gt;""),P565/L565,"")</f>
        <v/>
      </c>
      <c r="R565" s="16">
        <f>IF(AND(P565&lt;&gt;"",P565&gt;0),(I565+J565+K565)/P565,"")</f>
        <v/>
      </c>
    </row>
    <row r="566" ht="81" customHeight="1">
      <c r="A566" s="5" t="inlineStr">
        <is>
          <t>2026-03-08</t>
        </is>
      </c>
      <c r="B566" s="5" t="inlineStr">
        <is>
          <t>10周</t>
        </is>
      </c>
      <c r="C566" s="5" t="inlineStr">
        <is>
          <t>小红书</t>
        </is>
      </c>
      <c r="D566" s="5" t="n"/>
      <c r="E566" s="5" t="n"/>
      <c r="F566" s="5" t="inlineStr">
        <is>
          <t>https://www.xiaohongshu.com/discovery/item/69ac40ac000000000d00a9ec?xsec_token=CBHWYo4z2s98bQFs2vIU-cifP_0UucmF9vX0T0p6EGoqc=&amp;xsec_source=app_share&amp;type=video</t>
        </is>
      </c>
      <c r="G566" s="5" t="inlineStr">
        <is>
          <t>0002A1</t>
        </is>
      </c>
      <c r="H566" s="5" t="inlineStr">
        <is>
          <t>刘耀文</t>
        </is>
      </c>
      <c r="I566" s="5" t="n"/>
      <c r="J566" s="5" t="n"/>
      <c r="K566" s="5" t="n">
        <v>110.5</v>
      </c>
      <c r="L566" s="5" t="n">
        <v>565</v>
      </c>
      <c r="M566" s="5" t="n">
        <v>32</v>
      </c>
      <c r="N566" s="5" t="n">
        <v>0</v>
      </c>
      <c r="O566" s="5" t="n">
        <v>7</v>
      </c>
      <c r="P566" s="8">
        <f>IF(AND(M566&lt;&gt;"",M566&gt;0),M566+N566+O566,"")</f>
        <v/>
      </c>
      <c r="Q566" s="11">
        <f>IF(AND(L566&lt;&gt;"",L566&gt;0,P566&lt;&gt;""),P566/L566,"")</f>
        <v/>
      </c>
      <c r="R566" s="16">
        <f>IF(AND(P566&lt;&gt;"",P566&gt;0),(I566+J566+K566)/P566,"")</f>
        <v/>
      </c>
    </row>
    <row r="567" ht="81" customHeight="1">
      <c r="A567" s="5" t="inlineStr">
        <is>
          <t>2026-03-08</t>
        </is>
      </c>
      <c r="B567" s="5" t="inlineStr">
        <is>
          <t>10周</t>
        </is>
      </c>
      <c r="C567" s="5" t="inlineStr">
        <is>
          <t>小红书</t>
        </is>
      </c>
      <c r="D567" s="5" t="n"/>
      <c r="E567" s="5" t="n"/>
      <c r="F567" s="5" t="inlineStr">
        <is>
          <t>https://www.xiaohongshu.com/discovery/item/69ad5fff0000000015031bdf?xsec_token=CBdTB1-Rg_SKZRHPBVtmNPReKga8A-QwQnWRvfwvosw5k=&amp;xsec_source=app_share&amp;type=video</t>
        </is>
      </c>
      <c r="G567" s="5" t="inlineStr">
        <is>
          <t>495</t>
        </is>
      </c>
      <c r="H567" s="5" t="inlineStr">
        <is>
          <t>穿搭</t>
        </is>
      </c>
      <c r="I567" s="5" t="n"/>
      <c r="J567" s="5" t="n"/>
      <c r="K567" s="5" t="n">
        <v>93</v>
      </c>
      <c r="L567" s="5" t="n">
        <v>988</v>
      </c>
      <c r="M567" s="5" t="n">
        <v>85</v>
      </c>
      <c r="N567" s="5" t="n">
        <v>11</v>
      </c>
      <c r="O567" s="5" t="n">
        <v>1</v>
      </c>
      <c r="P567" s="8">
        <f>IF(AND(M567&lt;&gt;"",M567&gt;0),M567+N567+O567,"")</f>
        <v/>
      </c>
      <c r="Q567" s="11">
        <f>IF(AND(L567&lt;&gt;"",L567&gt;0,P567&lt;&gt;""),P567/L567,"")</f>
        <v/>
      </c>
      <c r="R567" s="16">
        <f>IF(AND(P567&lt;&gt;"",P567&gt;0),(I567+J567+K567)/P567,"")</f>
        <v/>
      </c>
    </row>
    <row r="568" ht="27" customHeight="1">
      <c r="A568" s="5" t="inlineStr">
        <is>
          <t>2026-03-09</t>
        </is>
      </c>
      <c r="B568" s="5" t="inlineStr">
        <is>
          <t>11周</t>
        </is>
      </c>
      <c r="C568" s="5" t="inlineStr">
        <is>
          <t>抖音</t>
        </is>
      </c>
      <c r="D568" s="5" t="n"/>
      <c r="E568" s="5" t="n"/>
      <c r="F568" s="5" t="inlineStr">
        <is>
          <t>https://v.douyin.com/MxMQPdpzOlg/ 02/09 V@L.jp</t>
        </is>
      </c>
      <c r="G568" s="5" t="inlineStr">
        <is>
          <t>495</t>
        </is>
      </c>
      <c r="H568" s="5" t="inlineStr">
        <is>
          <t>合集</t>
        </is>
      </c>
      <c r="I568" s="5" t="n">
        <v>373</v>
      </c>
      <c r="J568" s="5" t="n"/>
      <c r="K568" s="5" t="n">
        <v>93</v>
      </c>
      <c r="L568" s="5" t="n">
        <v>18000</v>
      </c>
      <c r="M568" s="5" t="n">
        <v>261</v>
      </c>
      <c r="N568" s="5" t="n">
        <v>129</v>
      </c>
      <c r="O568" s="5" t="n">
        <v>23</v>
      </c>
      <c r="P568" s="8">
        <f>IF(AND(M568&lt;&gt;"",M568&gt;0),M568+N568+O568,"")</f>
        <v/>
      </c>
      <c r="Q568" s="11">
        <f>IF(AND(L568&lt;&gt;"",L568&gt;0,P568&lt;&gt;""),P568/L568,"")</f>
        <v/>
      </c>
      <c r="R568" s="16">
        <f>IF(AND(P568&lt;&gt;"",P568&gt;0),(I568+J568+K568)/P568,"")</f>
        <v/>
      </c>
    </row>
    <row r="569" ht="27" customHeight="1">
      <c r="A569" s="5" t="inlineStr">
        <is>
          <t>2026-03-09</t>
        </is>
      </c>
      <c r="B569" s="5" t="inlineStr">
        <is>
          <t>11周</t>
        </is>
      </c>
      <c r="C569" s="5" t="inlineStr">
        <is>
          <t>抖音</t>
        </is>
      </c>
      <c r="D569" s="5" t="n"/>
      <c r="E569" s="5" t="n"/>
      <c r="F569" s="5" t="inlineStr">
        <is>
          <t>https://v.douyin.com/p8ma4qZ_BVw/</t>
        </is>
      </c>
      <c r="G569" s="5" t="inlineStr">
        <is>
          <t>0001A1</t>
        </is>
      </c>
      <c r="H569" s="5" t="inlineStr">
        <is>
          <t>穿搭</t>
        </is>
      </c>
      <c r="I569" s="5" t="n"/>
      <c r="J569" s="5" t="n"/>
      <c r="K569" s="5" t="n">
        <v>107.5</v>
      </c>
      <c r="L569" s="5" t="n">
        <v>78000</v>
      </c>
      <c r="M569" s="5" t="n">
        <v>3826</v>
      </c>
      <c r="N569" s="5" t="n">
        <v>746</v>
      </c>
      <c r="O569" s="5" t="n">
        <v>59</v>
      </c>
      <c r="P569" s="8">
        <f>IF(AND(M569&lt;&gt;"",M569&gt;0),M569+N569+O569,"")</f>
        <v/>
      </c>
      <c r="Q569" s="11">
        <f>IF(AND(L569&lt;&gt;"",L569&gt;0,P569&lt;&gt;""),P569/L569,"")</f>
        <v/>
      </c>
      <c r="R569" s="16">
        <f>IF(AND(P569&lt;&gt;"",P569&gt;0),(I569+J569+K569)/P569,"")</f>
        <v/>
      </c>
    </row>
    <row r="570" ht="27" customHeight="1">
      <c r="A570" s="5" t="inlineStr">
        <is>
          <t>2026-03-09</t>
        </is>
      </c>
      <c r="B570" s="5" t="inlineStr">
        <is>
          <t>11周</t>
        </is>
      </c>
      <c r="C570" s="5" t="inlineStr">
        <is>
          <t>抖音</t>
        </is>
      </c>
      <c r="D570" s="5" t="n"/>
      <c r="E570" s="5" t="n"/>
      <c r="F570" s="5" t="inlineStr">
        <is>
          <t>https://www.douyin.com/note/7615198742421252826</t>
        </is>
      </c>
      <c r="G570" s="5" t="inlineStr">
        <is>
          <t>495</t>
        </is>
      </c>
      <c r="H570" s="5" t="inlineStr">
        <is>
          <t>群像</t>
        </is>
      </c>
      <c r="I570" s="5" t="n"/>
      <c r="J570" s="5" t="n"/>
      <c r="K570" s="5" t="n">
        <v>93</v>
      </c>
      <c r="L570" s="5" t="n">
        <v>4652</v>
      </c>
      <c r="M570" s="5" t="n">
        <v>344</v>
      </c>
      <c r="N570" s="5" t="n">
        <v>23</v>
      </c>
      <c r="O570" s="5" t="n">
        <v>18</v>
      </c>
      <c r="P570" s="8">
        <f>IF(AND(M570&lt;&gt;"",M570&gt;0),M570+N570+O570,"")</f>
        <v/>
      </c>
      <c r="Q570" s="11">
        <f>IF(AND(L570&lt;&gt;"",L570&gt;0,P570&lt;&gt;""),P570/L570,"")</f>
        <v/>
      </c>
      <c r="R570" s="16">
        <f>IF(AND(P570&lt;&gt;"",P570&gt;0),(I570+J570+K570)/P570,"")</f>
        <v/>
      </c>
    </row>
    <row r="571" ht="27" customHeight="1">
      <c r="A571" s="5" t="inlineStr">
        <is>
          <t>2026-03-09</t>
        </is>
      </c>
      <c r="B571" s="5" t="inlineStr">
        <is>
          <t>11周</t>
        </is>
      </c>
      <c r="C571" s="5" t="inlineStr">
        <is>
          <t>抖音</t>
        </is>
      </c>
      <c r="D571" s="5" t="n"/>
      <c r="E571" s="5" t="n"/>
      <c r="F571" s="5" t="inlineStr">
        <is>
          <t>https://v.douyin.com/Zxv8rNsduL8/</t>
        </is>
      </c>
      <c r="G571" s="5" t="inlineStr">
        <is>
          <t>495</t>
        </is>
      </c>
      <c r="H571" s="5" t="inlineStr">
        <is>
          <t>穿搭</t>
        </is>
      </c>
      <c r="I571" s="5" t="n">
        <v>150</v>
      </c>
      <c r="J571" s="5" t="n"/>
      <c r="K571" s="5" t="n">
        <v>93</v>
      </c>
      <c r="L571" s="5" t="n">
        <v>67000</v>
      </c>
      <c r="M571" s="5" t="n">
        <v>1819</v>
      </c>
      <c r="N571" s="5" t="n">
        <v>276</v>
      </c>
      <c r="O571" s="5" t="n">
        <v>21</v>
      </c>
      <c r="P571" s="8">
        <f>IF(AND(M571&lt;&gt;"",M571&gt;0),M571+N571+O571,"")</f>
        <v/>
      </c>
      <c r="Q571" s="11">
        <f>IF(AND(L571&lt;&gt;"",L571&gt;0,P571&lt;&gt;""),P571/L571,"")</f>
        <v/>
      </c>
      <c r="R571" s="16">
        <f>IF(AND(P571&lt;&gt;"",P571&gt;0),(I571+J571+K571)/P571,"")</f>
        <v/>
      </c>
    </row>
    <row r="572" ht="27" customHeight="1">
      <c r="A572" s="5" t="inlineStr">
        <is>
          <t>2026-03-09</t>
        </is>
      </c>
      <c r="B572" s="5" t="inlineStr">
        <is>
          <t>11周</t>
        </is>
      </c>
      <c r="C572" s="5" t="inlineStr">
        <is>
          <t>抖音</t>
        </is>
      </c>
      <c r="D572" s="5" t="n"/>
      <c r="E572" s="5" t="n"/>
      <c r="F572" s="5" t="inlineStr">
        <is>
          <t>https://v.douyin.com/Jln5QuzLcV0/ D@u.se</t>
        </is>
      </c>
      <c r="G572" s="5" t="inlineStr">
        <is>
          <t>0002A1</t>
        </is>
      </c>
      <c r="H572" s="5" t="inlineStr">
        <is>
          <t>刘耀文</t>
        </is>
      </c>
      <c r="I572" s="5" t="n"/>
      <c r="J572" s="5" t="n"/>
      <c r="K572" s="5" t="n">
        <v>110.5</v>
      </c>
      <c r="L572" s="5" t="n">
        <v>1480</v>
      </c>
      <c r="M572" s="5" t="n">
        <v>76</v>
      </c>
      <c r="N572" s="5" t="n">
        <v>3</v>
      </c>
      <c r="O572" s="5" t="n">
        <v>53</v>
      </c>
      <c r="P572" s="8">
        <f>IF(AND(M572&lt;&gt;"",M572&gt;0),M572+N572+O572,"")</f>
        <v/>
      </c>
      <c r="Q572" s="11">
        <f>IF(AND(L572&lt;&gt;"",L572&gt;0,P572&lt;&gt;""),P572/L572,"")</f>
        <v/>
      </c>
      <c r="R572" s="16">
        <f>IF(AND(P572&lt;&gt;"",P572&gt;0),(I572+J572+K572)/P572,"")</f>
        <v/>
      </c>
    </row>
    <row r="573" ht="27" customHeight="1">
      <c r="A573" s="5" t="inlineStr">
        <is>
          <t>2026-03-09</t>
        </is>
      </c>
      <c r="B573" s="5" t="inlineStr">
        <is>
          <t>11周</t>
        </is>
      </c>
      <c r="C573" s="5" t="inlineStr">
        <is>
          <t>抖音</t>
        </is>
      </c>
      <c r="D573" s="5" t="n"/>
      <c r="E573" s="5" t="n"/>
      <c r="F573" s="5" t="inlineStr">
        <is>
          <t>https://v.douyin.com/3vrsS0rW164/</t>
        </is>
      </c>
      <c r="G573" s="5" t="inlineStr">
        <is>
          <t>0001A1</t>
        </is>
      </c>
      <c r="H573" s="5" t="inlineStr">
        <is>
          <t>赵一博</t>
        </is>
      </c>
      <c r="I573" s="5" t="n"/>
      <c r="J573" s="5" t="n"/>
      <c r="K573" s="5" t="n">
        <v>107.5</v>
      </c>
      <c r="L573" s="5" t="n">
        <v>31000</v>
      </c>
      <c r="M573" s="5" t="n">
        <v>440</v>
      </c>
      <c r="N573" s="5" t="n">
        <v>104</v>
      </c>
      <c r="O573" s="5" t="n">
        <v>7</v>
      </c>
      <c r="P573" s="8">
        <f>IF(AND(M573&lt;&gt;"",M573&gt;0),M573+N573+O573,"")</f>
        <v/>
      </c>
      <c r="Q573" s="11">
        <f>IF(AND(L573&lt;&gt;"",L573&gt;0,P573&lt;&gt;""),P573/L573,"")</f>
        <v/>
      </c>
      <c r="R573" s="16">
        <f>IF(AND(P573&lt;&gt;"",P573&gt;0),(I573+J573+K573)/P573,"")</f>
        <v/>
      </c>
    </row>
    <row r="574" ht="27" customHeight="1">
      <c r="A574" s="5" t="inlineStr">
        <is>
          <t>2026-03-09</t>
        </is>
      </c>
      <c r="B574" s="5" t="inlineStr">
        <is>
          <t>11周</t>
        </is>
      </c>
      <c r="C574" s="5" t="inlineStr">
        <is>
          <t>抖音</t>
        </is>
      </c>
      <c r="D574" s="5" t="n"/>
      <c r="E574" s="5" t="n"/>
      <c r="F574" s="5" t="inlineStr">
        <is>
          <t>https://v.douyin.com/5NAov5C8uvM/ p@d.aa</t>
        </is>
      </c>
      <c r="G574" s="5" t="inlineStr">
        <is>
          <t>0002A1</t>
        </is>
      </c>
      <c r="H574" s="5" t="inlineStr">
        <is>
          <t>口播</t>
        </is>
      </c>
      <c r="I574" s="5" t="n"/>
      <c r="J574" s="5" t="n"/>
      <c r="K574" s="5" t="n">
        <v>110.5</v>
      </c>
      <c r="L574" s="5" t="n">
        <v>2412</v>
      </c>
      <c r="M574" s="5" t="n">
        <v>67</v>
      </c>
      <c r="N574" s="5" t="n">
        <v>8</v>
      </c>
      <c r="O574" s="5" t="n">
        <v>5</v>
      </c>
      <c r="P574" s="8">
        <f>IF(AND(M574&lt;&gt;"",M574&gt;0),M574+N574+O574,"")</f>
        <v/>
      </c>
      <c r="Q574" s="11">
        <f>IF(AND(L574&lt;&gt;"",L574&gt;0,P574&lt;&gt;""),P574/L574,"")</f>
        <v/>
      </c>
      <c r="R574" s="16">
        <f>IF(AND(P574&lt;&gt;"",P574&gt;0),(I574+J574+K574)/P574,"")</f>
        <v/>
      </c>
    </row>
    <row r="575" ht="27" customHeight="1">
      <c r="A575" s="5" t="inlineStr">
        <is>
          <t>2026-03-09</t>
        </is>
      </c>
      <c r="B575" s="5" t="inlineStr">
        <is>
          <t>11周</t>
        </is>
      </c>
      <c r="C575" s="5" t="inlineStr">
        <is>
          <t>抖音</t>
        </is>
      </c>
      <c r="D575" s="5" t="n"/>
      <c r="E575" s="5" t="n"/>
      <c r="F575" s="5" t="inlineStr">
        <is>
          <t>https://v.douyin.com/Kl3EJglq00g/ TlC:/ 02/19 Y@M.jp</t>
        </is>
      </c>
      <c r="G575" s="5" t="inlineStr">
        <is>
          <t>495</t>
        </is>
      </c>
      <c r="H575" s="5" t="inlineStr">
        <is>
          <t>口播</t>
        </is>
      </c>
      <c r="I575" s="5" t="n">
        <v>115</v>
      </c>
      <c r="J575" s="5" t="n"/>
      <c r="K575" s="5" t="n">
        <v>93</v>
      </c>
      <c r="L575" s="5" t="n">
        <v>40000</v>
      </c>
      <c r="M575" s="5" t="n">
        <v>800</v>
      </c>
      <c r="N575" s="5" t="n">
        <v>643</v>
      </c>
      <c r="O575" s="5" t="n">
        <v>90</v>
      </c>
      <c r="P575" s="8">
        <f>IF(AND(M575&lt;&gt;"",M575&gt;0),M575+N575+O575,"")</f>
        <v/>
      </c>
      <c r="Q575" s="11">
        <f>IF(AND(L575&lt;&gt;"",L575&gt;0,P575&lt;&gt;""),P575/L575,"")</f>
        <v/>
      </c>
      <c r="R575" s="16">
        <f>IF(AND(P575&lt;&gt;"",P575&gt;0),(I575+J575+K575)/P575,"")</f>
        <v/>
      </c>
    </row>
    <row r="576" ht="27" customHeight="1">
      <c r="A576" s="5" t="inlineStr">
        <is>
          <t>2026-03-09</t>
        </is>
      </c>
      <c r="B576" s="5" t="inlineStr">
        <is>
          <t>11周</t>
        </is>
      </c>
      <c r="C576" s="5" t="inlineStr">
        <is>
          <t>抖音</t>
        </is>
      </c>
      <c r="D576" s="5" t="n"/>
      <c r="E576" s="5" t="n"/>
      <c r="F576" s="5" t="inlineStr">
        <is>
          <t>https://v.douyin.com/PhbDPRK7nJw/</t>
        </is>
      </c>
      <c r="G576" s="5" t="inlineStr">
        <is>
          <t>0002A1</t>
        </is>
      </c>
      <c r="H576" s="5" t="inlineStr">
        <is>
          <t>穆祉丞</t>
        </is>
      </c>
      <c r="I576" s="5" t="n"/>
      <c r="J576" s="5" t="n"/>
      <c r="K576" s="5" t="n">
        <v>110.5</v>
      </c>
      <c r="L576" s="5" t="n">
        <v>1317</v>
      </c>
      <c r="M576" s="5" t="n">
        <v>754</v>
      </c>
      <c r="N576" s="5" t="n">
        <v>1</v>
      </c>
      <c r="O576" s="5" t="n">
        <v>10</v>
      </c>
      <c r="P576" s="8">
        <f>IF(AND(M576&lt;&gt;"",M576&gt;0),M576+N576+O576,"")</f>
        <v/>
      </c>
      <c r="Q576" s="11">
        <f>IF(AND(L576&lt;&gt;"",L576&gt;0,P576&lt;&gt;""),P576/L576,"")</f>
        <v/>
      </c>
      <c r="R576" s="16">
        <f>IF(AND(P576&lt;&gt;"",P576&gt;0),(I576+J576+K576)/P576,"")</f>
        <v/>
      </c>
    </row>
    <row r="577" ht="27" customHeight="1">
      <c r="A577" s="5" t="inlineStr">
        <is>
          <t>2026-03-09</t>
        </is>
      </c>
      <c r="B577" s="5" t="inlineStr">
        <is>
          <t>11周</t>
        </is>
      </c>
      <c r="C577" s="5" t="inlineStr">
        <is>
          <t>抖音</t>
        </is>
      </c>
      <c r="D577" s="5" t="n"/>
      <c r="E577" s="5" t="n"/>
      <c r="F577" s="5" t="inlineStr">
        <is>
          <t>https://v.douyin.com/QdfMagsOfrY/</t>
        </is>
      </c>
      <c r="G577" s="5" t="inlineStr">
        <is>
          <t>0002A1</t>
        </is>
      </c>
      <c r="H577" s="5" t="inlineStr">
        <is>
          <t>刘耀文</t>
        </is>
      </c>
      <c r="I577" s="5" t="n"/>
      <c r="J577" s="5" t="n"/>
      <c r="K577" s="5" t="n">
        <v>110.5</v>
      </c>
      <c r="L577" s="5" t="n">
        <v>2372</v>
      </c>
      <c r="M577" s="5" t="n">
        <v>184</v>
      </c>
      <c r="N577" s="5" t="n">
        <v>4</v>
      </c>
      <c r="O577" s="5" t="n">
        <v>60</v>
      </c>
      <c r="P577" s="8">
        <f>IF(AND(M577&lt;&gt;"",M577&gt;0),M577+N577+O577,"")</f>
        <v/>
      </c>
      <c r="Q577" s="11">
        <f>IF(AND(L577&lt;&gt;"",L577&gt;0,P577&lt;&gt;""),P577/L577,"")</f>
        <v/>
      </c>
      <c r="R577" s="16">
        <f>IF(AND(P577&lt;&gt;"",P577&gt;0),(I577+J577+K577)/P577,"")</f>
        <v/>
      </c>
    </row>
    <row r="578" ht="27" customHeight="1">
      <c r="A578" s="5" t="inlineStr">
        <is>
          <t>2026-03-09</t>
        </is>
      </c>
      <c r="B578" s="5" t="inlineStr">
        <is>
          <t>11周</t>
        </is>
      </c>
      <c r="C578" s="5" t="inlineStr">
        <is>
          <t>抖音</t>
        </is>
      </c>
      <c r="D578" s="5" t="n"/>
      <c r="E578" s="5" t="n"/>
      <c r="F578" s="5" t="inlineStr">
        <is>
          <t>https://v.douyin.com/Bu1zQWqg-sw/</t>
        </is>
      </c>
      <c r="G578" s="5" t="inlineStr">
        <is>
          <t>0002A1</t>
        </is>
      </c>
      <c r="H578" s="5" t="inlineStr">
        <is>
          <t>穿搭</t>
        </is>
      </c>
      <c r="I578" s="5" t="n"/>
      <c r="J578" s="5" t="n"/>
      <c r="K578" s="5" t="n">
        <v>110.5</v>
      </c>
      <c r="L578" s="5" t="n">
        <v>11000</v>
      </c>
      <c r="M578" s="5" t="n">
        <v>849</v>
      </c>
      <c r="N578" s="5" t="n">
        <v>100</v>
      </c>
      <c r="O578" s="5" t="n">
        <v>20</v>
      </c>
      <c r="P578" s="8">
        <f>IF(AND(M578&lt;&gt;"",M578&gt;0),M578+N578+O578,"")</f>
        <v/>
      </c>
      <c r="Q578" s="11">
        <f>IF(AND(L578&lt;&gt;"",L578&gt;0,P578&lt;&gt;""),P578/L578,"")</f>
        <v/>
      </c>
      <c r="R578" s="16">
        <f>IF(AND(P578&lt;&gt;"",P578&gt;0),(I578+J578+K578)/P578,"")</f>
        <v/>
      </c>
    </row>
    <row r="579" ht="81" customHeight="1">
      <c r="A579" s="5" t="inlineStr">
        <is>
          <t>2026-03-09</t>
        </is>
      </c>
      <c r="B579" s="5" t="inlineStr">
        <is>
          <t>11周</t>
        </is>
      </c>
      <c r="C579" s="5" t="inlineStr">
        <is>
          <t>小红书</t>
        </is>
      </c>
      <c r="D579" s="5" t="n"/>
      <c r="E579" s="5" t="n"/>
      <c r="F579" s="5" t="inlineStr">
        <is>
          <t>https://www.xiaohongshu.com/discovery/item/69ada5bc000000001a033bed?xsec_token=CBdTB1-Rg_SKZRHPBVtmNPRdL7rzMoJPh6YGdm4OrLyz8=&amp;xsec_source=app_share&amp;type=video</t>
        </is>
      </c>
      <c r="G579" s="5" t="inlineStr">
        <is>
          <t>0001A1</t>
        </is>
      </c>
      <c r="H579" s="5" t="inlineStr">
        <is>
          <t>穿搭</t>
        </is>
      </c>
      <c r="I579" s="5" t="n"/>
      <c r="J579" s="5" t="n"/>
      <c r="K579" s="5" t="n">
        <v>107.5</v>
      </c>
      <c r="L579" s="5" t="n">
        <v>2077</v>
      </c>
      <c r="M579" s="5" t="n">
        <v>144</v>
      </c>
      <c r="N579" s="5" t="n">
        <v>35</v>
      </c>
      <c r="O579" s="5" t="n">
        <v>6</v>
      </c>
      <c r="P579" s="8">
        <f>IF(AND(M579&lt;&gt;"",M579&gt;0),M579+N579+O579,"")</f>
        <v/>
      </c>
      <c r="Q579" s="11">
        <f>IF(AND(L579&lt;&gt;"",L579&gt;0,P579&lt;&gt;""),P579/L579,"")</f>
        <v/>
      </c>
      <c r="R579" s="16">
        <f>IF(AND(P579&lt;&gt;"",P579&gt;0),(I579+J579+K579)/P579,"")</f>
        <v/>
      </c>
    </row>
    <row r="580" ht="81" customHeight="1">
      <c r="A580" s="5" t="inlineStr">
        <is>
          <t>2026-03-09</t>
        </is>
      </c>
      <c r="B580" s="5" t="inlineStr">
        <is>
          <t>11周</t>
        </is>
      </c>
      <c r="C580" s="5" t="inlineStr">
        <is>
          <t>小红书</t>
        </is>
      </c>
      <c r="D580" s="5" t="n"/>
      <c r="E580" s="5" t="n"/>
      <c r="F580" s="5" t="inlineStr">
        <is>
          <t>https://www.xiaohongshu.com/discovery/item/69ae7bf5000000002303b537?xsec_token=CBqnGu5VtM-L5cLc54qL7Yjwb1w1n4hVx-rrGBqhHEAZA=&amp;xsec_source=app_share</t>
        </is>
      </c>
      <c r="G580" s="5" t="inlineStr">
        <is>
          <t>0002A1</t>
        </is>
      </c>
      <c r="H580" s="5" t="inlineStr">
        <is>
          <t>穿搭</t>
        </is>
      </c>
      <c r="I580" s="5" t="n"/>
      <c r="J580" s="5" t="n"/>
      <c r="K580" s="5" t="n">
        <v>110.5</v>
      </c>
      <c r="L580" s="5" t="n">
        <v>11075</v>
      </c>
      <c r="M580" s="5" t="n">
        <v>629</v>
      </c>
      <c r="N580" s="5" t="n">
        <v>79</v>
      </c>
      <c r="O580" s="5" t="n">
        <v>63</v>
      </c>
      <c r="P580" s="8">
        <f>IF(AND(M580&lt;&gt;"",M580&gt;0),M580+N580+O580,"")</f>
        <v/>
      </c>
      <c r="Q580" s="11">
        <f>IF(AND(L580&lt;&gt;"",L580&gt;0,P580&lt;&gt;""),P580/L580,"")</f>
        <v/>
      </c>
      <c r="R580" s="16">
        <f>IF(AND(P580&lt;&gt;"",P580&gt;0),(I580+J580+K580)/P580,"")</f>
        <v/>
      </c>
    </row>
    <row r="581" ht="81" customHeight="1">
      <c r="A581" s="5" t="inlineStr">
        <is>
          <t>2026-03-09</t>
        </is>
      </c>
      <c r="B581" s="5" t="inlineStr">
        <is>
          <t>11周</t>
        </is>
      </c>
      <c r="C581" s="5" t="inlineStr">
        <is>
          <t>小红书</t>
        </is>
      </c>
      <c r="D581" s="5" t="n"/>
      <c r="E581" s="5" t="n"/>
      <c r="F581" s="5" t="inlineStr">
        <is>
          <t>https://www.xiaohongshu.com/discovery/item/69ad8abe000000001a0286a3?xsec_token=CBdTB1-Rg_SKZRHPBVtmNPRfQd8mwTorw9BNRpGyZe9FM=&amp;xsec_source=app_share&amp;type=video</t>
        </is>
      </c>
      <c r="G581" s="5" t="inlineStr">
        <is>
          <t>0001A1</t>
        </is>
      </c>
      <c r="H581" s="5" t="inlineStr">
        <is>
          <t>赵一博</t>
        </is>
      </c>
      <c r="I581" s="5" t="n"/>
      <c r="J581" s="5" t="n"/>
      <c r="K581" s="5" t="n">
        <v>107.5</v>
      </c>
      <c r="L581" s="5" t="n">
        <v>3648</v>
      </c>
      <c r="M581" s="5" t="n">
        <v>1280</v>
      </c>
      <c r="N581" s="5" t="n">
        <v>375</v>
      </c>
      <c r="O581" s="5" t="n">
        <v>57</v>
      </c>
      <c r="P581" s="8">
        <f>IF(AND(M581&lt;&gt;"",M581&gt;0),M581+N581+O581,"")</f>
        <v/>
      </c>
      <c r="Q581" s="11">
        <f>IF(AND(L581&lt;&gt;"",L581&gt;0,P581&lt;&gt;""),P581/L581,"")</f>
        <v/>
      </c>
      <c r="R581" s="16">
        <f>IF(AND(P581&lt;&gt;"",P581&gt;0),(I581+J581+K581)/P581,"")</f>
        <v/>
      </c>
    </row>
    <row r="582" ht="67.5" customHeight="1">
      <c r="A582" s="5" t="inlineStr">
        <is>
          <t>2026-03-09</t>
        </is>
      </c>
      <c r="B582" s="5" t="inlineStr">
        <is>
          <t>11周</t>
        </is>
      </c>
      <c r="C582" s="5" t="inlineStr">
        <is>
          <t>小红书</t>
        </is>
      </c>
      <c r="D582" s="5" t="n"/>
      <c r="E582" s="5" t="n"/>
      <c r="F582" s="5" t="inlineStr">
        <is>
          <t>https://www.xiaohongshu.com/discovery/item/69aeb099000000002801f266?xsec_token=CB5eGxjxYK0yLXWKweB4dC6FZdvalGJndFqc0MdZX4c0k=&amp;xsec_source=app_share</t>
        </is>
      </c>
      <c r="G582" s="5" t="inlineStr">
        <is>
          <t>0001A1</t>
        </is>
      </c>
      <c r="H582" s="5" t="inlineStr">
        <is>
          <t>穿搭</t>
        </is>
      </c>
      <c r="I582" s="5" t="n"/>
      <c r="J582" s="5" t="n"/>
      <c r="K582" s="5" t="n">
        <v>107.5</v>
      </c>
      <c r="L582" s="5" t="n">
        <v>835</v>
      </c>
      <c r="M582" s="5" t="n">
        <v>58</v>
      </c>
      <c r="N582" s="5" t="n">
        <v>18</v>
      </c>
      <c r="O582" s="5" t="n">
        <v>2</v>
      </c>
      <c r="P582" s="8">
        <f>IF(AND(M582&lt;&gt;"",M582&gt;0),M582+N582+O582,"")</f>
        <v/>
      </c>
      <c r="Q582" s="11">
        <f>IF(AND(L582&lt;&gt;"",L582&gt;0,P582&lt;&gt;""),P582/L582,"")</f>
        <v/>
      </c>
      <c r="R582" s="16">
        <f>IF(AND(P582&lt;&gt;"",P582&gt;0),(I582+J582+K582)/P582,"")</f>
        <v/>
      </c>
    </row>
    <row r="583" ht="81" customHeight="1">
      <c r="A583" s="5" t="inlineStr">
        <is>
          <t>2026-03-09</t>
        </is>
      </c>
      <c r="B583" s="5" t="inlineStr">
        <is>
          <t>11周</t>
        </is>
      </c>
      <c r="C583" s="5" t="inlineStr">
        <is>
          <t>小红书</t>
        </is>
      </c>
      <c r="D583" s="5" t="n"/>
      <c r="E583" s="5" t="n"/>
      <c r="F583" s="5" t="inlineStr">
        <is>
          <t>https://www.xiaohongshu.com/discovery/item/69aee5bf000000002202e5b7?xsec_token=CBqnGu5VtM-L5cLc54qL7Yj5nwOoz6Nyy-X-rspBUKrdg=&amp;xsec_source=app_share&amp;type=video</t>
        </is>
      </c>
      <c r="G583" s="5" t="inlineStr">
        <is>
          <t>495</t>
        </is>
      </c>
      <c r="H583" s="5" t="inlineStr">
        <is>
          <t>口播</t>
        </is>
      </c>
      <c r="I583" s="5" t="n"/>
      <c r="J583" s="5" t="n"/>
      <c r="K583" s="5" t="n">
        <v>93</v>
      </c>
      <c r="L583" s="5" t="n">
        <v>4507</v>
      </c>
      <c r="M583" s="5" t="n">
        <v>268</v>
      </c>
      <c r="N583" s="5" t="n">
        <v>91</v>
      </c>
      <c r="O583" s="5" t="n">
        <v>29</v>
      </c>
      <c r="P583" s="8">
        <f>IF(AND(M583&lt;&gt;"",M583&gt;0),M583+N583+O583,"")</f>
        <v/>
      </c>
      <c r="Q583" s="11">
        <f>IF(AND(L583&lt;&gt;"",L583&gt;0,P583&lt;&gt;""),P583/L583,"")</f>
        <v/>
      </c>
      <c r="R583" s="16">
        <f>IF(AND(P583&lt;&gt;"",P583&gt;0),(I583+J583+K583)/P583,"")</f>
        <v/>
      </c>
    </row>
    <row r="584" ht="27" customHeight="1">
      <c r="A584" s="5" t="inlineStr">
        <is>
          <t>2026-03-10</t>
        </is>
      </c>
      <c r="B584" s="5" t="inlineStr">
        <is>
          <t>11周</t>
        </is>
      </c>
      <c r="C584" s="5" t="inlineStr">
        <is>
          <t>抖音</t>
        </is>
      </c>
      <c r="D584" s="5" t="n"/>
      <c r="E584" s="5" t="n"/>
      <c r="F584" s="5" t="inlineStr">
        <is>
          <t>https://v.douyin.com/LHlkqnn1xBk/</t>
        </is>
      </c>
      <c r="G584" s="5" t="inlineStr">
        <is>
          <t>1172W</t>
        </is>
      </c>
      <c r="H584" s="5" t="inlineStr">
        <is>
          <t>学生</t>
        </is>
      </c>
      <c r="I584" s="5" t="n"/>
      <c r="J584" s="5" t="n"/>
      <c r="K584" s="5" t="n">
        <v>57.5</v>
      </c>
      <c r="L584" s="5" t="n">
        <v>10000</v>
      </c>
      <c r="M584" s="5" t="n">
        <v>1134</v>
      </c>
      <c r="N584" s="5" t="n">
        <v>85</v>
      </c>
      <c r="O584" s="5" t="n">
        <v>30</v>
      </c>
      <c r="P584" s="8">
        <f>IF(AND(M584&lt;&gt;"",M584&gt;0),M584+N584+O584,"")</f>
        <v/>
      </c>
      <c r="Q584" s="11">
        <f>IF(AND(L584&lt;&gt;"",L584&gt;0,P584&lt;&gt;""),P584/L584,"")</f>
        <v/>
      </c>
      <c r="R584" s="16">
        <f>IF(AND(P584&lt;&gt;"",P584&gt;0),(I584+J584+K584)/P584,"")</f>
        <v/>
      </c>
    </row>
    <row r="585" ht="27" customHeight="1">
      <c r="A585" s="5" t="inlineStr">
        <is>
          <t>2026-03-10</t>
        </is>
      </c>
      <c r="B585" s="5" t="inlineStr">
        <is>
          <t>11周</t>
        </is>
      </c>
      <c r="C585" s="5" t="inlineStr">
        <is>
          <t>抖音</t>
        </is>
      </c>
      <c r="D585" s="5" t="n"/>
      <c r="E585" s="5" t="n"/>
      <c r="F585" s="5" t="inlineStr">
        <is>
          <t>https://v.douyin.com/LER4hIlqwMI/</t>
        </is>
      </c>
      <c r="G585" s="5" t="inlineStr">
        <is>
          <t>0002A1</t>
        </is>
      </c>
      <c r="H585" s="5" t="inlineStr">
        <is>
          <t>穿搭</t>
        </is>
      </c>
      <c r="I585" s="5" t="n">
        <v>500</v>
      </c>
      <c r="J585" s="5" t="n"/>
      <c r="K585" s="5" t="n">
        <v>110.5</v>
      </c>
      <c r="L585" s="5" t="n">
        <v>9724</v>
      </c>
      <c r="M585" s="5" t="n">
        <v>1899</v>
      </c>
      <c r="N585" s="5" t="n">
        <v>110</v>
      </c>
      <c r="O585" s="5" t="n">
        <v>11</v>
      </c>
      <c r="P585" s="8">
        <f>IF(AND(M585&lt;&gt;"",M585&gt;0),M585+N585+O585,"")</f>
        <v/>
      </c>
      <c r="Q585" s="11">
        <f>IF(AND(L585&lt;&gt;"",L585&gt;0,P585&lt;&gt;""),P585/L585,"")</f>
        <v/>
      </c>
      <c r="R585" s="16">
        <f>IF(AND(P585&lt;&gt;"",P585&gt;0),(I585+J585+K585)/P585,"")</f>
        <v/>
      </c>
    </row>
    <row r="586" ht="27" customHeight="1">
      <c r="A586" s="5" t="inlineStr">
        <is>
          <t>2026-03-10</t>
        </is>
      </c>
      <c r="B586" s="5" t="inlineStr">
        <is>
          <t>11周</t>
        </is>
      </c>
      <c r="C586" s="5" t="inlineStr">
        <is>
          <t>抖音</t>
        </is>
      </c>
      <c r="D586" s="5" t="n"/>
      <c r="E586" s="5" t="n"/>
      <c r="F586" s="5" t="inlineStr">
        <is>
          <t>https://v.douyin.com/J1bDwogqiH0/</t>
        </is>
      </c>
      <c r="G586" s="5" t="inlineStr">
        <is>
          <t>0001A1</t>
        </is>
      </c>
      <c r="H586" s="5" t="inlineStr">
        <is>
          <t>穿搭</t>
        </is>
      </c>
      <c r="I586" s="5" t="n">
        <v>200</v>
      </c>
      <c r="J586" s="5" t="n"/>
      <c r="K586" s="5" t="n">
        <v>107.5</v>
      </c>
      <c r="L586" s="5" t="n">
        <v>10000</v>
      </c>
      <c r="M586" s="5" t="n">
        <v>1096</v>
      </c>
      <c r="N586" s="5" t="n">
        <v>60</v>
      </c>
      <c r="O586" s="5" t="n">
        <v>51</v>
      </c>
      <c r="P586" s="8">
        <f>IF(AND(M586&lt;&gt;"",M586&gt;0),M586+N586+O586,"")</f>
        <v/>
      </c>
      <c r="Q586" s="11">
        <f>IF(AND(L586&lt;&gt;"",L586&gt;0,P586&lt;&gt;""),P586/L586,"")</f>
        <v/>
      </c>
      <c r="R586" s="16">
        <f>IF(AND(P586&lt;&gt;"",P586&gt;0),(I586+J586+K586)/P586,"")</f>
        <v/>
      </c>
    </row>
    <row r="587" ht="27" customHeight="1">
      <c r="A587" s="5" t="inlineStr">
        <is>
          <t>2026-03-10</t>
        </is>
      </c>
      <c r="B587" s="5" t="inlineStr">
        <is>
          <t>11周</t>
        </is>
      </c>
      <c r="C587" s="5" t="inlineStr">
        <is>
          <t>抖音</t>
        </is>
      </c>
      <c r="D587" s="5" t="n"/>
      <c r="E587" s="5" t="n"/>
      <c r="F587" s="5" t="inlineStr">
        <is>
          <t>https://v.douyin.com/xJWoT68VkaA/</t>
        </is>
      </c>
      <c r="G587" s="5" t="inlineStr">
        <is>
          <t>1217W</t>
        </is>
      </c>
      <c r="H587" s="5" t="inlineStr">
        <is>
          <t>学生</t>
        </is>
      </c>
      <c r="I587" s="5" t="n">
        <v>150</v>
      </c>
      <c r="J587" s="5" t="n"/>
      <c r="K587" s="5" t="n">
        <v>54</v>
      </c>
      <c r="L587" s="5" t="n">
        <v>420000</v>
      </c>
      <c r="M587" s="5" t="n">
        <v>32000</v>
      </c>
      <c r="N587" s="5" t="n">
        <v>6216</v>
      </c>
      <c r="O587" s="5" t="n">
        <v>428</v>
      </c>
      <c r="P587" s="8">
        <f>IF(AND(M587&lt;&gt;"",M587&gt;0),M587+N587+O587,"")</f>
        <v/>
      </c>
      <c r="Q587" s="11">
        <f>IF(AND(L587&lt;&gt;"",L587&gt;0,P587&lt;&gt;""),P587/L587,"")</f>
        <v/>
      </c>
      <c r="R587" s="16">
        <f>IF(AND(P587&lt;&gt;"",P587&gt;0),(I587+J587+K587)/P587,"")</f>
        <v/>
      </c>
    </row>
    <row r="588" ht="27" customHeight="1">
      <c r="A588" s="5" t="inlineStr">
        <is>
          <t>2026-03-10</t>
        </is>
      </c>
      <c r="B588" s="5" t="inlineStr">
        <is>
          <t>11周</t>
        </is>
      </c>
      <c r="C588" s="5" t="inlineStr">
        <is>
          <t>抖音</t>
        </is>
      </c>
      <c r="D588" s="5" t="n"/>
      <c r="E588" s="5" t="n"/>
      <c r="F588" s="5" t="inlineStr">
        <is>
          <t>https://v.douyin.com/8ly5CpN_UCs/</t>
        </is>
      </c>
      <c r="G588" s="5" t="inlineStr">
        <is>
          <t>1217W</t>
        </is>
      </c>
      <c r="H588" s="5" t="inlineStr">
        <is>
          <t>学生</t>
        </is>
      </c>
      <c r="I588" s="5" t="n"/>
      <c r="J588" s="5" t="n"/>
      <c r="K588" s="5" t="n">
        <v>54</v>
      </c>
      <c r="L588" s="5" t="n">
        <v>12000</v>
      </c>
      <c r="M588" s="5" t="n">
        <v>763</v>
      </c>
      <c r="N588" s="5" t="n">
        <v>43</v>
      </c>
      <c r="O588" s="5" t="n">
        <v>13</v>
      </c>
      <c r="P588" s="8">
        <f>IF(AND(M588&lt;&gt;"",M588&gt;0),M588+N588+O588,"")</f>
        <v/>
      </c>
      <c r="Q588" s="11">
        <f>IF(AND(L588&lt;&gt;"",L588&gt;0,P588&lt;&gt;""),P588/L588,"")</f>
        <v/>
      </c>
      <c r="R588" s="16">
        <f>IF(AND(P588&lt;&gt;"",P588&gt;0),(I588+J588+K588)/P588,"")</f>
        <v/>
      </c>
    </row>
    <row r="589" ht="67.5" customHeight="1">
      <c r="A589" s="5" t="inlineStr">
        <is>
          <t>2026-03-10</t>
        </is>
      </c>
      <c r="B589" s="5" t="inlineStr">
        <is>
          <t>11周</t>
        </is>
      </c>
      <c r="C589" s="5" t="inlineStr">
        <is>
          <t>小红书</t>
        </is>
      </c>
      <c r="D589" s="5" t="n"/>
      <c r="E589" s="5" t="n"/>
      <c r="F589" s="5" t="inlineStr">
        <is>
          <t>https://www.xiaohongshu.com/discovery/item/69b0316e000000000902109d?xsec_token=CBXdNuPYRtf2_tRKuflHG46OEYTGblyim79Vsa6wJ6oaA=&amp;xsec_source=app_share</t>
        </is>
      </c>
      <c r="G589" s="5" t="inlineStr">
        <is>
          <t>0002A1</t>
        </is>
      </c>
      <c r="H589" s="5" t="inlineStr">
        <is>
          <t>穿搭</t>
        </is>
      </c>
      <c r="I589" s="5" t="n"/>
      <c r="J589" s="5" t="n"/>
      <c r="K589" s="5" t="n">
        <v>110.5</v>
      </c>
      <c r="L589" s="5" t="n">
        <v>6260</v>
      </c>
      <c r="M589" s="5" t="n">
        <v>435</v>
      </c>
      <c r="N589" s="5" t="n">
        <v>86</v>
      </c>
      <c r="O589" s="5" t="n">
        <v>6</v>
      </c>
      <c r="P589" s="8">
        <f>IF(AND(M589&lt;&gt;"",M589&gt;0),M589+N589+O589,"")</f>
        <v/>
      </c>
      <c r="Q589" s="11">
        <f>IF(AND(L589&lt;&gt;"",L589&gt;0,P589&lt;&gt;""),P589/L589,"")</f>
        <v/>
      </c>
      <c r="R589" s="16">
        <f>IF(AND(P589&lt;&gt;"",P589&gt;0),(I589+J589+K589)/P589,"")</f>
        <v/>
      </c>
    </row>
    <row r="590" ht="40.5" customHeight="1">
      <c r="A590" s="5" t="inlineStr">
        <is>
          <t>2026-03-11</t>
        </is>
      </c>
      <c r="B590" s="5" t="inlineStr">
        <is>
          <t>11周</t>
        </is>
      </c>
      <c r="C590" s="5" t="inlineStr">
        <is>
          <t>抖音</t>
        </is>
      </c>
      <c r="D590" s="5" t="n"/>
      <c r="E590" s="5" t="n"/>
      <c r="F590" s="5" t="inlineStr">
        <is>
          <t>https://www.douyin.com/user/self?from_tab_name=main&amp;modal_id=7615950051126546931&amp;showTab=like</t>
        </is>
      </c>
      <c r="G590" s="5" t="inlineStr">
        <is>
          <t>495</t>
        </is>
      </c>
      <c r="H590" s="5" t="inlineStr">
        <is>
          <t>群像</t>
        </is>
      </c>
      <c r="I590" s="5" t="n"/>
      <c r="J590" s="5" t="n"/>
      <c r="K590" s="5" t="n">
        <v>93</v>
      </c>
      <c r="L590" s="5" t="n">
        <v>41000</v>
      </c>
      <c r="M590" s="5" t="n">
        <v>2444</v>
      </c>
      <c r="N590" s="5" t="n">
        <v>292</v>
      </c>
      <c r="O590" s="5" t="n">
        <v>32</v>
      </c>
      <c r="P590" s="8">
        <f>IF(AND(M590&lt;&gt;"",M590&gt;0),M590+N590+O590,"")</f>
        <v/>
      </c>
      <c r="Q590" s="11">
        <f>IF(AND(L590&lt;&gt;"",L590&gt;0,P590&lt;&gt;""),P590/L590,"")</f>
        <v/>
      </c>
      <c r="R590" s="16">
        <f>IF(AND(P590&lt;&gt;"",P590&gt;0),(I590+J590+K590)/P590,"")</f>
        <v/>
      </c>
    </row>
    <row r="591" ht="27" customHeight="1">
      <c r="A591" s="5" t="inlineStr">
        <is>
          <t>2026-03-11</t>
        </is>
      </c>
      <c r="B591" s="5" t="inlineStr">
        <is>
          <t>11周</t>
        </is>
      </c>
      <c r="C591" s="5" t="inlineStr">
        <is>
          <t>抖音</t>
        </is>
      </c>
      <c r="D591" s="5" t="n"/>
      <c r="E591" s="5" t="n"/>
      <c r="F591" s="5" t="inlineStr">
        <is>
          <t>https://v.douyin.com/ppvSKaUutYQ/</t>
        </is>
      </c>
      <c r="G591" s="5" t="inlineStr">
        <is>
          <t>0001A1</t>
        </is>
      </c>
      <c r="H591" s="5" t="inlineStr">
        <is>
          <t>穿搭</t>
        </is>
      </c>
      <c r="I591" s="5" t="n">
        <v>100</v>
      </c>
      <c r="J591" s="5" t="n"/>
      <c r="K591" s="5" t="n">
        <v>107.5</v>
      </c>
      <c r="L591" s="5" t="n">
        <v>10000</v>
      </c>
      <c r="M591" s="5" t="n">
        <v>359</v>
      </c>
      <c r="N591" s="5" t="n">
        <v>29</v>
      </c>
      <c r="O591" s="5" t="n">
        <v>18</v>
      </c>
      <c r="P591" s="8">
        <f>IF(AND(M591&lt;&gt;"",M591&gt;0),M591+N591+O591,"")</f>
        <v/>
      </c>
      <c r="Q591" s="11">
        <f>IF(AND(L591&lt;&gt;"",L591&gt;0,P591&lt;&gt;""),P591/L591,"")</f>
        <v/>
      </c>
      <c r="R591" s="16">
        <f>IF(AND(P591&lt;&gt;"",P591&gt;0),(I591+J591+K591)/P591,"")</f>
        <v/>
      </c>
    </row>
    <row r="592" ht="27" customHeight="1">
      <c r="A592" s="5" t="inlineStr">
        <is>
          <t>2026-03-11</t>
        </is>
      </c>
      <c r="B592" s="5" t="inlineStr">
        <is>
          <t>11周</t>
        </is>
      </c>
      <c r="C592" s="5" t="inlineStr">
        <is>
          <t>抖音</t>
        </is>
      </c>
      <c r="D592" s="5" t="n"/>
      <c r="E592" s="5" t="n"/>
      <c r="F592" s="5" t="inlineStr">
        <is>
          <t>https://v.douyin.com/RHWLHCEtJhA/</t>
        </is>
      </c>
      <c r="G592" s="5" t="inlineStr">
        <is>
          <t>0002A1</t>
        </is>
      </c>
      <c r="H592" s="5" t="inlineStr">
        <is>
          <t>穿搭</t>
        </is>
      </c>
      <c r="I592" s="5" t="n"/>
      <c r="J592" s="5" t="n"/>
      <c r="K592" s="5" t="n">
        <v>110.5</v>
      </c>
      <c r="L592" s="5" t="n">
        <v>7830</v>
      </c>
      <c r="M592" s="5" t="n">
        <v>441</v>
      </c>
      <c r="N592" s="5" t="n">
        <v>21</v>
      </c>
      <c r="O592" s="5" t="n">
        <v>61</v>
      </c>
      <c r="P592" s="8">
        <f>IF(AND(M592&lt;&gt;"",M592&gt;0),M592+N592+O592,"")</f>
        <v/>
      </c>
      <c r="Q592" s="11">
        <f>IF(AND(L592&lt;&gt;"",L592&gt;0,P592&lt;&gt;""),P592/L592,"")</f>
        <v/>
      </c>
      <c r="R592" s="16">
        <f>IF(AND(P592&lt;&gt;"",P592&gt;0),(I592+J592+K592)/P592,"")</f>
        <v/>
      </c>
    </row>
    <row r="593" ht="27" customHeight="1">
      <c r="A593" s="5" t="inlineStr">
        <is>
          <t>2026-03-11</t>
        </is>
      </c>
      <c r="B593" s="5" t="inlineStr">
        <is>
          <t>11周</t>
        </is>
      </c>
      <c r="C593" s="5" t="inlineStr">
        <is>
          <t>抖音</t>
        </is>
      </c>
      <c r="D593" s="5" t="n"/>
      <c r="E593" s="5" t="n"/>
      <c r="F593" s="5" t="inlineStr">
        <is>
          <t>https://v.douyin.com/wBkIDgeFc0Y</t>
        </is>
      </c>
      <c r="G593" s="5" t="inlineStr">
        <is>
          <t>0001A1</t>
        </is>
      </c>
      <c r="H593" s="5" t="inlineStr">
        <is>
          <t>赵一博</t>
        </is>
      </c>
      <c r="I593" s="5" t="n"/>
      <c r="J593" s="5" t="n"/>
      <c r="K593" s="5" t="n">
        <v>107.5</v>
      </c>
      <c r="L593" s="5" t="n">
        <v>2985</v>
      </c>
      <c r="M593" s="5" t="n">
        <v>161</v>
      </c>
      <c r="N593" s="5" t="n">
        <v>2</v>
      </c>
      <c r="O593" s="5" t="n">
        <v>29</v>
      </c>
      <c r="P593" s="8">
        <f>IF(AND(M593&lt;&gt;"",M593&gt;0),M593+N593+O593,"")</f>
        <v/>
      </c>
      <c r="Q593" s="11">
        <f>IF(AND(L593&lt;&gt;"",L593&gt;0,P593&lt;&gt;""),P593/L593,"")</f>
        <v/>
      </c>
      <c r="R593" s="16">
        <f>IF(AND(P593&lt;&gt;"",P593&gt;0),(I593+J593+K593)/P593,"")</f>
        <v/>
      </c>
    </row>
    <row r="594" ht="27" customHeight="1">
      <c r="A594" s="5" t="inlineStr">
        <is>
          <t>2026-03-11</t>
        </is>
      </c>
      <c r="B594" s="5" t="inlineStr">
        <is>
          <t>11周</t>
        </is>
      </c>
      <c r="C594" s="5" t="inlineStr">
        <is>
          <t>抖音</t>
        </is>
      </c>
      <c r="D594" s="5" t="n"/>
      <c r="E594" s="5" t="n"/>
      <c r="F594" s="5" t="inlineStr">
        <is>
          <t>https://v.douyin.com/mmquQTx1Qfg/</t>
        </is>
      </c>
      <c r="G594" s="5" t="inlineStr">
        <is>
          <t>0001A1</t>
        </is>
      </c>
      <c r="H594" s="5" t="inlineStr">
        <is>
          <t>穿搭</t>
        </is>
      </c>
      <c r="I594" s="5" t="n"/>
      <c r="J594" s="5" t="n"/>
      <c r="K594" s="5" t="n">
        <v>107.5</v>
      </c>
      <c r="L594" s="5" t="n">
        <v>4689</v>
      </c>
      <c r="M594" s="5" t="n">
        <v>306</v>
      </c>
      <c r="N594" s="5" t="n">
        <v>6</v>
      </c>
      <c r="O594" s="5" t="n">
        <v>16</v>
      </c>
      <c r="P594" s="8">
        <f>IF(AND(M594&lt;&gt;"",M594&gt;0),M594+N594+O594,"")</f>
        <v/>
      </c>
      <c r="Q594" s="11">
        <f>IF(AND(L594&lt;&gt;"",L594&gt;0,P594&lt;&gt;""),P594/L594,"")</f>
        <v/>
      </c>
      <c r="R594" s="16">
        <f>IF(AND(P594&lt;&gt;"",P594&gt;0),(I594+J594+K594)/P594,"")</f>
        <v/>
      </c>
    </row>
    <row r="595" ht="27" customHeight="1">
      <c r="A595" s="5" t="inlineStr">
        <is>
          <t>2026-03-11</t>
        </is>
      </c>
      <c r="B595" s="5" t="inlineStr">
        <is>
          <t>11周</t>
        </is>
      </c>
      <c r="C595" s="5" t="inlineStr">
        <is>
          <t>抖音</t>
        </is>
      </c>
      <c r="D595" s="5" t="n"/>
      <c r="E595" s="5" t="n"/>
      <c r="F595" s="5" t="inlineStr">
        <is>
          <t>https://v.douyin.com/S7sK3SyRhmU/ g@B.tr</t>
        </is>
      </c>
      <c r="G595" s="5" t="inlineStr">
        <is>
          <t>495</t>
        </is>
      </c>
      <c r="H595" s="5" t="inlineStr">
        <is>
          <t>穿搭</t>
        </is>
      </c>
      <c r="I595" s="5" t="n"/>
      <c r="J595" s="5" t="n"/>
      <c r="K595" s="5" t="n">
        <v>93</v>
      </c>
      <c r="L595" s="5" t="n">
        <v>2950</v>
      </c>
      <c r="M595" s="5" t="n">
        <v>222</v>
      </c>
      <c r="N595" s="5" t="n">
        <v>21</v>
      </c>
      <c r="O595" s="5" t="n">
        <v>7</v>
      </c>
      <c r="P595" s="8">
        <f>IF(AND(M595&lt;&gt;"",M595&gt;0),M595+N595+O595,"")</f>
        <v/>
      </c>
      <c r="Q595" s="11">
        <f>IF(AND(L595&lt;&gt;"",L595&gt;0,P595&lt;&gt;""),P595/L595,"")</f>
        <v/>
      </c>
      <c r="R595" s="16">
        <f>IF(AND(P595&lt;&gt;"",P595&gt;0),(I595+J595+K595)/P595,"")</f>
        <v/>
      </c>
    </row>
    <row r="596" ht="27" customHeight="1">
      <c r="A596" s="5" t="inlineStr">
        <is>
          <t>2026-03-11</t>
        </is>
      </c>
      <c r="B596" s="5" t="inlineStr">
        <is>
          <t>11周</t>
        </is>
      </c>
      <c r="C596" s="5" t="inlineStr">
        <is>
          <t>抖音</t>
        </is>
      </c>
      <c r="D596" s="5" t="n"/>
      <c r="E596" s="5" t="n"/>
      <c r="F596" s="5" t="inlineStr">
        <is>
          <t>https://v.douyin.com/OV3BPPNjkiY/</t>
        </is>
      </c>
      <c r="G596" s="5" t="inlineStr">
        <is>
          <t>495</t>
        </is>
      </c>
      <c r="H596" s="5" t="inlineStr">
        <is>
          <t>穿搭</t>
        </is>
      </c>
      <c r="I596" s="5" t="n">
        <v>300</v>
      </c>
      <c r="J596" s="5" t="n"/>
      <c r="K596" s="5" t="n">
        <v>93</v>
      </c>
      <c r="L596" s="5" t="n">
        <v>107000</v>
      </c>
      <c r="M596" s="5" t="n">
        <v>2412</v>
      </c>
      <c r="N596" s="5" t="n">
        <v>377</v>
      </c>
      <c r="O596" s="5" t="n">
        <v>43</v>
      </c>
      <c r="P596" s="8">
        <f>IF(AND(M596&lt;&gt;"",M596&gt;0),M596+N596+O596,"")</f>
        <v/>
      </c>
      <c r="Q596" s="11">
        <f>IF(AND(L596&lt;&gt;"",L596&gt;0,P596&lt;&gt;""),P596/L596,"")</f>
        <v/>
      </c>
      <c r="R596" s="16">
        <f>IF(AND(P596&lt;&gt;"",P596&gt;0),(I596+J596+K596)/P596,"")</f>
        <v/>
      </c>
    </row>
    <row r="597" ht="67.5" customHeight="1">
      <c r="A597" s="5" t="inlineStr">
        <is>
          <t>2026-03-11</t>
        </is>
      </c>
      <c r="B597" s="5" t="inlineStr">
        <is>
          <t>11周</t>
        </is>
      </c>
      <c r="C597" s="5" t="inlineStr">
        <is>
          <t>小红书</t>
        </is>
      </c>
      <c r="D597" s="5" t="n"/>
      <c r="E597" s="5" t="n"/>
      <c r="F597" s="5" t="inlineStr">
        <is>
          <t>https://www.xiaohongshu.com/discovery/item/69a8e2a30000000022038ce4?xsec_token=CBHvISyvF7s8aFbCVHHNpbstLYlqM47VUJn_h3pRgeLvo=&amp;xsec_source=app_share</t>
        </is>
      </c>
      <c r="G597" s="5" t="inlineStr">
        <is>
          <t>495</t>
        </is>
      </c>
      <c r="H597" s="5" t="inlineStr">
        <is>
          <t>穿搭</t>
        </is>
      </c>
      <c r="I597" s="5" t="n"/>
      <c r="J597" s="5" t="n"/>
      <c r="K597" s="5" t="n">
        <v>93</v>
      </c>
      <c r="L597" s="5" t="n">
        <v>23144</v>
      </c>
      <c r="M597" s="5" t="n">
        <v>685</v>
      </c>
      <c r="N597" s="5" t="n">
        <v>203</v>
      </c>
      <c r="O597" s="5" t="n">
        <v>50</v>
      </c>
      <c r="P597" s="8">
        <f>IF(AND(M597&lt;&gt;"",M597&gt;0),M597+N597+O597,"")</f>
        <v/>
      </c>
      <c r="Q597" s="11">
        <f>IF(AND(L597&lt;&gt;"",L597&gt;0,P597&lt;&gt;""),P597/L597,"")</f>
        <v/>
      </c>
      <c r="R597" s="16">
        <f>IF(AND(P597&lt;&gt;"",P597&gt;0),(I597+J597+K597)/P597,"")</f>
        <v/>
      </c>
    </row>
    <row r="598" ht="81" customHeight="1">
      <c r="A598" s="5" t="inlineStr">
        <is>
          <t>2026-03-11</t>
        </is>
      </c>
      <c r="B598" s="5" t="inlineStr">
        <is>
          <t>11周</t>
        </is>
      </c>
      <c r="C598" s="5" t="inlineStr">
        <is>
          <t>小红书</t>
        </is>
      </c>
      <c r="D598" s="5" t="n"/>
      <c r="E598" s="5" t="n"/>
      <c r="F598" s="5" t="inlineStr">
        <is>
          <t>https://www.xiaohongshu.com/discovery/item/69b0ed9d000000002203b888?xsec_token=CBDliv2Eldwt2ECwjpMmZ-B2x5eI43UtBY27u3VTdCsBc=&amp;xsec_source=app_share</t>
        </is>
      </c>
      <c r="G598" s="5" t="inlineStr">
        <is>
          <t>495</t>
        </is>
      </c>
      <c r="H598" s="5" t="inlineStr">
        <is>
          <t>穿搭</t>
        </is>
      </c>
      <c r="I598" s="5" t="n"/>
      <c r="J598" s="5" t="n"/>
      <c r="K598" s="5" t="n">
        <v>93</v>
      </c>
      <c r="L598" s="5" t="n">
        <v>51</v>
      </c>
      <c r="M598" s="5" t="n">
        <v>5</v>
      </c>
      <c r="N598" s="5" t="n">
        <v>0</v>
      </c>
      <c r="O598" s="5" t="n">
        <v>0</v>
      </c>
      <c r="P598" s="8">
        <f>IF(AND(M598&lt;&gt;"",M598&gt;0),M598+N598+O598,"")</f>
        <v/>
      </c>
      <c r="Q598" s="11">
        <f>IF(AND(L598&lt;&gt;"",L598&gt;0,P598&lt;&gt;""),P598/L598,"")</f>
        <v/>
      </c>
      <c r="R598" s="16">
        <f>IF(AND(P598&lt;&gt;"",P598&gt;0),(I598+J598+K598)/P598,"")</f>
        <v/>
      </c>
    </row>
    <row r="599" ht="81" customHeight="1">
      <c r="A599" s="5" t="inlineStr">
        <is>
          <t>2026-03-11</t>
        </is>
      </c>
      <c r="B599" s="5" t="inlineStr">
        <is>
          <t>11周</t>
        </is>
      </c>
      <c r="C599" s="5" t="inlineStr">
        <is>
          <t>小红书</t>
        </is>
      </c>
      <c r="D599" s="5" t="n"/>
      <c r="E599" s="5" t="n"/>
      <c r="F599" s="5" t="inlineStr">
        <is>
          <t>https://www.xiaohongshu.com/discovery/item/69b10f2a000000002603e987?xsec_token=CBf8GJinwRWMPNiAb3QpAP4izpgT0rsQ6BmhYk0QJFo80=&amp;xsec_source=app_share&amp;type=video</t>
        </is>
      </c>
      <c r="G599" s="5" t="inlineStr">
        <is>
          <t>495</t>
        </is>
      </c>
      <c r="H599" s="5" t="inlineStr">
        <is>
          <t>口播</t>
        </is>
      </c>
      <c r="I599" s="5" t="n"/>
      <c r="J599" s="5" t="n"/>
      <c r="K599" s="5" t="n">
        <v>93</v>
      </c>
      <c r="L599" s="5" t="n">
        <v>659</v>
      </c>
      <c r="M599" s="5" t="n">
        <v>42</v>
      </c>
      <c r="N599" s="5" t="n">
        <v>20</v>
      </c>
      <c r="O599" s="5" t="n">
        <v>1</v>
      </c>
      <c r="P599" s="8">
        <f>IF(AND(M599&lt;&gt;"",M599&gt;0),M599+N599+O599,"")</f>
        <v/>
      </c>
      <c r="Q599" s="11">
        <f>IF(AND(L599&lt;&gt;"",L599&gt;0,P599&lt;&gt;""),P599/L599,"")</f>
        <v/>
      </c>
      <c r="R599" s="16">
        <f>IF(AND(P599&lt;&gt;"",P599&gt;0),(I599+J599+K599)/P599,"")</f>
        <v/>
      </c>
    </row>
    <row r="600" ht="81" customHeight="1">
      <c r="A600" s="5" t="inlineStr">
        <is>
          <t>2026-03-11</t>
        </is>
      </c>
      <c r="B600" s="5" t="inlineStr">
        <is>
          <t>11周</t>
        </is>
      </c>
      <c r="C600" s="5" t="inlineStr">
        <is>
          <t>小红书</t>
        </is>
      </c>
      <c r="D600" s="5" t="n"/>
      <c r="E600" s="5" t="n"/>
      <c r="F600" s="5" t="inlineStr">
        <is>
          <t>https://www.xiaohongshu.com/discovery/item/69b150cd0000000009023dd5?xsec_token=CBx14XzrGX2y4_e3b9kyj2DHgVjULdmh1-0t7uBk35IjE=&amp;xsec_source=app_share</t>
        </is>
      </c>
      <c r="G600" s="5" t="inlineStr">
        <is>
          <t>0002A1</t>
        </is>
      </c>
      <c r="H600" s="5" t="inlineStr">
        <is>
          <t>穿搭</t>
        </is>
      </c>
      <c r="I600" s="5" t="n"/>
      <c r="J600" s="5" t="n"/>
      <c r="K600" s="5" t="n">
        <v>110.5</v>
      </c>
      <c r="L600" s="5" t="n">
        <v>351</v>
      </c>
      <c r="M600" s="5" t="n">
        <v>21</v>
      </c>
      <c r="N600" s="5" t="n">
        <v>6</v>
      </c>
      <c r="O600" s="5" t="n">
        <v>3</v>
      </c>
      <c r="P600" s="8">
        <f>IF(AND(M600&lt;&gt;"",M600&gt;0),M600+N600+O600,"")</f>
        <v/>
      </c>
      <c r="Q600" s="11">
        <f>IF(AND(L600&lt;&gt;"",L600&gt;0,P600&lt;&gt;""),P600/L600,"")</f>
        <v/>
      </c>
      <c r="R600" s="16">
        <f>IF(AND(P600&lt;&gt;"",P600&gt;0),(I600+J600+K600)/P600,"")</f>
        <v/>
      </c>
    </row>
    <row r="601" ht="67.5" customHeight="1">
      <c r="A601" s="5" t="inlineStr">
        <is>
          <t>2026-03-12</t>
        </is>
      </c>
      <c r="B601" s="5" t="inlineStr">
        <is>
          <t>11周</t>
        </is>
      </c>
      <c r="C601" s="5" t="inlineStr">
        <is>
          <t>小红书</t>
        </is>
      </c>
      <c r="D601" s="5" t="n"/>
      <c r="E601" s="5" t="n"/>
      <c r="F601" s="5" t="inlineStr">
        <is>
          <t>https://www.xiaohongshu.com/discovery/item/69b21a47000000002203a9b7?xsec_token=CB31JPQidr__rExUFiJuQnW6u2PB1m6PyBcamrXaxQtlA=&amp;xsec_source=app_share</t>
        </is>
      </c>
      <c r="G601" s="5" t="inlineStr">
        <is>
          <t>495</t>
        </is>
      </c>
      <c r="H601" s="5" t="inlineStr">
        <is>
          <t>穿搭</t>
        </is>
      </c>
      <c r="I601" s="5" t="n"/>
      <c r="J601" s="5" t="n"/>
      <c r="K601" s="5" t="n">
        <v>93</v>
      </c>
      <c r="L601" s="5" t="n">
        <v>322</v>
      </c>
      <c r="M601" s="5" t="n">
        <v>19</v>
      </c>
      <c r="N601" s="5" t="n">
        <v>5</v>
      </c>
      <c r="O601" s="5" t="n">
        <v>3</v>
      </c>
      <c r="P601" s="8">
        <f>IF(AND(M601&lt;&gt;"",M601&gt;0),M601+N601+O601,"")</f>
        <v/>
      </c>
      <c r="Q601" s="11">
        <f>IF(AND(L601&lt;&gt;"",L601&gt;0,P601&lt;&gt;""),P601/L601,"")</f>
        <v/>
      </c>
      <c r="R601" s="16">
        <f>IF(AND(P601&lt;&gt;"",P601&gt;0),(I601+J601+K601)/P601,"")</f>
        <v/>
      </c>
    </row>
    <row r="602" ht="67.5" customHeight="1">
      <c r="A602" s="5" t="inlineStr">
        <is>
          <t>2026-03-12</t>
        </is>
      </c>
      <c r="B602" s="5" t="inlineStr">
        <is>
          <t>11周</t>
        </is>
      </c>
      <c r="C602" s="5" t="inlineStr">
        <is>
          <t>小红书</t>
        </is>
      </c>
      <c r="D602" s="5" t="n"/>
      <c r="E602" s="5" t="n"/>
      <c r="F602" s="5" t="inlineStr">
        <is>
          <t>https://www.xiaohongshu.com/discovery/item/69b230860000000006030528?xsec_token=CBiEUzkBVs_56xXgm9Tgu94VPttJQaRXSnA8qrXnrly3U=&amp;xsec_source=app_share</t>
        </is>
      </c>
      <c r="G602" s="5" t="inlineStr">
        <is>
          <t>0001A1</t>
        </is>
      </c>
      <c r="H602" s="5" t="inlineStr">
        <is>
          <t>穿搭</t>
        </is>
      </c>
      <c r="I602" s="5" t="n"/>
      <c r="J602" s="5" t="n"/>
      <c r="K602" s="5" t="n">
        <v>107.5</v>
      </c>
      <c r="L602" s="5" t="n">
        <v>129</v>
      </c>
      <c r="M602" s="5" t="n">
        <v>11</v>
      </c>
      <c r="N602" s="5" t="n">
        <v>2</v>
      </c>
      <c r="O602" s="5" t="n">
        <v>0</v>
      </c>
      <c r="P602" s="8">
        <f>IF(AND(M602&lt;&gt;"",M602&gt;0),M602+N602+O602,"")</f>
        <v/>
      </c>
      <c r="Q602" s="11">
        <f>IF(AND(L602&lt;&gt;"",L602&gt;0,P602&lt;&gt;""),P602/L602,"")</f>
        <v/>
      </c>
      <c r="R602" s="16">
        <f>IF(AND(P602&lt;&gt;"",P602&gt;0),(I602+J602+K602)/P602,"")</f>
        <v/>
      </c>
    </row>
    <row r="603" ht="81" customHeight="1">
      <c r="A603" s="5" t="inlineStr">
        <is>
          <t>2026-03-12</t>
        </is>
      </c>
      <c r="B603" s="5" t="inlineStr">
        <is>
          <t>11周</t>
        </is>
      </c>
      <c r="C603" s="5" t="inlineStr">
        <is>
          <t>小红书</t>
        </is>
      </c>
      <c r="D603" s="5" t="n"/>
      <c r="E603" s="5" t="n"/>
      <c r="F603" s="5" t="inlineStr">
        <is>
          <t>https://www.xiaohongshu.com/discovery/item/69b292d7000000001b017c99?xsec_token=CBiEUzkBVs_56xXgm9Tgu94dUA601voK89qgZ1YkVUqLY=&amp;xsec_source=app_share&amp;type=video</t>
        </is>
      </c>
      <c r="G603" s="5" t="inlineStr">
        <is>
          <t>495</t>
        </is>
      </c>
      <c r="H603" s="5" t="inlineStr">
        <is>
          <t>口播</t>
        </is>
      </c>
      <c r="I603" s="5" t="n"/>
      <c r="J603" s="5" t="n"/>
      <c r="K603" s="5" t="n">
        <v>93</v>
      </c>
      <c r="L603" s="5" t="n">
        <v>2882</v>
      </c>
      <c r="M603" s="5" t="n">
        <v>146</v>
      </c>
      <c r="N603" s="5" t="n">
        <v>69</v>
      </c>
      <c r="O603" s="5" t="n">
        <v>11</v>
      </c>
      <c r="P603" s="8">
        <f>IF(AND(M603&lt;&gt;"",M603&gt;0),M603+N603+O603,"")</f>
        <v/>
      </c>
      <c r="Q603" s="11">
        <f>IF(AND(L603&lt;&gt;"",L603&gt;0,P603&lt;&gt;""),P603/L603,"")</f>
        <v/>
      </c>
      <c r="R603" s="16">
        <f>IF(AND(P603&lt;&gt;"",P603&gt;0),(I603+J603+K603)/P603,"")</f>
        <v/>
      </c>
    </row>
    <row r="604" ht="27" customHeight="1">
      <c r="A604" s="5" t="inlineStr">
        <is>
          <t>2026-03-13</t>
        </is>
      </c>
      <c r="B604" s="5" t="inlineStr">
        <is>
          <t>11周</t>
        </is>
      </c>
      <c r="C604" s="5" t="inlineStr">
        <is>
          <t>抖音</t>
        </is>
      </c>
      <c r="D604" s="5" t="n"/>
      <c r="E604" s="5" t="n"/>
      <c r="F604" s="5" t="inlineStr">
        <is>
          <t>https://v.douyin.com/fRtfIQ4NTLA/</t>
        </is>
      </c>
      <c r="G604" s="5" t="inlineStr">
        <is>
          <t>495</t>
        </is>
      </c>
      <c r="H604" s="5" t="inlineStr">
        <is>
          <t>穿搭</t>
        </is>
      </c>
      <c r="I604" s="5" t="n"/>
      <c r="J604" s="5" t="n"/>
      <c r="K604" s="5" t="n">
        <v>93</v>
      </c>
      <c r="L604" s="5" t="n">
        <v>11000</v>
      </c>
      <c r="M604" s="5" t="n">
        <v>420</v>
      </c>
      <c r="N604" s="5" t="n">
        <v>41</v>
      </c>
      <c r="O604" s="5" t="n">
        <v>7</v>
      </c>
      <c r="P604" s="8">
        <f>IF(AND(M604&lt;&gt;"",M604&gt;0),M604+N604+O604,"")</f>
        <v/>
      </c>
      <c r="Q604" s="11">
        <f>IF(AND(L604&lt;&gt;"",L604&gt;0,P604&lt;&gt;""),P604/L604,"")</f>
        <v/>
      </c>
      <c r="R604" s="16">
        <f>IF(AND(P604&lt;&gt;"",P604&gt;0),(I604+J604+K604)/P604,"")</f>
        <v/>
      </c>
    </row>
    <row r="605" ht="27" customHeight="1">
      <c r="A605" s="5" t="inlineStr">
        <is>
          <t>2026-03-13</t>
        </is>
      </c>
      <c r="B605" s="5" t="inlineStr">
        <is>
          <t>11周</t>
        </is>
      </c>
      <c r="C605" s="5" t="inlineStr">
        <is>
          <t>抖音</t>
        </is>
      </c>
      <c r="D605" s="5" t="n"/>
      <c r="E605" s="5" t="n"/>
      <c r="F605" s="5" t="inlineStr">
        <is>
          <t>https://v.douyin.com/VTWy-sOU5m0/</t>
        </is>
      </c>
      <c r="G605" s="5" t="inlineStr">
        <is>
          <t>0002A1</t>
        </is>
      </c>
      <c r="H605" s="5" t="inlineStr">
        <is>
          <t>穿搭</t>
        </is>
      </c>
      <c r="I605" s="5" t="n"/>
      <c r="J605" s="5" t="n"/>
      <c r="K605" s="5" t="n">
        <v>110.5</v>
      </c>
      <c r="L605" s="5" t="n">
        <v>23000</v>
      </c>
      <c r="M605" s="5" t="n">
        <v>1265</v>
      </c>
      <c r="N605" s="5" t="n">
        <v>237</v>
      </c>
      <c r="O605" s="5" t="n">
        <v>32</v>
      </c>
      <c r="P605" s="8">
        <f>IF(AND(M605&lt;&gt;"",M605&gt;0),M605+N605+O605,"")</f>
        <v/>
      </c>
      <c r="Q605" s="11">
        <f>IF(AND(L605&lt;&gt;"",L605&gt;0,P605&lt;&gt;""),P605/L605,"")</f>
        <v/>
      </c>
      <c r="R605" s="16">
        <f>IF(AND(P605&lt;&gt;"",P605&gt;0),(I605+J605+K605)/P605,"")</f>
        <v/>
      </c>
    </row>
    <row r="606" ht="81" customHeight="1">
      <c r="A606" s="5" t="inlineStr">
        <is>
          <t>2026-03-13</t>
        </is>
      </c>
      <c r="B606" s="5" t="inlineStr">
        <is>
          <t>11周</t>
        </is>
      </c>
      <c r="C606" s="5" t="inlineStr">
        <is>
          <t>抖音</t>
        </is>
      </c>
      <c r="D606" s="5" t="n"/>
      <c r="E606" s="5" t="n"/>
      <c r="F606" s="5" t="inlineStr">
        <is>
          <t>https://www.douyin.com/user/MS4wLjABAAAAeX-zIhCnfiIyXX-e0p_6HhqkrUChvqJ1r4YpN_M7LvCqH2CcQ171mNGE4-tutbnK?from_tab_name=main&amp;modal_id=7616729967914144218</t>
        </is>
      </c>
      <c r="G606" s="5" t="inlineStr">
        <is>
          <t>1217W</t>
        </is>
      </c>
      <c r="H606" s="5" t="inlineStr">
        <is>
          <t>学生</t>
        </is>
      </c>
      <c r="I606" s="5" t="n"/>
      <c r="J606" s="5" t="n"/>
      <c r="K606" s="5" t="n">
        <v>54</v>
      </c>
      <c r="L606" s="5" t="n">
        <v>3118</v>
      </c>
      <c r="M606" s="5" t="n">
        <v>528</v>
      </c>
      <c r="N606" s="5" t="n">
        <v>42</v>
      </c>
      <c r="O606" s="5" t="n">
        <v>27</v>
      </c>
      <c r="P606" s="8">
        <f>IF(AND(M606&lt;&gt;"",M606&gt;0),M606+N606+O606,"")</f>
        <v/>
      </c>
      <c r="Q606" s="11">
        <f>IF(AND(L606&lt;&gt;"",L606&gt;0,P606&lt;&gt;""),P606/L606,"")</f>
        <v/>
      </c>
      <c r="R606" s="16">
        <f>IF(AND(P606&lt;&gt;"",P606&gt;0),(I606+J606+K606)/P606,"")</f>
        <v/>
      </c>
    </row>
    <row r="607" ht="67.5" customHeight="1">
      <c r="A607" s="5" t="inlineStr">
        <is>
          <t>2026-03-13</t>
        </is>
      </c>
      <c r="B607" s="5" t="inlineStr">
        <is>
          <t>11周</t>
        </is>
      </c>
      <c r="C607" s="5" t="inlineStr">
        <is>
          <t>抖音</t>
        </is>
      </c>
      <c r="D607" s="5" t="n"/>
      <c r="E607" s="5" t="n"/>
      <c r="F607" s="5" t="inlineStr">
        <is>
          <t>https://www.douyin.com/user/MS4wLjABAAAAhlGqBsZEiZPSjaqzAeJhY8k0H6fS33M39UmX-GKEgp8?from_tab_name=main&amp;modal_id=7615241810725765614</t>
        </is>
      </c>
      <c r="G607" s="5" t="inlineStr">
        <is>
          <t>0002A1</t>
        </is>
      </c>
      <c r="H607" s="5" t="inlineStr">
        <is>
          <t>穆祉丞</t>
        </is>
      </c>
      <c r="I607" s="5" t="n"/>
      <c r="J607" s="5" t="n"/>
      <c r="K607" s="5" t="n">
        <v>110.5</v>
      </c>
      <c r="L607" s="5" t="n">
        <v>2551</v>
      </c>
      <c r="M607" s="5" t="n">
        <v>97</v>
      </c>
      <c r="N607" s="5" t="n">
        <v>6</v>
      </c>
      <c r="O607" s="5" t="n">
        <v>17</v>
      </c>
      <c r="P607" s="8">
        <f>IF(AND(M607&lt;&gt;"",M607&gt;0),M607+N607+O607,"")</f>
        <v/>
      </c>
      <c r="Q607" s="11">
        <f>IF(AND(L607&lt;&gt;"",L607&gt;0,P607&lt;&gt;""),P607/L607,"")</f>
        <v/>
      </c>
      <c r="R607" s="16">
        <f>IF(AND(P607&lt;&gt;"",P607&gt;0),(I607+J607+K607)/P607,"")</f>
        <v/>
      </c>
    </row>
    <row r="608" ht="81" customHeight="1">
      <c r="A608" s="5" t="inlineStr">
        <is>
          <t>2026-03-13</t>
        </is>
      </c>
      <c r="B608" s="5" t="inlineStr">
        <is>
          <t>11周</t>
        </is>
      </c>
      <c r="C608" s="5" t="inlineStr">
        <is>
          <t>抖音</t>
        </is>
      </c>
      <c r="D608" s="5" t="n"/>
      <c r="E608" s="5" t="n"/>
      <c r="F608" s="5" t="inlineStr">
        <is>
          <t>https://www.douyin.com/user/MS4wLjABAAAA8jHJFcTiRf3pLK7HvU1EAPAzR6ZpIm0ANLLCHeDO3cGr-69UZs4gOS1TpmvaF698?from_tab_name=main&amp;modal_id=7616689423028054194</t>
        </is>
      </c>
      <c r="G608" s="5" t="inlineStr">
        <is>
          <t>0002A1</t>
        </is>
      </c>
      <c r="H608" s="5" t="inlineStr">
        <is>
          <t>穆祉丞</t>
        </is>
      </c>
      <c r="I608" s="5" t="n"/>
      <c r="J608" s="5" t="n"/>
      <c r="K608" s="5" t="n">
        <v>110.5</v>
      </c>
      <c r="L608" s="5" t="n">
        <v>2635</v>
      </c>
      <c r="M608" s="5" t="n">
        <v>266</v>
      </c>
      <c r="N608" s="5" t="n">
        <v>3</v>
      </c>
      <c r="O608" s="5" t="n">
        <v>16</v>
      </c>
      <c r="P608" s="8">
        <f>IF(AND(M608&lt;&gt;"",M608&gt;0),M608+N608+O608,"")</f>
        <v/>
      </c>
      <c r="Q608" s="11">
        <f>IF(AND(L608&lt;&gt;"",L608&gt;0,P608&lt;&gt;""),P608/L608,"")</f>
        <v/>
      </c>
      <c r="R608" s="16">
        <f>IF(AND(P608&lt;&gt;"",P608&gt;0),(I608+J608+K608)/P608,"")</f>
        <v/>
      </c>
    </row>
    <row r="609" ht="27" customHeight="1">
      <c r="A609" s="5" t="inlineStr">
        <is>
          <t>2026-03-13</t>
        </is>
      </c>
      <c r="B609" s="5" t="inlineStr">
        <is>
          <t>11周</t>
        </is>
      </c>
      <c r="C609" s="5" t="inlineStr">
        <is>
          <t>抖音</t>
        </is>
      </c>
      <c r="D609" s="5" t="n"/>
      <c r="E609" s="5" t="n"/>
      <c r="F609" s="5" t="inlineStr">
        <is>
          <t>https://v.douyin.com/reKB8QfRsAk/</t>
        </is>
      </c>
      <c r="G609" s="5" t="inlineStr">
        <is>
          <t>1217W</t>
        </is>
      </c>
      <c r="H609" s="5" t="inlineStr">
        <is>
          <t>穿搭</t>
        </is>
      </c>
      <c r="I609" s="5" t="n">
        <v>100</v>
      </c>
      <c r="J609" s="5" t="n"/>
      <c r="K609" s="5" t="n">
        <v>54</v>
      </c>
      <c r="L609" s="5" t="n">
        <v>95000</v>
      </c>
      <c r="M609" s="5" t="n">
        <v>6664</v>
      </c>
      <c r="N609" s="5" t="n">
        <v>1068</v>
      </c>
      <c r="O609" s="5" t="n">
        <v>123</v>
      </c>
      <c r="P609" s="8">
        <f>IF(AND(M609&lt;&gt;"",M609&gt;0),M609+N609+O609,"")</f>
        <v/>
      </c>
      <c r="Q609" s="11">
        <f>IF(AND(L609&lt;&gt;"",L609&gt;0,P609&lt;&gt;""),P609/L609,"")</f>
        <v/>
      </c>
      <c r="R609" s="16">
        <f>IF(AND(P609&lt;&gt;"",P609&gt;0),(I609+J609+K609)/P609,"")</f>
        <v/>
      </c>
    </row>
    <row r="610" ht="27" customHeight="1">
      <c r="A610" s="5" t="inlineStr">
        <is>
          <t>2026-03-13</t>
        </is>
      </c>
      <c r="B610" s="5" t="inlineStr">
        <is>
          <t>11周</t>
        </is>
      </c>
      <c r="C610" s="5" t="inlineStr">
        <is>
          <t>抖音</t>
        </is>
      </c>
      <c r="D610" s="5" t="n"/>
      <c r="E610" s="5" t="n"/>
      <c r="F610" s="5" t="inlineStr">
        <is>
          <t>https://v.douyin.com/FoudjZtI9gc/</t>
        </is>
      </c>
      <c r="G610" s="5" t="inlineStr">
        <is>
          <t>495</t>
        </is>
      </c>
      <c r="H610" s="5" t="inlineStr">
        <is>
          <t>口播</t>
        </is>
      </c>
      <c r="I610" s="5" t="n"/>
      <c r="J610" s="5" t="n"/>
      <c r="K610" s="5" t="n">
        <v>93</v>
      </c>
      <c r="L610" s="5" t="n">
        <v>4568</v>
      </c>
      <c r="M610" s="5" t="n">
        <v>106</v>
      </c>
      <c r="N610" s="5" t="n">
        <v>11</v>
      </c>
      <c r="O610" s="5" t="n">
        <v>15</v>
      </c>
      <c r="P610" s="8">
        <f>IF(AND(M610&lt;&gt;"",M610&gt;0),M610+N610+O610,"")</f>
        <v/>
      </c>
      <c r="Q610" s="11">
        <f>IF(AND(L610&lt;&gt;"",L610&gt;0,P610&lt;&gt;""),P610/L610,"")</f>
        <v/>
      </c>
      <c r="R610" s="16">
        <f>IF(AND(P610&lt;&gt;"",P610&gt;0),(I610+J610+K610)/P610,"")</f>
        <v/>
      </c>
    </row>
    <row r="611" ht="27" customHeight="1">
      <c r="A611" s="5" t="inlineStr">
        <is>
          <t>2026-03-13</t>
        </is>
      </c>
      <c r="B611" s="5" t="inlineStr">
        <is>
          <t>11周</t>
        </is>
      </c>
      <c r="C611" s="5" t="inlineStr">
        <is>
          <t>抖音</t>
        </is>
      </c>
      <c r="D611" s="5" t="n"/>
      <c r="E611" s="5" t="n"/>
      <c r="F611" s="5" t="inlineStr">
        <is>
          <t>https://v.douyin.com/7eB2nVr5I28/</t>
        </is>
      </c>
      <c r="G611" s="5" t="inlineStr">
        <is>
          <t>0002A1</t>
        </is>
      </c>
      <c r="H611" s="5" t="inlineStr">
        <is>
          <t>穆祉丞</t>
        </is>
      </c>
      <c r="I611" s="5" t="n"/>
      <c r="J611" s="5" t="n"/>
      <c r="K611" s="5" t="n">
        <v>110.5</v>
      </c>
      <c r="L611" s="5" t="n">
        <v>4038</v>
      </c>
      <c r="M611" s="5" t="n">
        <v>488</v>
      </c>
      <c r="N611" s="5" t="n">
        <v>16</v>
      </c>
      <c r="O611" s="5" t="n">
        <v>25</v>
      </c>
      <c r="P611" s="8">
        <f>IF(AND(M611&lt;&gt;"",M611&gt;0),M611+N611+O611,"")</f>
        <v/>
      </c>
      <c r="Q611" s="11">
        <f>IF(AND(L611&lt;&gt;"",L611&gt;0,P611&lt;&gt;""),P611/L611,"")</f>
        <v/>
      </c>
      <c r="R611" s="16">
        <f>IF(AND(P611&lt;&gt;"",P611&gt;0),(I611+J611+K611)/P611,"")</f>
        <v/>
      </c>
    </row>
    <row r="612" ht="27" customHeight="1">
      <c r="A612" s="5" t="inlineStr">
        <is>
          <t>2026-03-13</t>
        </is>
      </c>
      <c r="B612" s="5" t="inlineStr">
        <is>
          <t>11周</t>
        </is>
      </c>
      <c r="C612" s="5" t="inlineStr">
        <is>
          <t>抖音</t>
        </is>
      </c>
      <c r="D612" s="5" t="n"/>
      <c r="E612" s="5" t="n"/>
      <c r="F612" s="5" t="inlineStr">
        <is>
          <t>https://v.douyin.com/0vcu8pxWu4A/</t>
        </is>
      </c>
      <c r="G612" s="5" t="inlineStr">
        <is>
          <t>495</t>
        </is>
      </c>
      <c r="H612" s="5" t="inlineStr">
        <is>
          <t>穿搭</t>
        </is>
      </c>
      <c r="I612" s="5" t="n"/>
      <c r="J612" s="5" t="n"/>
      <c r="K612" s="5" t="n">
        <v>93</v>
      </c>
      <c r="L612" s="5" t="n">
        <v>12000</v>
      </c>
      <c r="M612" s="5" t="n">
        <v>636</v>
      </c>
      <c r="N612" s="5" t="n">
        <v>27</v>
      </c>
      <c r="O612" s="5" t="n">
        <v>32</v>
      </c>
      <c r="P612" s="8">
        <f>IF(AND(M612&lt;&gt;"",M612&gt;0),M612+N612+O612,"")</f>
        <v/>
      </c>
      <c r="Q612" s="11">
        <f>IF(AND(L612&lt;&gt;"",L612&gt;0,P612&lt;&gt;""),P612/L612,"")</f>
        <v/>
      </c>
      <c r="R612" s="16">
        <f>IF(AND(P612&lt;&gt;"",P612&gt;0),(I612+J612+K612)/P612,"")</f>
        <v/>
      </c>
    </row>
    <row r="613" ht="27" customHeight="1">
      <c r="A613" s="5" t="inlineStr">
        <is>
          <t>2026-03-13</t>
        </is>
      </c>
      <c r="B613" s="5" t="inlineStr">
        <is>
          <t>11周</t>
        </is>
      </c>
      <c r="C613" s="5" t="inlineStr">
        <is>
          <t>抖音</t>
        </is>
      </c>
      <c r="D613" s="5" t="n"/>
      <c r="E613" s="5" t="n"/>
      <c r="F613" s="5" t="inlineStr">
        <is>
          <t>https://v.douyin.com/ZbZL7BAUbKk/</t>
        </is>
      </c>
      <c r="G613" s="5" t="inlineStr">
        <is>
          <t>495</t>
        </is>
      </c>
      <c r="H613" s="5" t="inlineStr">
        <is>
          <t>穿搭</t>
        </is>
      </c>
      <c r="I613" s="5" t="n"/>
      <c r="J613" s="5" t="n"/>
      <c r="K613" s="5" t="n">
        <v>93</v>
      </c>
      <c r="L613" s="5" t="n">
        <v>6700</v>
      </c>
      <c r="M613" s="5" t="n">
        <v>1066</v>
      </c>
      <c r="N613" s="5" t="n">
        <v>45</v>
      </c>
      <c r="O613" s="5" t="n">
        <v>392</v>
      </c>
      <c r="P613" s="8">
        <f>IF(AND(M613&lt;&gt;"",M613&gt;0),M613+N613+O613,"")</f>
        <v/>
      </c>
      <c r="Q613" s="11">
        <f>IF(AND(L613&lt;&gt;"",L613&gt;0,P613&lt;&gt;""),P613/L613,"")</f>
        <v/>
      </c>
      <c r="R613" s="16">
        <f>IF(AND(P613&lt;&gt;"",P613&gt;0),(I613+J613+K613)/P613,"")</f>
        <v/>
      </c>
    </row>
    <row r="614" ht="27" customHeight="1">
      <c r="A614" s="5" t="inlineStr">
        <is>
          <t>2026-03-13</t>
        </is>
      </c>
      <c r="B614" s="5" t="inlineStr">
        <is>
          <t>11周</t>
        </is>
      </c>
      <c r="C614" s="5" t="inlineStr">
        <is>
          <t>抖音</t>
        </is>
      </c>
      <c r="D614" s="5" t="n"/>
      <c r="E614" s="5" t="n"/>
      <c r="F614" s="5" t="inlineStr">
        <is>
          <t>https://v.douyin.com/FdoVlzUhciY/</t>
        </is>
      </c>
      <c r="G614" s="5" t="inlineStr">
        <is>
          <t>0002A1</t>
        </is>
      </c>
      <c r="H614" s="5" t="inlineStr">
        <is>
          <t>穿搭</t>
        </is>
      </c>
      <c r="I614" s="5" t="n"/>
      <c r="J614" s="5" t="n"/>
      <c r="K614" s="5" t="n">
        <v>110.5</v>
      </c>
      <c r="L614" s="5" t="n">
        <v>41000</v>
      </c>
      <c r="M614" s="5" t="n">
        <v>651</v>
      </c>
      <c r="N614" s="5" t="n">
        <v>182</v>
      </c>
      <c r="O614" s="5" t="n">
        <v>14</v>
      </c>
      <c r="P614" s="8">
        <f>IF(AND(M614&lt;&gt;"",M614&gt;0),M614+N614+O614,"")</f>
        <v/>
      </c>
      <c r="Q614" s="11">
        <f>IF(AND(L614&lt;&gt;"",L614&gt;0,P614&lt;&gt;""),P614/L614,"")</f>
        <v/>
      </c>
      <c r="R614" s="16">
        <f>IF(AND(P614&lt;&gt;"",P614&gt;0),(I614+J614+K614)/P614,"")</f>
        <v/>
      </c>
    </row>
    <row r="615" ht="27" customHeight="1">
      <c r="A615" s="5" t="inlineStr">
        <is>
          <t>2026-03-13</t>
        </is>
      </c>
      <c r="B615" s="5" t="inlineStr">
        <is>
          <t>11周</t>
        </is>
      </c>
      <c r="C615" s="5" t="inlineStr">
        <is>
          <t>抖音</t>
        </is>
      </c>
      <c r="D615" s="5" t="n"/>
      <c r="E615" s="5" t="n"/>
      <c r="F615" s="5" t="inlineStr">
        <is>
          <t>https://v.douyin.com/BVkphas8Xpc/</t>
        </is>
      </c>
      <c r="G615" s="5" t="inlineStr">
        <is>
          <t>495</t>
        </is>
      </c>
      <c r="H615" s="5" t="inlineStr">
        <is>
          <t>学生</t>
        </is>
      </c>
      <c r="I615" s="5" t="n"/>
      <c r="J615" s="5" t="n"/>
      <c r="K615" s="5" t="n">
        <v>93</v>
      </c>
      <c r="L615" s="5" t="n">
        <v>6200</v>
      </c>
      <c r="M615" s="5" t="n">
        <v>349</v>
      </c>
      <c r="N615" s="5" t="n">
        <v>8</v>
      </c>
      <c r="O615" s="5" t="n">
        <v>57</v>
      </c>
      <c r="P615" s="8">
        <f>IF(AND(M615&lt;&gt;"",M615&gt;0),M615+N615+O615,"")</f>
        <v/>
      </c>
      <c r="Q615" s="11">
        <f>IF(AND(L615&lt;&gt;"",L615&gt;0,P615&lt;&gt;""),P615/L615,"")</f>
        <v/>
      </c>
      <c r="R615" s="16">
        <f>IF(AND(P615&lt;&gt;"",P615&gt;0),(I615+J615+K615)/P615,"")</f>
        <v/>
      </c>
    </row>
    <row r="616" ht="67.5" customHeight="1">
      <c r="A616" s="5" t="inlineStr">
        <is>
          <t>2026-03-13</t>
        </is>
      </c>
      <c r="B616" s="5" t="inlineStr">
        <is>
          <t>11周</t>
        </is>
      </c>
      <c r="C616" s="5" t="inlineStr">
        <is>
          <t>小红书</t>
        </is>
      </c>
      <c r="D616" s="5" t="n"/>
      <c r="E616" s="5" t="n"/>
      <c r="F616" s="5" t="inlineStr">
        <is>
          <t>https://www.xiaohongshu.com/discovery/item/69b3f109000000002300667c?xsec_token=CBvrz6VOyN96o7Q4gNMHp0SUsqUFdeWQpwxEzmfuZ8WUI=&amp;xsec_source=app_share</t>
        </is>
      </c>
      <c r="G616" s="5" t="inlineStr">
        <is>
          <t>0002A1</t>
        </is>
      </c>
      <c r="H616" s="5" t="inlineStr">
        <is>
          <t>穿搭</t>
        </is>
      </c>
      <c r="I616" s="5" t="n">
        <v>150</v>
      </c>
      <c r="J616" s="5" t="n"/>
      <c r="K616" s="5" t="n">
        <v>110.5</v>
      </c>
      <c r="L616" s="5" t="n">
        <v>6951</v>
      </c>
      <c r="M616" s="5" t="n">
        <v>486</v>
      </c>
      <c r="N616" s="5" t="n">
        <v>100</v>
      </c>
      <c r="O616" s="5" t="n">
        <v>24</v>
      </c>
      <c r="P616" s="8">
        <f>IF(AND(M616&lt;&gt;"",M616&gt;0),M616+N616+O616,"")</f>
        <v/>
      </c>
      <c r="Q616" s="11">
        <f>IF(AND(L616&lt;&gt;"",L616&gt;0,P616&lt;&gt;""),P616/L616,"")</f>
        <v/>
      </c>
      <c r="R616" s="16">
        <f>IF(AND(P616&lt;&gt;"",P616&gt;0),(I616+J616+K616)/P616,"")</f>
        <v/>
      </c>
    </row>
    <row r="617" ht="27" customHeight="1">
      <c r="A617" s="5" t="inlineStr">
        <is>
          <t>2026-03-14</t>
        </is>
      </c>
      <c r="B617" s="5" t="inlineStr">
        <is>
          <t>11周</t>
        </is>
      </c>
      <c r="C617" s="5" t="inlineStr">
        <is>
          <t>抖音</t>
        </is>
      </c>
      <c r="D617" s="5" t="n"/>
      <c r="E617" s="5" t="n"/>
      <c r="F617" s="5" t="inlineStr">
        <is>
          <t>https://v.douyin.com/53dmfOWFF28/</t>
        </is>
      </c>
      <c r="G617" s="5" t="inlineStr">
        <is>
          <t>0001A1</t>
        </is>
      </c>
      <c r="H617" s="5" t="inlineStr">
        <is>
          <t>穿搭</t>
        </is>
      </c>
      <c r="I617" s="5" t="n"/>
      <c r="J617" s="5" t="n"/>
      <c r="K617" s="5" t="n">
        <v>107.5</v>
      </c>
      <c r="L617" s="5" t="n">
        <v>5474</v>
      </c>
      <c r="M617" s="5" t="n">
        <v>324</v>
      </c>
      <c r="N617" s="5" t="n">
        <v>22</v>
      </c>
      <c r="O617" s="5" t="n">
        <v>13</v>
      </c>
      <c r="P617" s="8">
        <f>IF(AND(M617&lt;&gt;"",M617&gt;0),M617+N617+O617,"")</f>
        <v/>
      </c>
      <c r="Q617" s="11">
        <f>IF(AND(L617&lt;&gt;"",L617&gt;0,P617&lt;&gt;""),P617/L617,"")</f>
        <v/>
      </c>
      <c r="R617" s="16">
        <f>IF(AND(P617&lt;&gt;"",P617&gt;0),(I617+J617+K617)/P617,"")</f>
        <v/>
      </c>
    </row>
    <row r="618" ht="27" customHeight="1">
      <c r="A618" s="5" t="inlineStr">
        <is>
          <t>2026-03-14</t>
        </is>
      </c>
      <c r="B618" s="5" t="inlineStr">
        <is>
          <t>11周</t>
        </is>
      </c>
      <c r="C618" s="5" t="inlineStr">
        <is>
          <t>抖音</t>
        </is>
      </c>
      <c r="D618" s="5" t="n"/>
      <c r="E618" s="5" t="n"/>
      <c r="F618" s="5" t="inlineStr">
        <is>
          <t>https://v.douyin.com/QpRBhFp-pg4/</t>
        </is>
      </c>
      <c r="G618" s="5" t="inlineStr">
        <is>
          <t>0002A1</t>
        </is>
      </c>
      <c r="H618" s="5" t="inlineStr">
        <is>
          <t>刘耀文</t>
        </is>
      </c>
      <c r="I618" s="5" t="n"/>
      <c r="J618" s="5" t="n"/>
      <c r="K618" s="5" t="n">
        <v>110.5</v>
      </c>
      <c r="L618" s="5" t="n">
        <v>2418</v>
      </c>
      <c r="M618" s="5" t="n">
        <v>217</v>
      </c>
      <c r="N618" s="5" t="n">
        <v>13</v>
      </c>
      <c r="O618" s="5" t="n">
        <v>20</v>
      </c>
      <c r="P618" s="8">
        <f>IF(AND(M618&lt;&gt;"",M618&gt;0),M618+N618+O618,"")</f>
        <v/>
      </c>
      <c r="Q618" s="11">
        <f>IF(AND(L618&lt;&gt;"",L618&gt;0,P618&lt;&gt;""),P618/L618,"")</f>
        <v/>
      </c>
      <c r="R618" s="16">
        <f>IF(AND(P618&lt;&gt;"",P618&gt;0),(I618+J618+K618)/P618,"")</f>
        <v/>
      </c>
    </row>
    <row r="619" ht="27" customHeight="1">
      <c r="A619" s="5" t="inlineStr">
        <is>
          <t>2026-03-14</t>
        </is>
      </c>
      <c r="B619" s="5" t="inlineStr">
        <is>
          <t>11周</t>
        </is>
      </c>
      <c r="C619" s="5" t="inlineStr">
        <is>
          <t>抖音</t>
        </is>
      </c>
      <c r="D619" s="5" t="n"/>
      <c r="E619" s="5" t="n"/>
      <c r="F619" s="5" t="inlineStr">
        <is>
          <t>https://v.douyin.com/c48jd5XIxTE/</t>
        </is>
      </c>
      <c r="G619" s="5" t="inlineStr">
        <is>
          <t>0002A1</t>
        </is>
      </c>
      <c r="H619" s="5" t="inlineStr">
        <is>
          <t>穿搭</t>
        </is>
      </c>
      <c r="I619" s="5" t="n">
        <v>300</v>
      </c>
      <c r="J619" s="5" t="n"/>
      <c r="K619" s="5" t="n">
        <v>110.5</v>
      </c>
      <c r="L619" s="5" t="n">
        <v>152000</v>
      </c>
      <c r="M619" s="5" t="n">
        <v>5613</v>
      </c>
      <c r="N619" s="5" t="n">
        <v>985</v>
      </c>
      <c r="O619" s="5" t="n">
        <v>162</v>
      </c>
      <c r="P619" s="8">
        <f>IF(AND(M619&lt;&gt;"",M619&gt;0),M619+N619+O619,"")</f>
        <v/>
      </c>
      <c r="Q619" s="11">
        <f>IF(AND(L619&lt;&gt;"",L619&gt;0,P619&lt;&gt;""),P619/L619,"")</f>
        <v/>
      </c>
      <c r="R619" s="16">
        <f>IF(AND(P619&lt;&gt;"",P619&gt;0),(I619+J619+K619)/P619,"")</f>
        <v/>
      </c>
    </row>
    <row r="620" ht="27" customHeight="1">
      <c r="A620" s="5" t="inlineStr">
        <is>
          <t>2026-03-14</t>
        </is>
      </c>
      <c r="B620" s="5" t="inlineStr">
        <is>
          <t>11周</t>
        </is>
      </c>
      <c r="C620" s="5" t="inlineStr">
        <is>
          <t>抖音</t>
        </is>
      </c>
      <c r="D620" s="5" t="n"/>
      <c r="E620" s="5" t="n"/>
      <c r="F620" s="5" t="inlineStr">
        <is>
          <t>https://v.douyin.com/-Ko7k5aoCno/</t>
        </is>
      </c>
      <c r="G620" s="5" t="inlineStr">
        <is>
          <t>495</t>
        </is>
      </c>
      <c r="H620" s="5" t="inlineStr">
        <is>
          <t>穿搭</t>
        </is>
      </c>
      <c r="I620" s="5" t="n"/>
      <c r="J620" s="5" t="n"/>
      <c r="K620" s="5" t="n">
        <v>93</v>
      </c>
      <c r="L620" s="5" t="n">
        <v>15000</v>
      </c>
      <c r="M620" s="5" t="n">
        <v>512</v>
      </c>
      <c r="N620" s="5" t="n">
        <v>36</v>
      </c>
      <c r="O620" s="5" t="n">
        <v>23</v>
      </c>
      <c r="P620" s="8">
        <f>IF(AND(M620&lt;&gt;"",M620&gt;0),M620+N620+O620,"")</f>
        <v/>
      </c>
      <c r="Q620" s="11">
        <f>IF(AND(L620&lt;&gt;"",L620&gt;0,P620&lt;&gt;""),P620/L620,"")</f>
        <v/>
      </c>
      <c r="R620" s="16">
        <f>IF(AND(P620&lt;&gt;"",P620&gt;0),(I620+J620+K620)/P620,"")</f>
        <v/>
      </c>
    </row>
    <row r="621" ht="27" customHeight="1">
      <c r="A621" s="5" t="inlineStr">
        <is>
          <t>2026-03-14</t>
        </is>
      </c>
      <c r="B621" s="5" t="inlineStr">
        <is>
          <t>11周</t>
        </is>
      </c>
      <c r="C621" s="5" t="inlineStr">
        <is>
          <t>抖音</t>
        </is>
      </c>
      <c r="D621" s="5" t="n"/>
      <c r="E621" s="5" t="n"/>
      <c r="F621" s="5" t="inlineStr">
        <is>
          <t>https://v.douyin.com/ZkwUMauuF5w/</t>
        </is>
      </c>
      <c r="G621" s="5" t="inlineStr">
        <is>
          <t>1172W</t>
        </is>
      </c>
      <c r="H621" s="5" t="inlineStr">
        <is>
          <t>学生</t>
        </is>
      </c>
      <c r="I621" s="5" t="n"/>
      <c r="J621" s="5" t="n"/>
      <c r="K621" s="5" t="n">
        <v>57.5</v>
      </c>
      <c r="L621" s="5" t="n">
        <v>7100</v>
      </c>
      <c r="M621" s="5" t="n">
        <v>412</v>
      </c>
      <c r="N621" s="5" t="n">
        <v>6</v>
      </c>
      <c r="O621" s="5" t="n">
        <v>10</v>
      </c>
      <c r="P621" s="8">
        <f>IF(AND(M621&lt;&gt;"",M621&gt;0),M621+N621+O621,"")</f>
        <v/>
      </c>
      <c r="Q621" s="11">
        <f>IF(AND(L621&lt;&gt;"",L621&gt;0,P621&lt;&gt;""),P621/L621,"")</f>
        <v/>
      </c>
      <c r="R621" s="16">
        <f>IF(AND(P621&lt;&gt;"",P621&gt;0),(I621+J621+K621)/P621,"")</f>
        <v/>
      </c>
    </row>
    <row r="622" ht="27" customHeight="1">
      <c r="A622" s="5" t="inlineStr">
        <is>
          <t>2026-03-14</t>
        </is>
      </c>
      <c r="B622" s="5" t="inlineStr">
        <is>
          <t>11周</t>
        </is>
      </c>
      <c r="C622" s="5" t="inlineStr">
        <is>
          <t>抖音</t>
        </is>
      </c>
      <c r="D622" s="5" t="n"/>
      <c r="E622" s="5" t="n"/>
      <c r="F622" s="5" t="inlineStr">
        <is>
          <t>https://v.douyin.com/-8tlE81_p0k/</t>
        </is>
      </c>
      <c r="G622" s="5" t="inlineStr">
        <is>
          <t>0002A1</t>
        </is>
      </c>
      <c r="H622" s="5" t="inlineStr">
        <is>
          <t>穿搭</t>
        </is>
      </c>
      <c r="I622" s="5" t="n"/>
      <c r="J622" s="5" t="n"/>
      <c r="K622" s="5" t="n">
        <v>110.5</v>
      </c>
      <c r="L622" s="5" t="n">
        <v>69000</v>
      </c>
      <c r="M622" s="5" t="n">
        <v>5841</v>
      </c>
      <c r="N622" s="5" t="n">
        <v>370</v>
      </c>
      <c r="O622" s="5" t="n">
        <v>35</v>
      </c>
      <c r="P622" s="8">
        <f>IF(AND(M622&lt;&gt;"",M622&gt;0),M622+N622+O622,"")</f>
        <v/>
      </c>
      <c r="Q622" s="11">
        <f>IF(AND(L622&lt;&gt;"",L622&gt;0,P622&lt;&gt;""),P622/L622,"")</f>
        <v/>
      </c>
      <c r="R622" s="16">
        <f>IF(AND(P622&lt;&gt;"",P622&gt;0),(I622+J622+K622)/P622,"")</f>
        <v/>
      </c>
    </row>
    <row r="623" ht="81" customHeight="1">
      <c r="A623" s="5" t="inlineStr">
        <is>
          <t>2026-03-14</t>
        </is>
      </c>
      <c r="B623" s="5" t="inlineStr">
        <is>
          <t>11周</t>
        </is>
      </c>
      <c r="C623" s="5" t="inlineStr">
        <is>
          <t>抖音</t>
        </is>
      </c>
      <c r="D623" s="5" t="n"/>
      <c r="E623" s="5" t="n"/>
      <c r="F623" s="5" t="inlineStr">
        <is>
          <t>https://www.douyin.com/user/MS4wLjABAAAARyMTufpLsJ9-BVSdef3W_u_lQy_xVztk3UAIJ37YhY3pjBSrWQi9b7FqU-si9m5g?from_tab_name=main&amp;modal_id=7617079174905227173</t>
        </is>
      </c>
      <c r="G623" s="5" t="inlineStr">
        <is>
          <t>0002A1</t>
        </is>
      </c>
      <c r="H623" s="5" t="inlineStr">
        <is>
          <t>穆祉丞</t>
        </is>
      </c>
      <c r="I623" s="5" t="n"/>
      <c r="J623" s="5" t="n"/>
      <c r="K623" s="5" t="n">
        <v>110.5</v>
      </c>
      <c r="L623" s="5" t="n">
        <v>2977</v>
      </c>
      <c r="M623" s="5" t="n">
        <v>171</v>
      </c>
      <c r="N623" s="5" t="n">
        <v>12</v>
      </c>
      <c r="O623" s="5" t="n">
        <v>14</v>
      </c>
      <c r="P623" s="8">
        <f>IF(AND(M623&lt;&gt;"",M623&gt;0),M623+N623+O623,"")</f>
        <v/>
      </c>
      <c r="Q623" s="11">
        <f>IF(AND(L623&lt;&gt;"",L623&gt;0,P623&lt;&gt;""),P623/L623,"")</f>
        <v/>
      </c>
      <c r="R623" s="16">
        <f>IF(AND(P623&lt;&gt;"",P623&gt;0),(I623+J623+K623)/P623,"")</f>
        <v/>
      </c>
    </row>
    <row r="624" ht="27" customHeight="1">
      <c r="A624" s="5" t="inlineStr">
        <is>
          <t>2026-03-14</t>
        </is>
      </c>
      <c r="B624" s="5" t="inlineStr">
        <is>
          <t>11周</t>
        </is>
      </c>
      <c r="C624" s="5" t="inlineStr">
        <is>
          <t>抖音</t>
        </is>
      </c>
      <c r="D624" s="5" t="n"/>
      <c r="E624" s="5" t="n"/>
      <c r="F624" s="5" t="inlineStr">
        <is>
          <t>https://v.douyin.com/eNVEZUKShjA/</t>
        </is>
      </c>
      <c r="G624" s="5" t="inlineStr">
        <is>
          <t>0002A1</t>
        </is>
      </c>
      <c r="H624" s="5" t="inlineStr">
        <is>
          <t>刘耀文</t>
        </is>
      </c>
      <c r="I624" s="5" t="n"/>
      <c r="J624" s="5" t="n"/>
      <c r="K624" s="5" t="n">
        <v>110.5</v>
      </c>
      <c r="L624" s="5" t="n">
        <v>1738</v>
      </c>
      <c r="M624" s="5" t="n">
        <v>224</v>
      </c>
      <c r="N624" s="5" t="n">
        <v>7</v>
      </c>
      <c r="O624" s="5" t="n">
        <v>4</v>
      </c>
      <c r="P624" s="8">
        <f>IF(AND(M624&lt;&gt;"",M624&gt;0),M624+N624+O624,"")</f>
        <v/>
      </c>
      <c r="Q624" s="11">
        <f>IF(AND(L624&lt;&gt;"",L624&gt;0,P624&lt;&gt;""),P624/L624,"")</f>
        <v/>
      </c>
      <c r="R624" s="16">
        <f>IF(AND(P624&lt;&gt;"",P624&gt;0),(I624+J624+K624)/P624,"")</f>
        <v/>
      </c>
    </row>
    <row r="625" ht="27" customHeight="1">
      <c r="A625" s="5" t="inlineStr">
        <is>
          <t>2026-03-14</t>
        </is>
      </c>
      <c r="B625" s="5" t="inlineStr">
        <is>
          <t>11周</t>
        </is>
      </c>
      <c r="C625" s="5" t="inlineStr">
        <is>
          <t>抖音</t>
        </is>
      </c>
      <c r="D625" s="5" t="n"/>
      <c r="E625" s="5" t="n"/>
      <c r="F625" s="5" t="inlineStr">
        <is>
          <t>https://v.douyin.com/h_RsNAMHWJs/</t>
        </is>
      </c>
      <c r="G625" s="5" t="inlineStr">
        <is>
          <t>0001A1</t>
        </is>
      </c>
      <c r="H625" s="5" t="inlineStr">
        <is>
          <t>穿搭</t>
        </is>
      </c>
      <c r="I625" s="5" t="n">
        <v>90</v>
      </c>
      <c r="J625" s="5" t="n"/>
      <c r="K625" s="5" t="n">
        <v>107.5</v>
      </c>
      <c r="L625" s="5" t="n">
        <v>12000</v>
      </c>
      <c r="M625" s="5" t="n">
        <v>1785</v>
      </c>
      <c r="N625" s="5" t="n">
        <v>197</v>
      </c>
      <c r="O625" s="5" t="n">
        <v>18</v>
      </c>
      <c r="P625" s="8">
        <f>IF(AND(M625&lt;&gt;"",M625&gt;0),M625+N625+O625,"")</f>
        <v/>
      </c>
      <c r="Q625" s="11">
        <f>IF(AND(L625&lt;&gt;"",L625&gt;0,P625&lt;&gt;""),P625/L625,"")</f>
        <v/>
      </c>
      <c r="R625" s="16">
        <f>IF(AND(P625&lt;&gt;"",P625&gt;0),(I625+J625+K625)/P625,"")</f>
        <v/>
      </c>
    </row>
    <row r="626" ht="27" customHeight="1">
      <c r="A626" s="5" t="inlineStr">
        <is>
          <t>2026-03-15</t>
        </is>
      </c>
      <c r="B626" s="5" t="inlineStr">
        <is>
          <t>11周</t>
        </is>
      </c>
      <c r="C626" s="5" t="inlineStr">
        <is>
          <t>抖音</t>
        </is>
      </c>
      <c r="D626" s="5" t="n"/>
      <c r="E626" s="5" t="n"/>
      <c r="F626" s="5" t="inlineStr">
        <is>
          <t>https://v.douyin.com/14Wih3jIPKQ/</t>
        </is>
      </c>
      <c r="G626" s="5" t="inlineStr">
        <is>
          <t>0002A1</t>
        </is>
      </c>
      <c r="H626" s="5" t="inlineStr">
        <is>
          <t>刘耀文</t>
        </is>
      </c>
      <c r="I626" s="5" t="n"/>
      <c r="J626" s="5" t="n"/>
      <c r="K626" s="5" t="n">
        <v>110.5</v>
      </c>
      <c r="L626" s="5" t="n">
        <v>1084</v>
      </c>
      <c r="M626" s="5" t="n">
        <v>151</v>
      </c>
      <c r="N626" s="5" t="n">
        <v>1</v>
      </c>
      <c r="O626" s="5" t="n">
        <v>36</v>
      </c>
      <c r="P626" s="8">
        <f>IF(AND(M626&lt;&gt;"",M626&gt;0),M626+N626+O626,"")</f>
        <v/>
      </c>
      <c r="Q626" s="11">
        <f>IF(AND(L626&lt;&gt;"",L626&gt;0,P626&lt;&gt;""),P626/L626,"")</f>
        <v/>
      </c>
      <c r="R626" s="16">
        <f>IF(AND(P626&lt;&gt;"",P626&gt;0),(I626+J626+K626)/P626,"")</f>
        <v/>
      </c>
    </row>
    <row r="627" ht="27" customHeight="1">
      <c r="A627" s="5" t="inlineStr">
        <is>
          <t>2026-03-16</t>
        </is>
      </c>
      <c r="B627" s="5" t="inlineStr">
        <is>
          <t>12周</t>
        </is>
      </c>
      <c r="C627" s="5" t="inlineStr">
        <is>
          <t>抖音</t>
        </is>
      </c>
      <c r="D627" s="5" t="n"/>
      <c r="E627" s="5" t="n"/>
      <c r="F627" s="5" t="inlineStr">
        <is>
          <t>https://v.douyin.com/7az5ft4K9p0/</t>
        </is>
      </c>
      <c r="G627" s="5" t="inlineStr">
        <is>
          <t>1217W</t>
        </is>
      </c>
      <c r="H627" s="5" t="inlineStr">
        <is>
          <t>学生</t>
        </is>
      </c>
      <c r="I627" s="5" t="n">
        <v>100</v>
      </c>
      <c r="J627" s="5" t="n"/>
      <c r="K627" s="5" t="n">
        <v>54</v>
      </c>
      <c r="L627" s="5" t="n">
        <v>238000</v>
      </c>
      <c r="M627" s="5" t="n">
        <v>24000</v>
      </c>
      <c r="N627" s="5" t="n">
        <v>3183</v>
      </c>
      <c r="O627" s="5" t="n">
        <v>371</v>
      </c>
      <c r="P627" s="8">
        <f>IF(AND(M627&lt;&gt;"",M627&gt;0),M627+N627+O627,"")</f>
        <v/>
      </c>
      <c r="Q627" s="11">
        <f>IF(AND(L627&lt;&gt;"",L627&gt;0,P627&lt;&gt;""),P627/L627,"")</f>
        <v/>
      </c>
      <c r="R627" s="16">
        <f>IF(AND(P627&lt;&gt;"",P627&gt;0),(I627+J627+K627)/P627,"")</f>
        <v/>
      </c>
    </row>
    <row r="628" ht="27" customHeight="1">
      <c r="A628" s="5" t="inlineStr">
        <is>
          <t>2026-03-16</t>
        </is>
      </c>
      <c r="B628" s="5" t="inlineStr">
        <is>
          <t>12周</t>
        </is>
      </c>
      <c r="C628" s="5" t="inlineStr">
        <is>
          <t>抖音</t>
        </is>
      </c>
      <c r="D628" s="5" t="n"/>
      <c r="E628" s="5" t="n"/>
      <c r="F628" s="5" t="inlineStr">
        <is>
          <t>https://v.douyin.com/iJxYZxq88rA/</t>
        </is>
      </c>
      <c r="G628" s="5" t="inlineStr">
        <is>
          <t>0002A1</t>
        </is>
      </c>
      <c r="H628" s="5" t="inlineStr">
        <is>
          <t>穿搭</t>
        </is>
      </c>
      <c r="I628" s="5" t="n">
        <v>100</v>
      </c>
      <c r="J628" s="5" t="n"/>
      <c r="K628" s="5" t="n">
        <v>110.5</v>
      </c>
      <c r="L628" s="5" t="n">
        <v>10000</v>
      </c>
      <c r="M628" s="5" t="n">
        <v>477</v>
      </c>
      <c r="N628" s="5" t="n">
        <v>17</v>
      </c>
      <c r="O628" s="5" t="n">
        <v>39</v>
      </c>
      <c r="P628" s="8">
        <f>IF(AND(M628&lt;&gt;"",M628&gt;0),M628+N628+O628,"")</f>
        <v/>
      </c>
      <c r="Q628" s="11">
        <f>IF(AND(L628&lt;&gt;"",L628&gt;0,P628&lt;&gt;""),P628/L628,"")</f>
        <v/>
      </c>
      <c r="R628" s="16">
        <f>IF(AND(P628&lt;&gt;"",P628&gt;0),(I628+J628+K628)/P628,"")</f>
        <v/>
      </c>
    </row>
    <row r="629" ht="27" customHeight="1">
      <c r="A629" s="5" t="inlineStr">
        <is>
          <t>2026-03-16</t>
        </is>
      </c>
      <c r="B629" s="5" t="inlineStr">
        <is>
          <t>12周</t>
        </is>
      </c>
      <c r="C629" s="5" t="inlineStr">
        <is>
          <t>抖音</t>
        </is>
      </c>
      <c r="D629" s="5" t="n"/>
      <c r="E629" s="5" t="n"/>
      <c r="F629" s="5" t="inlineStr">
        <is>
          <t>https://v.douyin.com/Nks9Igor4m4/</t>
        </is>
      </c>
      <c r="G629" s="5" t="inlineStr">
        <is>
          <t>0001A1</t>
        </is>
      </c>
      <c r="H629" s="5" t="inlineStr">
        <is>
          <t>口播</t>
        </is>
      </c>
      <c r="I629" s="5" t="n"/>
      <c r="J629" s="5" t="n"/>
      <c r="K629" s="5" t="n">
        <v>107.5</v>
      </c>
      <c r="L629" s="5" t="n">
        <v>2850</v>
      </c>
      <c r="M629" s="5" t="n">
        <v>43</v>
      </c>
      <c r="N629" s="5" t="n">
        <v>14</v>
      </c>
      <c r="O629" s="5" t="n">
        <v>2</v>
      </c>
      <c r="P629" s="8">
        <f>IF(AND(M629&lt;&gt;"",M629&gt;0),M629+N629+O629,"")</f>
        <v/>
      </c>
      <c r="Q629" s="11">
        <f>IF(AND(L629&lt;&gt;"",L629&gt;0,P629&lt;&gt;""),P629/L629,"")</f>
        <v/>
      </c>
      <c r="R629" s="16">
        <f>IF(AND(P629&lt;&gt;"",P629&gt;0),(I629+J629+K629)/P629,"")</f>
        <v/>
      </c>
    </row>
    <row r="630" ht="27" customHeight="1">
      <c r="A630" s="5" t="inlineStr">
        <is>
          <t>2026-03-16</t>
        </is>
      </c>
      <c r="B630" s="5" t="inlineStr">
        <is>
          <t>12周</t>
        </is>
      </c>
      <c r="C630" s="5" t="inlineStr">
        <is>
          <t>抖音</t>
        </is>
      </c>
      <c r="D630" s="5" t="n"/>
      <c r="E630" s="5" t="n"/>
      <c r="F630" s="5" t="inlineStr">
        <is>
          <t>https://v.douyin.com/yEiScFPSkWA/</t>
        </is>
      </c>
      <c r="G630" s="5" t="inlineStr">
        <is>
          <t>1225</t>
        </is>
      </c>
      <c r="H630" s="5" t="inlineStr">
        <is>
          <t>穿搭</t>
        </is>
      </c>
      <c r="I630" s="5" t="n"/>
      <c r="J630" s="5" t="n"/>
      <c r="K630" s="5" t="n">
        <v>55.5</v>
      </c>
      <c r="L630" s="5" t="n">
        <v>12000</v>
      </c>
      <c r="M630" s="5" t="n">
        <v>616</v>
      </c>
      <c r="N630" s="5" t="n">
        <v>58</v>
      </c>
      <c r="O630" s="5" t="n">
        <v>11</v>
      </c>
      <c r="P630" s="8">
        <f>IF(AND(M630&lt;&gt;"",M630&gt;0),M630+N630+O630,"")</f>
        <v/>
      </c>
      <c r="Q630" s="11">
        <f>IF(AND(L630&lt;&gt;"",L630&gt;0,P630&lt;&gt;""),P630/L630,"")</f>
        <v/>
      </c>
      <c r="R630" s="16">
        <f>IF(AND(P630&lt;&gt;"",P630&gt;0),(I630+J630+K630)/P630,"")</f>
        <v/>
      </c>
    </row>
    <row r="631" ht="27" customHeight="1">
      <c r="A631" s="5" t="inlineStr">
        <is>
          <t>2026-03-16</t>
        </is>
      </c>
      <c r="B631" s="5" t="inlineStr">
        <is>
          <t>12周</t>
        </is>
      </c>
      <c r="C631" s="5" t="inlineStr">
        <is>
          <t>抖音</t>
        </is>
      </c>
      <c r="D631" s="5" t="n"/>
      <c r="E631" s="5" t="n"/>
      <c r="F631" s="5" t="inlineStr">
        <is>
          <t>https://v.douyin.com/ech9VGFIUA0/</t>
        </is>
      </c>
      <c r="G631" s="5" t="inlineStr">
        <is>
          <t>495</t>
        </is>
      </c>
      <c r="H631" s="5" t="inlineStr">
        <is>
          <t>穿搭</t>
        </is>
      </c>
      <c r="I631" s="5" t="n"/>
      <c r="J631" s="5" t="n"/>
      <c r="K631" s="5" t="n">
        <v>93</v>
      </c>
      <c r="L631" s="5" t="n">
        <v>7555</v>
      </c>
      <c r="M631" s="5" t="n">
        <v>366</v>
      </c>
      <c r="N631" s="5" t="n">
        <v>39</v>
      </c>
      <c r="O631" s="5" t="n">
        <v>30</v>
      </c>
      <c r="P631" s="8">
        <f>IF(AND(M631&lt;&gt;"",M631&gt;0),M631+N631+O631,"")</f>
        <v/>
      </c>
      <c r="Q631" s="11">
        <f>IF(AND(L631&lt;&gt;"",L631&gt;0,P631&lt;&gt;""),P631/L631,"")</f>
        <v/>
      </c>
      <c r="R631" s="16">
        <f>IF(AND(P631&lt;&gt;"",P631&gt;0),(I631+J631+K631)/P631,"")</f>
        <v/>
      </c>
    </row>
    <row r="632" ht="27" customHeight="1">
      <c r="A632" s="5" t="inlineStr">
        <is>
          <t>2026-03-16</t>
        </is>
      </c>
      <c r="B632" s="5" t="inlineStr">
        <is>
          <t>12周</t>
        </is>
      </c>
      <c r="C632" s="5" t="inlineStr">
        <is>
          <t>抖音</t>
        </is>
      </c>
      <c r="D632" s="5" t="n"/>
      <c r="E632" s="5" t="n"/>
      <c r="F632" s="5" t="inlineStr">
        <is>
          <t>https://v.douyin.com/hnjUnRCy9OM/</t>
        </is>
      </c>
      <c r="G632" s="5" t="inlineStr">
        <is>
          <t>1217W</t>
        </is>
      </c>
      <c r="H632" s="5" t="inlineStr">
        <is>
          <t>穿搭</t>
        </is>
      </c>
      <c r="I632" s="5" t="n"/>
      <c r="J632" s="5" t="n"/>
      <c r="K632" s="5" t="n">
        <v>54</v>
      </c>
      <c r="L632" s="5" t="n">
        <v>9900</v>
      </c>
      <c r="M632" s="5" t="n">
        <v>312</v>
      </c>
      <c r="N632" s="5" t="n">
        <v>54</v>
      </c>
      <c r="O632" s="5" t="n">
        <v>15</v>
      </c>
      <c r="P632" s="8">
        <f>IF(AND(M632&lt;&gt;"",M632&gt;0),M632+N632+O632,"")</f>
        <v/>
      </c>
      <c r="Q632" s="11">
        <f>IF(AND(L632&lt;&gt;"",L632&gt;0,P632&lt;&gt;""),P632/L632,"")</f>
        <v/>
      </c>
      <c r="R632" s="16">
        <f>IF(AND(P632&lt;&gt;"",P632&gt;0),(I632+J632+K632)/P632,"")</f>
        <v/>
      </c>
    </row>
    <row r="633" ht="27" customHeight="1">
      <c r="A633" s="5" t="inlineStr">
        <is>
          <t>2026-03-16</t>
        </is>
      </c>
      <c r="B633" s="5" t="inlineStr">
        <is>
          <t>12周</t>
        </is>
      </c>
      <c r="C633" s="5" t="inlineStr">
        <is>
          <t>抖音</t>
        </is>
      </c>
      <c r="D633" s="5" t="n"/>
      <c r="E633" s="5" t="n"/>
      <c r="F633" s="5" t="inlineStr">
        <is>
          <t>https://v.douyin.com/Kh-NKg5raMM/</t>
        </is>
      </c>
      <c r="G633" s="5" t="inlineStr">
        <is>
          <t>0002A1</t>
        </is>
      </c>
      <c r="H633" s="5" t="inlineStr">
        <is>
          <t>穿搭</t>
        </is>
      </c>
      <c r="I633" s="5" t="n"/>
      <c r="J633" s="5" t="n"/>
      <c r="K633" s="5" t="n">
        <v>110.5</v>
      </c>
      <c r="L633" s="5" t="n">
        <v>10000</v>
      </c>
      <c r="M633" s="5" t="n">
        <v>262</v>
      </c>
      <c r="N633" s="5" t="n">
        <v>17</v>
      </c>
      <c r="O633" s="5" t="n">
        <v>23</v>
      </c>
      <c r="P633" s="8">
        <f>IF(AND(M633&lt;&gt;"",M633&gt;0),M633+N633+O633,"")</f>
        <v/>
      </c>
      <c r="Q633" s="11">
        <f>IF(AND(L633&lt;&gt;"",L633&gt;0,P633&lt;&gt;""),P633/L633,"")</f>
        <v/>
      </c>
      <c r="R633" s="16">
        <f>IF(AND(P633&lt;&gt;"",P633&gt;0),(I633+J633+K633)/P633,"")</f>
        <v/>
      </c>
    </row>
    <row r="634" ht="27" customHeight="1">
      <c r="A634" s="5" t="inlineStr">
        <is>
          <t>2026-03-16</t>
        </is>
      </c>
      <c r="B634" s="5" t="inlineStr">
        <is>
          <t>12周</t>
        </is>
      </c>
      <c r="C634" s="5" t="inlineStr">
        <is>
          <t>抖音</t>
        </is>
      </c>
      <c r="D634" s="5" t="n"/>
      <c r="E634" s="5" t="n"/>
      <c r="F634" s="5" t="inlineStr">
        <is>
          <t>https://v.douyin.com/J5uXdcHvOY0/</t>
        </is>
      </c>
      <c r="G634" s="5" t="inlineStr">
        <is>
          <t>0002A1</t>
        </is>
      </c>
      <c r="H634" s="5" t="inlineStr">
        <is>
          <t>刘耀文</t>
        </is>
      </c>
      <c r="I634" s="5" t="n"/>
      <c r="J634" s="5" t="n"/>
      <c r="K634" s="5" t="n">
        <v>110.5</v>
      </c>
      <c r="L634" s="5" t="n">
        <v>3550</v>
      </c>
      <c r="M634" s="5" t="n">
        <v>323</v>
      </c>
      <c r="N634" s="5" t="n">
        <v>7</v>
      </c>
      <c r="O634" s="5" t="n">
        <v>44</v>
      </c>
      <c r="P634" s="8">
        <f>IF(AND(M634&lt;&gt;"",M634&gt;0),M634+N634+O634,"")</f>
        <v/>
      </c>
      <c r="Q634" s="11">
        <f>IF(AND(L634&lt;&gt;"",L634&gt;0,P634&lt;&gt;""),P634/L634,"")</f>
        <v/>
      </c>
      <c r="R634" s="16">
        <f>IF(AND(P634&lt;&gt;"",P634&gt;0),(I634+J634+K634)/P634,"")</f>
        <v/>
      </c>
    </row>
    <row r="635" ht="27" customHeight="1">
      <c r="A635" s="5" t="inlineStr">
        <is>
          <t>2026-03-16</t>
        </is>
      </c>
      <c r="B635" s="5" t="inlineStr">
        <is>
          <t>12周</t>
        </is>
      </c>
      <c r="C635" s="5" t="inlineStr">
        <is>
          <t>抖音</t>
        </is>
      </c>
      <c r="D635" s="5" t="n"/>
      <c r="E635" s="5" t="n"/>
      <c r="F635" s="5" t="inlineStr">
        <is>
          <t>https://v.douyin.com/XdCsxGsABR8/</t>
        </is>
      </c>
      <c r="G635" s="5" t="inlineStr">
        <is>
          <t>0001A1</t>
        </is>
      </c>
      <c r="H635" s="5" t="inlineStr">
        <is>
          <t>穿搭</t>
        </is>
      </c>
      <c r="I635" s="5" t="n"/>
      <c r="J635" s="5" t="n"/>
      <c r="K635" s="5" t="n">
        <v>107.5</v>
      </c>
      <c r="L635" s="5" t="n">
        <v>5743</v>
      </c>
      <c r="M635" s="5" t="n">
        <v>302</v>
      </c>
      <c r="N635" s="5" t="n">
        <v>29</v>
      </c>
      <c r="O635" s="5" t="n">
        <v>20</v>
      </c>
      <c r="P635" s="8">
        <f>IF(AND(M635&lt;&gt;"",M635&gt;0),M635+N635+O635,"")</f>
        <v/>
      </c>
      <c r="Q635" s="11">
        <f>IF(AND(L635&lt;&gt;"",L635&gt;0,P635&lt;&gt;""),P635/L635,"")</f>
        <v/>
      </c>
      <c r="R635" s="16">
        <f>IF(AND(P635&lt;&gt;"",P635&gt;0),(I635+J635+K635)/P635,"")</f>
        <v/>
      </c>
    </row>
    <row r="636" ht="27" customHeight="1">
      <c r="A636" s="5" t="inlineStr">
        <is>
          <t>2026-03-16</t>
        </is>
      </c>
      <c r="B636" s="5" t="inlineStr">
        <is>
          <t>12周</t>
        </is>
      </c>
      <c r="C636" s="5" t="inlineStr">
        <is>
          <t>抖音</t>
        </is>
      </c>
      <c r="D636" s="5" t="n"/>
      <c r="E636" s="5" t="n"/>
      <c r="F636" s="5" t="inlineStr">
        <is>
          <t>https://v.douyin.com/NpLLqR1T5ng/</t>
        </is>
      </c>
      <c r="G636" s="5" t="inlineStr">
        <is>
          <t>495</t>
        </is>
      </c>
      <c r="H636" s="5" t="inlineStr">
        <is>
          <t>穿搭</t>
        </is>
      </c>
      <c r="I636" s="5" t="n">
        <v>50</v>
      </c>
      <c r="J636" s="5" t="n"/>
      <c r="K636" s="5" t="n">
        <v>93</v>
      </c>
      <c r="L636" s="5" t="n">
        <v>10000</v>
      </c>
      <c r="M636" s="5" t="n">
        <v>1118</v>
      </c>
      <c r="N636" s="5" t="n">
        <v>34</v>
      </c>
      <c r="O636" s="5" t="n">
        <v>346</v>
      </c>
      <c r="P636" s="8">
        <f>IF(AND(M636&lt;&gt;"",M636&gt;0),M636+N636+O636,"")</f>
        <v/>
      </c>
      <c r="Q636" s="11">
        <f>IF(AND(L636&lt;&gt;"",L636&gt;0,P636&lt;&gt;""),P636/L636,"")</f>
        <v/>
      </c>
      <c r="R636" s="16">
        <f>IF(AND(P636&lt;&gt;"",P636&gt;0),(I636+J636+K636)/P636,"")</f>
        <v/>
      </c>
    </row>
    <row r="637" ht="27" customHeight="1">
      <c r="A637" s="5" t="inlineStr">
        <is>
          <t>2026-03-16</t>
        </is>
      </c>
      <c r="B637" s="5" t="inlineStr">
        <is>
          <t>12周</t>
        </is>
      </c>
      <c r="C637" s="5" t="inlineStr">
        <is>
          <t>抖音</t>
        </is>
      </c>
      <c r="D637" s="5" t="n"/>
      <c r="E637" s="5" t="n"/>
      <c r="F637" s="5" t="inlineStr">
        <is>
          <t>https://v.douyin.com/e2TiuYYJeLg/</t>
        </is>
      </c>
      <c r="G637" s="5" t="inlineStr">
        <is>
          <t>0002A1</t>
        </is>
      </c>
      <c r="H637" s="5" t="inlineStr">
        <is>
          <t>穆祉丞</t>
        </is>
      </c>
      <c r="I637" s="5" t="n"/>
      <c r="J637" s="5" t="n"/>
      <c r="K637" s="5" t="n">
        <v>110.5</v>
      </c>
      <c r="L637" s="5" t="n">
        <v>11000</v>
      </c>
      <c r="M637" s="5" t="n">
        <v>901</v>
      </c>
      <c r="N637" s="5" t="n">
        <v>15</v>
      </c>
      <c r="O637" s="5" t="n">
        <v>93</v>
      </c>
      <c r="P637" s="8">
        <f>IF(AND(M637&lt;&gt;"",M637&gt;0),M637+N637+O637,"")</f>
        <v/>
      </c>
      <c r="Q637" s="11">
        <f>IF(AND(L637&lt;&gt;"",L637&gt;0,P637&lt;&gt;""),P637/L637,"")</f>
        <v/>
      </c>
      <c r="R637" s="16">
        <f>IF(AND(P637&lt;&gt;"",P637&gt;0),(I637+J637+K637)/P637,"")</f>
        <v/>
      </c>
    </row>
    <row r="638" ht="27" customHeight="1">
      <c r="A638" s="5" t="inlineStr">
        <is>
          <t>2026-03-16</t>
        </is>
      </c>
      <c r="B638" s="5" t="inlineStr">
        <is>
          <t>12周</t>
        </is>
      </c>
      <c r="C638" s="5" t="inlineStr">
        <is>
          <t>抖音</t>
        </is>
      </c>
      <c r="D638" s="5" t="n"/>
      <c r="E638" s="5" t="n"/>
      <c r="F638" s="5" t="inlineStr">
        <is>
          <t>https://v.douyin.com/48nhZHOvwes/</t>
        </is>
      </c>
      <c r="G638" s="5" t="inlineStr">
        <is>
          <t>0002A1</t>
        </is>
      </c>
      <c r="H638" s="5" t="inlineStr">
        <is>
          <t>穿搭</t>
        </is>
      </c>
      <c r="I638" s="5" t="n">
        <v>150</v>
      </c>
      <c r="J638" s="5" t="n"/>
      <c r="K638" s="5" t="n">
        <v>110.5</v>
      </c>
      <c r="L638" s="5" t="n">
        <v>11000</v>
      </c>
      <c r="M638" s="5" t="n">
        <v>1471</v>
      </c>
      <c r="N638" s="5" t="n">
        <v>32</v>
      </c>
      <c r="O638" s="5" t="n">
        <v>74</v>
      </c>
      <c r="P638" s="8">
        <f>IF(AND(M638&lt;&gt;"",M638&gt;0),M638+N638+O638,"")</f>
        <v/>
      </c>
      <c r="Q638" s="11">
        <f>IF(AND(L638&lt;&gt;"",L638&gt;0,P638&lt;&gt;""),P638/L638,"")</f>
        <v/>
      </c>
      <c r="R638" s="16">
        <f>IF(AND(P638&lt;&gt;"",P638&gt;0),(I638+J638+K638)/P638,"")</f>
        <v/>
      </c>
    </row>
    <row r="639" ht="27" customHeight="1">
      <c r="A639" s="5" t="inlineStr">
        <is>
          <t>2026-03-16</t>
        </is>
      </c>
      <c r="B639" s="5" t="inlineStr">
        <is>
          <t>12周</t>
        </is>
      </c>
      <c r="C639" s="5" t="inlineStr">
        <is>
          <t>抖音</t>
        </is>
      </c>
      <c r="D639" s="5" t="n"/>
      <c r="E639" s="5" t="n"/>
      <c r="F639" s="5" t="inlineStr">
        <is>
          <t>https://v.douyin.com/BRfjt1VDOuQ/</t>
        </is>
      </c>
      <c r="G639" s="5" t="inlineStr">
        <is>
          <t>495</t>
        </is>
      </c>
      <c r="H639" s="5" t="inlineStr">
        <is>
          <t>穿搭</t>
        </is>
      </c>
      <c r="I639" s="5" t="n"/>
      <c r="J639" s="5" t="n"/>
      <c r="K639" s="5" t="n">
        <v>93</v>
      </c>
      <c r="L639" s="5" t="n">
        <v>133000</v>
      </c>
      <c r="M639" s="5" t="n">
        <v>13000</v>
      </c>
      <c r="N639" s="5" t="n">
        <v>872</v>
      </c>
      <c r="O639" s="5" t="n">
        <v>49</v>
      </c>
      <c r="P639" s="8">
        <f>IF(AND(M639&lt;&gt;"",M639&gt;0),M639+N639+O639,"")</f>
        <v/>
      </c>
      <c r="Q639" s="11">
        <f>IF(AND(L639&lt;&gt;"",L639&gt;0,P639&lt;&gt;""),P639/L639,"")</f>
        <v/>
      </c>
      <c r="R639" s="16">
        <f>IF(AND(P639&lt;&gt;"",P639&gt;0),(I639+J639+K639)/P639,"")</f>
        <v/>
      </c>
    </row>
    <row r="640" ht="81" customHeight="1">
      <c r="A640" s="5" t="inlineStr">
        <is>
          <t>2026-03-16</t>
        </is>
      </c>
      <c r="B640" s="5" t="inlineStr">
        <is>
          <t>12周</t>
        </is>
      </c>
      <c r="C640" s="5" t="inlineStr">
        <is>
          <t>小红书</t>
        </is>
      </c>
      <c r="D640" s="5" t="n"/>
      <c r="E640" s="5" t="n"/>
      <c r="F640" s="5" t="inlineStr">
        <is>
          <t>https://www.xiaohongshu.com/discovery/item/69b77b540000000023004da0?xsec_token=CByeEZvG6_Qd60tLuRpEZDTmaDKcmtITnm7YjP9E1KtTQ=&amp;xsec_source=app_share&amp;type=video</t>
        </is>
      </c>
      <c r="G640" s="5" t="inlineStr">
        <is>
          <t>0002A1</t>
        </is>
      </c>
      <c r="H640" s="5" t="inlineStr">
        <is>
          <t>穿搭</t>
        </is>
      </c>
      <c r="I640" s="5" t="n"/>
      <c r="J640" s="5" t="n"/>
      <c r="K640" s="5" t="n">
        <v>110.5</v>
      </c>
      <c r="L640" s="5" t="n">
        <v>2664</v>
      </c>
      <c r="M640" s="5" t="n">
        <v>177</v>
      </c>
      <c r="N640" s="5" t="n">
        <v>33</v>
      </c>
      <c r="O640" s="5" t="n">
        <v>14</v>
      </c>
      <c r="P640" s="8">
        <f>IF(AND(M640&lt;&gt;"",M640&gt;0),M640+N640+O640,"")</f>
        <v/>
      </c>
      <c r="Q640" s="11">
        <f>IF(AND(L640&lt;&gt;"",L640&gt;0,P640&lt;&gt;""),P640/L640,"")</f>
        <v/>
      </c>
      <c r="R640" s="16">
        <f>IF(AND(P640&lt;&gt;"",P640&gt;0),(I640+J640+K640)/P640,"")</f>
        <v/>
      </c>
    </row>
    <row r="641" ht="81" customHeight="1">
      <c r="A641" s="5" t="inlineStr">
        <is>
          <t>2026-03-16</t>
        </is>
      </c>
      <c r="B641" s="5" t="inlineStr">
        <is>
          <t>12周</t>
        </is>
      </c>
      <c r="C641" s="5" t="inlineStr">
        <is>
          <t>小红书</t>
        </is>
      </c>
      <c r="D641" s="5" t="n"/>
      <c r="E641" s="5" t="n"/>
      <c r="F641" s="5" t="inlineStr">
        <is>
          <t>https://www.xiaohongshu.com/discovery/item/69b7ceec000000002102da31?xsec_token=CBiDJ6-u-8IG86NO1KHGLTDKzhBZeD8Bk8zvTCewO2rEw=&amp;xsec_source=app_share&amp;type=video</t>
        </is>
      </c>
      <c r="G641" s="5" t="inlineStr">
        <is>
          <t>0002A1</t>
        </is>
      </c>
      <c r="H641" s="5" t="inlineStr">
        <is>
          <t>口播</t>
        </is>
      </c>
      <c r="I641" s="5" t="n">
        <v>800</v>
      </c>
      <c r="J641" s="5" t="n"/>
      <c r="K641" s="5" t="n">
        <v>110.5</v>
      </c>
      <c r="L641" s="5" t="n">
        <v>17206</v>
      </c>
      <c r="M641" s="5" t="n">
        <v>1095</v>
      </c>
      <c r="N641" s="5" t="n">
        <v>496</v>
      </c>
      <c r="O641" s="5" t="n">
        <v>55</v>
      </c>
      <c r="P641" s="8">
        <f>IF(AND(M641&lt;&gt;"",M641&gt;0),M641+N641+O641,"")</f>
        <v/>
      </c>
      <c r="Q641" s="11">
        <f>IF(AND(L641&lt;&gt;"",L641&gt;0,P641&lt;&gt;""),P641/L641,"")</f>
        <v/>
      </c>
      <c r="R641" s="16">
        <f>IF(AND(P641&lt;&gt;"",P641&gt;0),(I641+J641+K641)/P641,"")</f>
        <v/>
      </c>
    </row>
    <row r="642" ht="81" customHeight="1">
      <c r="A642" s="5" t="inlineStr">
        <is>
          <t>2026-03-16</t>
        </is>
      </c>
      <c r="B642" s="5" t="inlineStr">
        <is>
          <t>12周</t>
        </is>
      </c>
      <c r="C642" s="5" t="inlineStr">
        <is>
          <t>小红书</t>
        </is>
      </c>
      <c r="D642" s="5" t="n"/>
      <c r="E642" s="5" t="n"/>
      <c r="F642" s="5" t="inlineStr">
        <is>
          <t>https://www.xiaohongshu.com/discovery/item/69b7eb07000000002102fe76?xsec_token=CB9rhaLaqqbm49VZcOwOGRg2iwlnQChsTZHH851-N7JNU=&amp;xsec_source=app_share&amp;type=video</t>
        </is>
      </c>
      <c r="G642" s="5" t="inlineStr">
        <is>
          <t>1217W</t>
        </is>
      </c>
      <c r="H642" s="5" t="inlineStr">
        <is>
          <t>穿搭</t>
        </is>
      </c>
      <c r="I642" s="5" t="n"/>
      <c r="J642" s="5" t="n"/>
      <c r="K642" s="5" t="n">
        <v>54</v>
      </c>
      <c r="L642" s="5" t="n">
        <v>4085</v>
      </c>
      <c r="M642" s="5" t="n">
        <v>233</v>
      </c>
      <c r="N642" s="5" t="n">
        <v>72</v>
      </c>
      <c r="O642" s="5" t="n">
        <v>15</v>
      </c>
      <c r="P642" s="8">
        <f>IF(AND(M642&lt;&gt;"",M642&gt;0),M642+N642+O642,"")</f>
        <v/>
      </c>
      <c r="Q642" s="11">
        <f>IF(AND(L642&lt;&gt;"",L642&gt;0,P642&lt;&gt;""),P642/L642,"")</f>
        <v/>
      </c>
      <c r="R642" s="16">
        <f>IF(AND(P642&lt;&gt;"",P642&gt;0),(I642+J642+K642)/P642,"")</f>
        <v/>
      </c>
    </row>
    <row r="643" ht="27" customHeight="1">
      <c r="A643" s="5" t="inlineStr">
        <is>
          <t>2026-03-17</t>
        </is>
      </c>
      <c r="B643" s="5" t="inlineStr">
        <is>
          <t>12周</t>
        </is>
      </c>
      <c r="C643" s="5" t="inlineStr">
        <is>
          <t>抖音</t>
        </is>
      </c>
      <c r="D643" s="5" t="n"/>
      <c r="E643" s="5" t="n"/>
      <c r="F643" s="5" t="inlineStr">
        <is>
          <t>https://v.douyin.com/SsJodf9rRyk/</t>
        </is>
      </c>
      <c r="G643" s="5" t="inlineStr">
        <is>
          <t>0002A1</t>
        </is>
      </c>
      <c r="H643" s="5" t="inlineStr">
        <is>
          <t>穿搭</t>
        </is>
      </c>
      <c r="I643" s="5" t="n"/>
      <c r="J643" s="5" t="n"/>
      <c r="K643" s="5" t="n">
        <v>110.5</v>
      </c>
      <c r="L643" s="5" t="n">
        <v>4511</v>
      </c>
      <c r="M643" s="5" t="n">
        <v>395</v>
      </c>
      <c r="N643" s="5" t="n">
        <v>14</v>
      </c>
      <c r="O643" s="5" t="n">
        <v>15</v>
      </c>
      <c r="P643" s="8">
        <f>IF(AND(M643&lt;&gt;"",M643&gt;0),M643+N643+O643,"")</f>
        <v/>
      </c>
      <c r="Q643" s="11">
        <f>IF(AND(L643&lt;&gt;"",L643&gt;0,P643&lt;&gt;""),P643/L643,"")</f>
        <v/>
      </c>
      <c r="R643" s="16">
        <f>IF(AND(P643&lt;&gt;"",P643&gt;0),(I643+J643+K643)/P643,"")</f>
        <v/>
      </c>
    </row>
    <row r="644" ht="27" customHeight="1">
      <c r="A644" s="5" t="inlineStr">
        <is>
          <t>2026-03-17</t>
        </is>
      </c>
      <c r="B644" s="5" t="inlineStr">
        <is>
          <t>12周</t>
        </is>
      </c>
      <c r="C644" s="5" t="inlineStr">
        <is>
          <t>抖音</t>
        </is>
      </c>
      <c r="D644" s="5" t="n"/>
      <c r="E644" s="5" t="n"/>
      <c r="F644" s="5" t="inlineStr">
        <is>
          <t>https://v.douyin.com/GB14VAe75vg/</t>
        </is>
      </c>
      <c r="G644" s="5" t="inlineStr">
        <is>
          <t>0002A1</t>
        </is>
      </c>
      <c r="H644" s="5" t="inlineStr">
        <is>
          <t>口播</t>
        </is>
      </c>
      <c r="I644" s="5" t="n"/>
      <c r="J644" s="5" t="n"/>
      <c r="K644" s="5" t="n">
        <v>110.5</v>
      </c>
      <c r="L644" s="5" t="n">
        <v>7064</v>
      </c>
      <c r="M644" s="5" t="n">
        <v>334</v>
      </c>
      <c r="N644" s="5" t="n">
        <v>107</v>
      </c>
      <c r="O644" s="5" t="n">
        <v>16</v>
      </c>
      <c r="P644" s="8">
        <f>IF(AND(M644&lt;&gt;"",M644&gt;0),M644+N644+O644,"")</f>
        <v/>
      </c>
      <c r="Q644" s="11">
        <f>IF(AND(L644&lt;&gt;"",L644&gt;0,P644&lt;&gt;""),P644/L644,"")</f>
        <v/>
      </c>
      <c r="R644" s="16">
        <f>IF(AND(P644&lt;&gt;"",P644&gt;0),(I644+J644+K644)/P644,"")</f>
        <v/>
      </c>
    </row>
    <row r="645" ht="27" customHeight="1">
      <c r="A645" s="5" t="inlineStr">
        <is>
          <t>2026-03-17</t>
        </is>
      </c>
      <c r="B645" s="5" t="inlineStr">
        <is>
          <t>12周</t>
        </is>
      </c>
      <c r="C645" s="5" t="inlineStr">
        <is>
          <t>抖音</t>
        </is>
      </c>
      <c r="D645" s="5" t="n"/>
      <c r="E645" s="5" t="n"/>
      <c r="F645" s="5" t="inlineStr">
        <is>
          <t>https://v.douyin.com/juH144tAPa0/</t>
        </is>
      </c>
      <c r="G645" s="5" t="inlineStr">
        <is>
          <t>0002A1</t>
        </is>
      </c>
      <c r="H645" s="5" t="inlineStr">
        <is>
          <t>穿搭</t>
        </is>
      </c>
      <c r="I645" s="5" t="n"/>
      <c r="J645" s="5" t="n"/>
      <c r="K645" s="5" t="n">
        <v>110.5</v>
      </c>
      <c r="L645" s="5" t="n">
        <v>1431</v>
      </c>
      <c r="M645" s="5" t="n">
        <v>96</v>
      </c>
      <c r="N645" s="5" t="n">
        <v>0</v>
      </c>
      <c r="O645" s="5" t="n">
        <v>10</v>
      </c>
      <c r="P645" s="8">
        <f>IF(AND(M645&lt;&gt;"",M645&gt;0),M645+N645+O645,"")</f>
        <v/>
      </c>
      <c r="Q645" s="11">
        <f>IF(AND(L645&lt;&gt;"",L645&gt;0,P645&lt;&gt;""),P645/L645,"")</f>
        <v/>
      </c>
      <c r="R645" s="16">
        <f>IF(AND(P645&lt;&gt;"",P645&gt;0),(I645+J645+K645)/P645,"")</f>
        <v/>
      </c>
    </row>
    <row r="646" ht="27" customHeight="1">
      <c r="A646" s="5" t="inlineStr">
        <is>
          <t>2026-03-17</t>
        </is>
      </c>
      <c r="B646" s="5" t="inlineStr">
        <is>
          <t>12周</t>
        </is>
      </c>
      <c r="C646" s="5" t="inlineStr">
        <is>
          <t>抖音</t>
        </is>
      </c>
      <c r="D646" s="5" t="n"/>
      <c r="E646" s="5" t="n"/>
      <c r="F646" s="5" t="inlineStr">
        <is>
          <t>https://v.douyin.com/dtH7y3GJDg8/</t>
        </is>
      </c>
      <c r="G646" s="5" t="inlineStr">
        <is>
          <t>1217W</t>
        </is>
      </c>
      <c r="H646" s="5" t="inlineStr">
        <is>
          <t>学生</t>
        </is>
      </c>
      <c r="I646" s="5" t="n">
        <v>100</v>
      </c>
      <c r="J646" s="5" t="n"/>
      <c r="K646" s="5" t="n">
        <v>54</v>
      </c>
      <c r="L646" s="5" t="n">
        <v>36000</v>
      </c>
      <c r="M646" s="5" t="n">
        <v>2981</v>
      </c>
      <c r="N646" s="5" t="n">
        <v>344</v>
      </c>
      <c r="O646" s="5" t="n">
        <v>89</v>
      </c>
      <c r="P646" s="8">
        <f>IF(AND(M646&lt;&gt;"",M646&gt;0),M646+N646+O646,"")</f>
        <v/>
      </c>
      <c r="Q646" s="11">
        <f>IF(AND(L646&lt;&gt;"",L646&gt;0,P646&lt;&gt;""),P646/L646,"")</f>
        <v/>
      </c>
      <c r="R646" s="16">
        <f>IF(AND(P646&lt;&gt;"",P646&gt;0),(I646+J646+K646)/P646,"")</f>
        <v/>
      </c>
    </row>
    <row r="647" ht="27" customHeight="1">
      <c r="A647" s="5" t="inlineStr">
        <is>
          <t>2026-03-17</t>
        </is>
      </c>
      <c r="B647" s="5" t="inlineStr">
        <is>
          <t>12周</t>
        </is>
      </c>
      <c r="C647" s="5" t="inlineStr">
        <is>
          <t>抖音</t>
        </is>
      </c>
      <c r="D647" s="5" t="n"/>
      <c r="E647" s="5" t="n"/>
      <c r="F647" s="5" t="inlineStr">
        <is>
          <t>https://v.douyin.com/zsjH_JWiOVg/</t>
        </is>
      </c>
      <c r="G647" s="5" t="inlineStr">
        <is>
          <t>0002A1</t>
        </is>
      </c>
      <c r="H647" s="5" t="inlineStr">
        <is>
          <t>穆祉丞</t>
        </is>
      </c>
      <c r="I647" s="5" t="n"/>
      <c r="J647" s="5" t="n"/>
      <c r="K647" s="5" t="n">
        <v>110.5</v>
      </c>
      <c r="L647" s="5" t="n">
        <v>2880</v>
      </c>
      <c r="M647" s="5" t="n">
        <v>338</v>
      </c>
      <c r="N647" s="5" t="n">
        <v>2</v>
      </c>
      <c r="O647" s="5" t="n">
        <v>10</v>
      </c>
      <c r="P647" s="8">
        <f>IF(AND(M647&lt;&gt;"",M647&gt;0),M647+N647+O647,"")</f>
        <v/>
      </c>
      <c r="Q647" s="11">
        <f>IF(AND(L647&lt;&gt;"",L647&gt;0,P647&lt;&gt;""),P647/L647,"")</f>
        <v/>
      </c>
      <c r="R647" s="16">
        <f>IF(AND(P647&lt;&gt;"",P647&gt;0),(I647+J647+K647)/P647,"")</f>
        <v/>
      </c>
    </row>
    <row r="648" ht="27" customHeight="1">
      <c r="A648" s="5" t="inlineStr">
        <is>
          <t>2026-03-17</t>
        </is>
      </c>
      <c r="B648" s="5" t="inlineStr">
        <is>
          <t>12周</t>
        </is>
      </c>
      <c r="C648" s="5" t="inlineStr">
        <is>
          <t>抖音</t>
        </is>
      </c>
      <c r="D648" s="5" t="n"/>
      <c r="E648" s="5" t="n"/>
      <c r="F648" s="5" t="inlineStr">
        <is>
          <t>https://v.douyin.com/4fQGtKYVdjI/</t>
        </is>
      </c>
      <c r="G648" s="5" t="inlineStr">
        <is>
          <t>0002A1</t>
        </is>
      </c>
      <c r="H648" s="5" t="inlineStr">
        <is>
          <t>穆祉丞</t>
        </is>
      </c>
      <c r="I648" s="5" t="n"/>
      <c r="J648" s="5" t="n"/>
      <c r="K648" s="5" t="n">
        <v>110.5</v>
      </c>
      <c r="L648" s="5" t="n">
        <v>12000</v>
      </c>
      <c r="M648" s="5" t="n">
        <v>392</v>
      </c>
      <c r="N648" s="5" t="n">
        <v>30</v>
      </c>
      <c r="O648" s="5" t="n">
        <v>8</v>
      </c>
      <c r="P648" s="8">
        <f>IF(AND(M648&lt;&gt;"",M648&gt;0),M648+N648+O648,"")</f>
        <v/>
      </c>
      <c r="Q648" s="11">
        <f>IF(AND(L648&lt;&gt;"",L648&gt;0,P648&lt;&gt;""),P648/L648,"")</f>
        <v/>
      </c>
      <c r="R648" s="16">
        <f>IF(AND(P648&lt;&gt;"",P648&gt;0),(I648+J648+K648)/P648,"")</f>
        <v/>
      </c>
    </row>
    <row r="649" ht="27" customHeight="1">
      <c r="A649" s="5" t="inlineStr">
        <is>
          <t>2026-03-17</t>
        </is>
      </c>
      <c r="B649" s="5" t="inlineStr">
        <is>
          <t>12周</t>
        </is>
      </c>
      <c r="C649" s="5" t="inlineStr">
        <is>
          <t>抖音</t>
        </is>
      </c>
      <c r="D649" s="5" t="n"/>
      <c r="E649" s="5" t="n"/>
      <c r="F649" s="5" t="inlineStr">
        <is>
          <t>http://xhslink.com/o/9zLSE9U4R3W</t>
        </is>
      </c>
      <c r="G649" s="5" t="inlineStr">
        <is>
          <t>0001A1</t>
        </is>
      </c>
      <c r="H649" s="5" t="inlineStr">
        <is>
          <t>穿搭</t>
        </is>
      </c>
      <c r="I649" s="5" t="n"/>
      <c r="J649" s="5" t="n"/>
      <c r="K649" s="5" t="n">
        <v>107.5</v>
      </c>
      <c r="L649" s="5" t="n">
        <v>11000</v>
      </c>
      <c r="M649" s="5" t="n">
        <v>559</v>
      </c>
      <c r="N649" s="5" t="n">
        <v>58</v>
      </c>
      <c r="O649" s="5" t="n">
        <v>113</v>
      </c>
      <c r="P649" s="8">
        <f>IF(AND(M649&lt;&gt;"",M649&gt;0),M649+N649+O649,"")</f>
        <v/>
      </c>
      <c r="Q649" s="11">
        <f>IF(AND(L649&lt;&gt;"",L649&gt;0,P649&lt;&gt;""),P649/L649,"")</f>
        <v/>
      </c>
      <c r="R649" s="16">
        <f>IF(AND(P649&lt;&gt;"",P649&gt;0),(I649+J649+K649)/P649,"")</f>
        <v/>
      </c>
    </row>
    <row r="650" ht="27" customHeight="1">
      <c r="A650" s="5" t="inlineStr">
        <is>
          <t>2026-03-17</t>
        </is>
      </c>
      <c r="B650" s="5" t="inlineStr">
        <is>
          <t>12周</t>
        </is>
      </c>
      <c r="C650" s="5" t="inlineStr">
        <is>
          <t>抖音</t>
        </is>
      </c>
      <c r="D650" s="5" t="n"/>
      <c r="E650" s="5" t="n"/>
      <c r="F650" s="5" t="inlineStr">
        <is>
          <t>https://v.douyin.com/INbWB-Yxwjo/</t>
        </is>
      </c>
      <c r="G650" s="5" t="inlineStr">
        <is>
          <t>495</t>
        </is>
      </c>
      <c r="H650" s="5" t="inlineStr">
        <is>
          <t>穿搭</t>
        </is>
      </c>
      <c r="I650" s="5" t="n"/>
      <c r="J650" s="5" t="n"/>
      <c r="K650" s="5" t="n">
        <v>93</v>
      </c>
      <c r="L650" s="5" t="n">
        <v>67000</v>
      </c>
      <c r="M650" s="5" t="n">
        <v>15000</v>
      </c>
      <c r="N650" s="5" t="n">
        <v>1589</v>
      </c>
      <c r="O650" s="5" t="n">
        <v>212</v>
      </c>
      <c r="P650" s="8">
        <f>IF(AND(M650&lt;&gt;"",M650&gt;0),M650+N650+O650,"")</f>
        <v/>
      </c>
      <c r="Q650" s="11">
        <f>IF(AND(L650&lt;&gt;"",L650&gt;0,P650&lt;&gt;""),P650/L650,"")</f>
        <v/>
      </c>
      <c r="R650" s="16">
        <f>IF(AND(P650&lt;&gt;"",P650&gt;0),(I650+J650+K650)/P650,"")</f>
        <v/>
      </c>
    </row>
    <row r="651" ht="27" customHeight="1">
      <c r="A651" s="5" t="inlineStr">
        <is>
          <t>2026-03-17</t>
        </is>
      </c>
      <c r="B651" s="5" t="inlineStr">
        <is>
          <t>12周</t>
        </is>
      </c>
      <c r="C651" s="5" t="inlineStr">
        <is>
          <t>抖音</t>
        </is>
      </c>
      <c r="D651" s="5" t="n"/>
      <c r="E651" s="5" t="n"/>
      <c r="F651" s="5" t="inlineStr">
        <is>
          <t>https://v.douyin.com/8rcX77DN5V4/</t>
        </is>
      </c>
      <c r="G651" s="5" t="inlineStr">
        <is>
          <t>0002A1</t>
        </is>
      </c>
      <c r="H651" s="5" t="inlineStr">
        <is>
          <t>穿搭</t>
        </is>
      </c>
      <c r="I651" s="5" t="n"/>
      <c r="J651" s="5" t="n"/>
      <c r="K651" s="5" t="n">
        <v>110.5</v>
      </c>
      <c r="L651" s="5" t="n">
        <v>12000</v>
      </c>
      <c r="M651" s="5" t="n">
        <v>466</v>
      </c>
      <c r="N651" s="5" t="n">
        <v>41</v>
      </c>
      <c r="O651" s="5" t="n">
        <v>27</v>
      </c>
      <c r="P651" s="8">
        <f>IF(AND(M651&lt;&gt;"",M651&gt;0),M651+N651+O651,"")</f>
        <v/>
      </c>
      <c r="Q651" s="11">
        <f>IF(AND(L651&lt;&gt;"",L651&gt;0,P651&lt;&gt;""),P651/L651,"")</f>
        <v/>
      </c>
      <c r="R651" s="16">
        <f>IF(AND(P651&lt;&gt;"",P651&gt;0),(I651+J651+K651)/P651,"")</f>
        <v/>
      </c>
    </row>
    <row r="652" ht="27" customHeight="1">
      <c r="A652" s="5" t="inlineStr">
        <is>
          <t>2026-03-17</t>
        </is>
      </c>
      <c r="B652" s="5" t="inlineStr">
        <is>
          <t>12周</t>
        </is>
      </c>
      <c r="C652" s="5" t="inlineStr">
        <is>
          <t>抖音</t>
        </is>
      </c>
      <c r="D652" s="5" t="n"/>
      <c r="E652" s="5" t="n"/>
      <c r="F652" s="5" t="inlineStr">
        <is>
          <t>https://v.douyin.com/KVy4LECWQf4/</t>
        </is>
      </c>
      <c r="G652" s="5" t="inlineStr">
        <is>
          <t>0002A1</t>
        </is>
      </c>
      <c r="H652" s="5" t="inlineStr">
        <is>
          <t>口播</t>
        </is>
      </c>
      <c r="I652" s="5" t="n">
        <v>290</v>
      </c>
      <c r="J652" s="5" t="n"/>
      <c r="K652" s="5" t="n">
        <v>110.5</v>
      </c>
      <c r="L652" s="5" t="n">
        <v>13000</v>
      </c>
      <c r="M652" s="5" t="n">
        <v>611</v>
      </c>
      <c r="N652" s="5" t="n">
        <v>188</v>
      </c>
      <c r="O652" s="5" t="n">
        <v>44</v>
      </c>
      <c r="P652" s="8">
        <f>IF(AND(M652&lt;&gt;"",M652&gt;0),M652+N652+O652,"")</f>
        <v/>
      </c>
      <c r="Q652" s="11">
        <f>IF(AND(L652&lt;&gt;"",L652&gt;0,P652&lt;&gt;""),P652/L652,"")</f>
        <v/>
      </c>
      <c r="R652" s="16">
        <f>IF(AND(P652&lt;&gt;"",P652&gt;0),(I652+J652+K652)/P652,"")</f>
        <v/>
      </c>
    </row>
    <row r="653" ht="27" customHeight="1">
      <c r="A653" s="5" t="inlineStr">
        <is>
          <t>2026-03-17</t>
        </is>
      </c>
      <c r="B653" s="5" t="inlineStr">
        <is>
          <t>12周</t>
        </is>
      </c>
      <c r="C653" s="5" t="inlineStr">
        <is>
          <t>抖音</t>
        </is>
      </c>
      <c r="D653" s="5" t="n"/>
      <c r="E653" s="5" t="n"/>
      <c r="F653" s="5" t="inlineStr">
        <is>
          <t>https://v.douyin.com/n0nt7nvDNlM/</t>
        </is>
      </c>
      <c r="G653" s="5" t="inlineStr">
        <is>
          <t>495</t>
        </is>
      </c>
      <c r="H653" s="5" t="inlineStr">
        <is>
          <t>穿搭</t>
        </is>
      </c>
      <c r="I653" s="5" t="n">
        <v>200</v>
      </c>
      <c r="J653" s="5" t="n"/>
      <c r="K653" s="5" t="n">
        <v>93</v>
      </c>
      <c r="L653" s="5" t="n">
        <v>17000</v>
      </c>
      <c r="M653" s="5" t="n">
        <v>537</v>
      </c>
      <c r="N653" s="5" t="n">
        <v>73</v>
      </c>
      <c r="O653" s="5" t="n">
        <v>18</v>
      </c>
      <c r="P653" s="8">
        <f>IF(AND(M653&lt;&gt;"",M653&gt;0),M653+N653+O653,"")</f>
        <v/>
      </c>
      <c r="Q653" s="11">
        <f>IF(AND(L653&lt;&gt;"",L653&gt;0,P653&lt;&gt;""),P653/L653,"")</f>
        <v/>
      </c>
      <c r="R653" s="16">
        <f>IF(AND(P653&lt;&gt;"",P653&gt;0),(I653+J653+K653)/P653,"")</f>
        <v/>
      </c>
    </row>
    <row r="654" ht="67.5" customHeight="1">
      <c r="A654" s="5" t="inlineStr">
        <is>
          <t>2026-03-17</t>
        </is>
      </c>
      <c r="B654" s="5" t="inlineStr">
        <is>
          <t>12周</t>
        </is>
      </c>
      <c r="C654" s="5" t="inlineStr">
        <is>
          <t>抖音</t>
        </is>
      </c>
      <c r="D654" s="5" t="n"/>
      <c r="E654" s="5" t="n"/>
      <c r="F654" s="5" t="inlineStr">
        <is>
          <t>https://www.douyin.com/video/7617693406948718248/search/yyyyznan?aid=71060170-78d1-4917-b300-88633e8db8a5&amp;modal_id=7618147401198698469&amp;type=general</t>
        </is>
      </c>
      <c r="G654" s="5" t="inlineStr">
        <is>
          <t>0001A1</t>
        </is>
      </c>
      <c r="H654" s="5" t="inlineStr">
        <is>
          <t>穿搭</t>
        </is>
      </c>
      <c r="I654" s="5" t="n">
        <v>50</v>
      </c>
      <c r="J654" s="5" t="n"/>
      <c r="K654" s="5" t="n">
        <v>107.5</v>
      </c>
      <c r="L654" s="5" t="n">
        <v>21000</v>
      </c>
      <c r="M654" s="5" t="n">
        <v>1027</v>
      </c>
      <c r="N654" s="5" t="n">
        <v>188</v>
      </c>
      <c r="O654" s="5" t="n">
        <v>21</v>
      </c>
      <c r="P654" s="8">
        <f>IF(AND(M654&lt;&gt;"",M654&gt;0),M654+N654+O654,"")</f>
        <v/>
      </c>
      <c r="Q654" s="11">
        <f>IF(AND(L654&lt;&gt;"",L654&gt;0,P654&lt;&gt;""),P654/L654,"")</f>
        <v/>
      </c>
      <c r="R654" s="16">
        <f>IF(AND(P654&lt;&gt;"",P654&gt;0),(I654+J654+K654)/P654,"")</f>
        <v/>
      </c>
    </row>
    <row r="655" ht="81" customHeight="1">
      <c r="A655" s="5" t="inlineStr">
        <is>
          <t>2026-03-17</t>
        </is>
      </c>
      <c r="B655" s="5" t="inlineStr">
        <is>
          <t>12周</t>
        </is>
      </c>
      <c r="C655" s="5" t="inlineStr">
        <is>
          <t>小红书</t>
        </is>
      </c>
      <c r="D655" s="5" t="n"/>
      <c r="E655" s="5" t="n"/>
      <c r="F655" s="5" t="inlineStr">
        <is>
          <t>https://www.xiaohongshu.com/discovery/item/69b95fb4000000001a029928?xsec_token=CBA1UbDVOJevAfH0A0GTQXHAiwX2GR1WgHyXq7LES6bF0=&amp;xsec_source=app_share&amp;type=video</t>
        </is>
      </c>
      <c r="G655" s="5" t="inlineStr">
        <is>
          <t>495</t>
        </is>
      </c>
      <c r="H655" s="5" t="inlineStr">
        <is>
          <t>穿搭</t>
        </is>
      </c>
      <c r="I655" s="5" t="n">
        <v>50</v>
      </c>
      <c r="J655" s="5" t="n"/>
      <c r="K655" s="5" t="n">
        <v>93</v>
      </c>
      <c r="L655" s="5" t="n">
        <v>7182</v>
      </c>
      <c r="M655" s="5" t="n">
        <v>538</v>
      </c>
      <c r="N655" s="5" t="n">
        <v>81</v>
      </c>
      <c r="O655" s="5" t="n">
        <v>29</v>
      </c>
      <c r="P655" s="8">
        <f>IF(AND(M655&lt;&gt;"",M655&gt;0),M655+N655+O655,"")</f>
        <v/>
      </c>
      <c r="Q655" s="11">
        <f>IF(AND(L655&lt;&gt;"",L655&gt;0,P655&lt;&gt;""),P655/L655,"")</f>
        <v/>
      </c>
      <c r="R655" s="16">
        <f>IF(AND(P655&lt;&gt;"",P655&gt;0),(I655+J655+K655)/P655,"")</f>
        <v/>
      </c>
    </row>
    <row r="656" ht="27" customHeight="1">
      <c r="A656" s="5" t="inlineStr">
        <is>
          <t>2026-03-18</t>
        </is>
      </c>
      <c r="B656" s="5" t="inlineStr">
        <is>
          <t>12周</t>
        </is>
      </c>
      <c r="C656" s="5" t="inlineStr">
        <is>
          <t>抖音</t>
        </is>
      </c>
      <c r="D656" s="5" t="n"/>
      <c r="E656" s="5" t="n"/>
      <c r="F656" s="5" t="inlineStr">
        <is>
          <t>https://v.douyin.com/HWeY6ILsRjo/</t>
        </is>
      </c>
      <c r="G656" s="5" t="inlineStr">
        <is>
          <t>0002A1</t>
        </is>
      </c>
      <c r="H656" s="5" t="inlineStr">
        <is>
          <t>穿搭</t>
        </is>
      </c>
      <c r="I656" s="5" t="n"/>
      <c r="J656" s="5" t="n"/>
      <c r="K656" s="5" t="n">
        <v>110.5</v>
      </c>
      <c r="L656" s="5" t="n">
        <v>22000</v>
      </c>
      <c r="M656" s="5" t="n">
        <v>2605</v>
      </c>
      <c r="N656" s="5" t="n">
        <v>370</v>
      </c>
      <c r="O656" s="5" t="n">
        <v>16</v>
      </c>
      <c r="P656" s="8">
        <f>IF(AND(M656&lt;&gt;"",M656&gt;0),M656+N656+O656,"")</f>
        <v/>
      </c>
      <c r="Q656" s="11">
        <f>IF(AND(L656&lt;&gt;"",L656&gt;0,P656&lt;&gt;""),P656/L656,"")</f>
        <v/>
      </c>
      <c r="R656" s="16">
        <f>IF(AND(P656&lt;&gt;"",P656&gt;0),(I656+J656+K656)/P656,"")</f>
        <v/>
      </c>
    </row>
    <row r="657" ht="27" customHeight="1">
      <c r="A657" s="5" t="inlineStr">
        <is>
          <t>2026-03-18</t>
        </is>
      </c>
      <c r="B657" s="5" t="inlineStr">
        <is>
          <t>12周</t>
        </is>
      </c>
      <c r="C657" s="5" t="inlineStr">
        <is>
          <t>抖音</t>
        </is>
      </c>
      <c r="D657" s="5" t="n"/>
      <c r="E657" s="5" t="n"/>
      <c r="F657" s="5" t="inlineStr">
        <is>
          <t>https://v.douyin.com/L5NSn7XqC4Y/</t>
        </is>
      </c>
      <c r="G657" s="5" t="inlineStr">
        <is>
          <t>0002A1</t>
        </is>
      </c>
      <c r="H657" s="5" t="inlineStr">
        <is>
          <t>穿搭</t>
        </is>
      </c>
      <c r="I657" s="5" t="n"/>
      <c r="J657" s="5" t="n"/>
      <c r="K657" s="5" t="n">
        <v>110.5</v>
      </c>
      <c r="L657" s="5" t="n">
        <v>15000</v>
      </c>
      <c r="M657" s="5" t="n">
        <v>683</v>
      </c>
      <c r="N657" s="5" t="n">
        <v>78</v>
      </c>
      <c r="O657" s="5" t="n">
        <v>79</v>
      </c>
      <c r="P657" s="8">
        <f>IF(AND(M657&lt;&gt;"",M657&gt;0),M657+N657+O657,"")</f>
        <v/>
      </c>
      <c r="Q657" s="11">
        <f>IF(AND(L657&lt;&gt;"",L657&gt;0,P657&lt;&gt;""),P657/L657,"")</f>
        <v/>
      </c>
      <c r="R657" s="16">
        <f>IF(AND(P657&lt;&gt;"",P657&gt;0),(I657+J657+K657)/P657,"")</f>
        <v/>
      </c>
    </row>
    <row r="658" ht="40.5" customHeight="1">
      <c r="A658" s="5" t="inlineStr">
        <is>
          <t>2026-03-18</t>
        </is>
      </c>
      <c r="B658" s="5" t="inlineStr">
        <is>
          <t>12周</t>
        </is>
      </c>
      <c r="C658" s="5" t="inlineStr">
        <is>
          <t>抖音</t>
        </is>
      </c>
      <c r="D658" s="5" t="n"/>
      <c r="E658" s="5" t="n"/>
      <c r="F658" s="5" t="inlineStr">
        <is>
          <t>https://www.douyin.com/user/self?from_tab_name=main&amp;modal_id=7618507742340743338&amp;showTab=like</t>
        </is>
      </c>
      <c r="G658" s="5" t="inlineStr">
        <is>
          <t>0002A1</t>
        </is>
      </c>
      <c r="H658" s="5" t="inlineStr">
        <is>
          <t>穿搭</t>
        </is>
      </c>
      <c r="I658" s="5" t="n">
        <v>100</v>
      </c>
      <c r="J658" s="5" t="n"/>
      <c r="K658" s="5" t="n">
        <v>110.5</v>
      </c>
      <c r="L658" s="5" t="n">
        <v>22000</v>
      </c>
      <c r="M658" s="5" t="n">
        <v>1625</v>
      </c>
      <c r="N658" s="5" t="n">
        <v>26</v>
      </c>
      <c r="O658" s="5" t="n">
        <v>57</v>
      </c>
      <c r="P658" s="8">
        <f>IF(AND(M658&lt;&gt;"",M658&gt;0),M658+N658+O658,"")</f>
        <v/>
      </c>
      <c r="Q658" s="11">
        <f>IF(AND(L658&lt;&gt;"",L658&gt;0,P658&lt;&gt;""),P658/L658,"")</f>
        <v/>
      </c>
      <c r="R658" s="16">
        <f>IF(AND(P658&lt;&gt;"",P658&gt;0),(I658+J658+K658)/P658,"")</f>
        <v/>
      </c>
    </row>
    <row r="659" ht="67.5" customHeight="1">
      <c r="A659" s="5" t="inlineStr">
        <is>
          <t>2026-03-18</t>
        </is>
      </c>
      <c r="B659" s="5" t="inlineStr">
        <is>
          <t>12周</t>
        </is>
      </c>
      <c r="C659" s="5" t="inlineStr">
        <is>
          <t>小红书</t>
        </is>
      </c>
      <c r="D659" s="5" t="n"/>
      <c r="E659" s="5" t="n"/>
      <c r="F659" s="5" t="inlineStr">
        <is>
          <t>https://www.xiaohongshu.com/discovery/item/69ba33ce000000001b02183b?xsec_token=CBsLfzz3fOUuDP4Sf4aGMdo5W0F8iPY3xq43T3pAHhEdw=&amp;xsec_source=app_share</t>
        </is>
      </c>
      <c r="G659" s="5" t="inlineStr">
        <is>
          <t>0002A1</t>
        </is>
      </c>
      <c r="H659" s="5" t="inlineStr">
        <is>
          <t>穿搭</t>
        </is>
      </c>
      <c r="I659" s="5" t="n"/>
      <c r="J659" s="5" t="n"/>
      <c r="K659" s="5" t="n">
        <v>110.5</v>
      </c>
      <c r="L659" s="5" t="n">
        <v>129</v>
      </c>
      <c r="M659" s="5" t="n">
        <v>7</v>
      </c>
      <c r="N659" s="5" t="n">
        <v>0</v>
      </c>
      <c r="O659" s="5" t="n">
        <v>2</v>
      </c>
      <c r="P659" s="8">
        <f>IF(AND(M659&lt;&gt;"",M659&gt;0),M659+N659+O659,"")</f>
        <v/>
      </c>
      <c r="Q659" s="11">
        <f>IF(AND(L659&lt;&gt;"",L659&gt;0,P659&lt;&gt;""),P659/L659,"")</f>
        <v/>
      </c>
      <c r="R659" s="16">
        <f>IF(AND(P659&lt;&gt;"",P659&gt;0),(I659+J659+K659)/P659,"")</f>
        <v/>
      </c>
    </row>
    <row r="660" ht="67.5" customHeight="1">
      <c r="A660" s="5" t="inlineStr">
        <is>
          <t>2026-03-18</t>
        </is>
      </c>
      <c r="B660" s="5" t="inlineStr">
        <is>
          <t>12周</t>
        </is>
      </c>
      <c r="C660" s="5" t="inlineStr">
        <is>
          <t>小红书</t>
        </is>
      </c>
      <c r="D660" s="5" t="n"/>
      <c r="E660" s="5" t="n"/>
      <c r="F660" s="5" t="inlineStr">
        <is>
          <t>https://www.xiaohongshu.com/discovery/item/69ba5525000000002200d9eb?xsec_token=CBlldXU36NMFyb1sBXBE60aDeLNyVjigBrpK0WTLI5Kn4=&amp;xsec_source=app_share</t>
        </is>
      </c>
      <c r="G660" s="5" t="inlineStr">
        <is>
          <t>0002A1</t>
        </is>
      </c>
      <c r="H660" s="5" t="inlineStr">
        <is>
          <t>穿搭</t>
        </is>
      </c>
      <c r="I660" s="5" t="n">
        <v>800</v>
      </c>
      <c r="J660" s="5" t="n"/>
      <c r="K660" s="5" t="n">
        <v>110.5</v>
      </c>
      <c r="L660" s="5" t="n">
        <v>2237</v>
      </c>
      <c r="M660" s="5" t="n">
        <v>1307</v>
      </c>
      <c r="N660" s="5" t="n">
        <v>218</v>
      </c>
      <c r="O660" s="5" t="n">
        <v>23</v>
      </c>
      <c r="P660" s="8">
        <f>IF(AND(M660&lt;&gt;"",M660&gt;0),M660+N660+O660,"")</f>
        <v/>
      </c>
      <c r="Q660" s="11">
        <f>IF(AND(L660&lt;&gt;"",L660&gt;0,P660&lt;&gt;""),P660/L660,"")</f>
        <v/>
      </c>
      <c r="R660" s="16">
        <f>IF(AND(P660&lt;&gt;"",P660&gt;0),(I660+J660+K660)/P660,"")</f>
        <v/>
      </c>
    </row>
    <row r="661" ht="81" customHeight="1">
      <c r="A661" s="5" t="inlineStr">
        <is>
          <t>2026-03-18</t>
        </is>
      </c>
      <c r="B661" s="5" t="inlineStr">
        <is>
          <t>12周</t>
        </is>
      </c>
      <c r="C661" s="5" t="inlineStr">
        <is>
          <t>小红书</t>
        </is>
      </c>
      <c r="D661" s="5" t="n"/>
      <c r="E661" s="5" t="n"/>
      <c r="F661" s="5" t="inlineStr">
        <is>
          <t>https://www.xiaohongshu.com/discovery/item/69ba3c11000000002102d9b2?xsec_token=CBlldXU36NMFyb1sBXBE60aBV3uH1RwNRaXr3JP-Lj9tE=&amp;xsec_source=app_share&amp;type=video</t>
        </is>
      </c>
      <c r="G661" s="5" t="inlineStr">
        <is>
          <t>0002A1</t>
        </is>
      </c>
      <c r="H661" s="5" t="inlineStr">
        <is>
          <t>口播</t>
        </is>
      </c>
      <c r="I661" s="5" t="n"/>
      <c r="J661" s="5" t="n"/>
      <c r="K661" s="5" t="n">
        <v>110.5</v>
      </c>
      <c r="L661" s="5" t="n">
        <v>9471</v>
      </c>
      <c r="M661" s="5" t="n">
        <v>1874</v>
      </c>
      <c r="N661" s="5" t="n">
        <v>259</v>
      </c>
      <c r="O661" s="5" t="n">
        <v>29</v>
      </c>
      <c r="P661" s="8">
        <f>IF(AND(M661&lt;&gt;"",M661&gt;0),M661+N661+O661,"")</f>
        <v/>
      </c>
      <c r="Q661" s="11">
        <f>IF(AND(L661&lt;&gt;"",L661&gt;0,P661&lt;&gt;""),P661/L661,"")</f>
        <v/>
      </c>
      <c r="R661" s="16">
        <f>IF(AND(P661&lt;&gt;"",P661&gt;0),(I661+J661+K661)/P661,"")</f>
        <v/>
      </c>
    </row>
    <row r="662" ht="27" customHeight="1">
      <c r="A662" s="5" t="inlineStr">
        <is>
          <t>2026-03-19</t>
        </is>
      </c>
      <c r="B662" s="5" t="inlineStr">
        <is>
          <t>12周</t>
        </is>
      </c>
      <c r="C662" s="5" t="inlineStr">
        <is>
          <t>抖音</t>
        </is>
      </c>
      <c r="D662" s="5" t="n"/>
      <c r="E662" s="5" t="n"/>
      <c r="F662" s="5" t="inlineStr">
        <is>
          <t>https://v.douyin.com/ZBgNYyJOwmA/</t>
        </is>
      </c>
      <c r="G662" s="5" t="inlineStr">
        <is>
          <t>0002A1</t>
        </is>
      </c>
      <c r="H662" s="5" t="inlineStr">
        <is>
          <t>口播</t>
        </is>
      </c>
      <c r="I662" s="5" t="n">
        <v>200</v>
      </c>
      <c r="J662" s="5" t="n"/>
      <c r="K662" s="5" t="n">
        <v>110.5</v>
      </c>
      <c r="L662" s="5" t="n">
        <v>7818</v>
      </c>
      <c r="M662" s="5" t="n">
        <v>900</v>
      </c>
      <c r="N662" s="5" t="n">
        <v>62</v>
      </c>
      <c r="O662" s="5" t="n">
        <v>35</v>
      </c>
      <c r="P662" s="8">
        <f>IF(AND(M662&lt;&gt;"",M662&gt;0),M662+N662+O662,"")</f>
        <v/>
      </c>
      <c r="Q662" s="11">
        <f>IF(AND(L662&lt;&gt;"",L662&gt;0,P662&lt;&gt;""),P662/L662,"")</f>
        <v/>
      </c>
      <c r="R662" s="16">
        <f>IF(AND(P662&lt;&gt;"",P662&gt;0),(I662+J662+K662)/P662,"")</f>
        <v/>
      </c>
    </row>
    <row r="663" ht="27" customHeight="1">
      <c r="A663" s="5" t="inlineStr">
        <is>
          <t>2026-03-19</t>
        </is>
      </c>
      <c r="B663" s="5" t="inlineStr">
        <is>
          <t>12周</t>
        </is>
      </c>
      <c r="C663" s="5" t="inlineStr">
        <is>
          <t>抖音</t>
        </is>
      </c>
      <c r="D663" s="5" t="n"/>
      <c r="E663" s="5" t="n"/>
      <c r="F663" s="5" t="inlineStr">
        <is>
          <t>https://v.douyin.com/pVmEcGpTW7k/</t>
        </is>
      </c>
      <c r="G663" s="5" t="inlineStr">
        <is>
          <t>0002A1</t>
        </is>
      </c>
      <c r="H663" s="5" t="inlineStr">
        <is>
          <t>穿搭</t>
        </is>
      </c>
      <c r="I663" s="5" t="n"/>
      <c r="J663" s="5" t="n"/>
      <c r="K663" s="5" t="n">
        <v>110.5</v>
      </c>
      <c r="L663" s="5" t="n">
        <v>9697</v>
      </c>
      <c r="M663" s="5" t="n">
        <v>1178</v>
      </c>
      <c r="N663" s="5" t="n">
        <v>62</v>
      </c>
      <c r="O663" s="5" t="n">
        <v>27</v>
      </c>
      <c r="P663" s="8">
        <f>IF(AND(M663&lt;&gt;"",M663&gt;0),M663+N663+O663,"")</f>
        <v/>
      </c>
      <c r="Q663" s="11">
        <f>IF(AND(L663&lt;&gt;"",L663&gt;0,P663&lt;&gt;""),P663/L663,"")</f>
        <v/>
      </c>
      <c r="R663" s="16">
        <f>IF(AND(P663&lt;&gt;"",P663&gt;0),(I663+J663+K663)/P663,"")</f>
        <v/>
      </c>
    </row>
    <row r="664" ht="27" customHeight="1">
      <c r="A664" s="5" t="inlineStr">
        <is>
          <t>2026-03-19</t>
        </is>
      </c>
      <c r="B664" s="5" t="inlineStr">
        <is>
          <t>12周</t>
        </is>
      </c>
      <c r="C664" s="5" t="inlineStr">
        <is>
          <t>抖音</t>
        </is>
      </c>
      <c r="D664" s="5" t="n"/>
      <c r="E664" s="5" t="n"/>
      <c r="F664" s="5" t="inlineStr">
        <is>
          <t>https://v.douyin.com/qxGh5KpO4eo/</t>
        </is>
      </c>
      <c r="G664" s="5" t="inlineStr">
        <is>
          <t>0002A1</t>
        </is>
      </c>
      <c r="H664" s="5" t="inlineStr">
        <is>
          <t>穿搭</t>
        </is>
      </c>
      <c r="I664" s="5" t="n">
        <v>380</v>
      </c>
      <c r="J664" s="5" t="n"/>
      <c r="K664" s="5" t="n">
        <v>110.5</v>
      </c>
      <c r="L664" s="5" t="n">
        <v>46000</v>
      </c>
      <c r="M664" s="5" t="n">
        <v>1563</v>
      </c>
      <c r="N664" s="5" t="n">
        <v>142</v>
      </c>
      <c r="O664" s="5" t="n">
        <v>63</v>
      </c>
      <c r="P664" s="8">
        <f>IF(AND(M664&lt;&gt;"",M664&gt;0),M664+N664+O664,"")</f>
        <v/>
      </c>
      <c r="Q664" s="11">
        <f>IF(AND(L664&lt;&gt;"",L664&gt;0,P664&lt;&gt;""),P664/L664,"")</f>
        <v/>
      </c>
      <c r="R664" s="16">
        <f>IF(AND(P664&lt;&gt;"",P664&gt;0),(I664+J664+K664)/P664,"")</f>
        <v/>
      </c>
    </row>
    <row r="665" ht="27" customHeight="1">
      <c r="A665" s="5" t="inlineStr">
        <is>
          <t>2026-03-20</t>
        </is>
      </c>
      <c r="B665" s="5" t="inlineStr">
        <is>
          <t>12周</t>
        </is>
      </c>
      <c r="C665" s="5" t="inlineStr">
        <is>
          <t>抖音</t>
        </is>
      </c>
      <c r="D665" s="5" t="n"/>
      <c r="E665" s="5" t="n"/>
      <c r="F665" s="5" t="inlineStr">
        <is>
          <t>https://v.douyin.com/kPD04BtO8rw/</t>
        </is>
      </c>
      <c r="G665" s="5" t="inlineStr">
        <is>
          <t>1217W</t>
        </is>
      </c>
      <c r="H665" s="5" t="inlineStr">
        <is>
          <t>学生</t>
        </is>
      </c>
      <c r="I665" s="5" t="n">
        <v>50</v>
      </c>
      <c r="J665" s="5" t="n"/>
      <c r="K665" s="5" t="n">
        <v>54</v>
      </c>
      <c r="L665" s="5" t="n">
        <v>7845</v>
      </c>
      <c r="M665" s="5" t="n">
        <v>1482</v>
      </c>
      <c r="N665" s="5" t="n">
        <v>52</v>
      </c>
      <c r="O665" s="5" t="n">
        <v>29</v>
      </c>
      <c r="P665" s="8">
        <f>IF(AND(M665&lt;&gt;"",M665&gt;0),M665+N665+O665,"")</f>
        <v/>
      </c>
      <c r="Q665" s="11">
        <f>IF(AND(L665&lt;&gt;"",L665&gt;0,P665&lt;&gt;""),P665/L665,"")</f>
        <v/>
      </c>
      <c r="R665" s="16">
        <f>IF(AND(P665&lt;&gt;"",P665&gt;0),(I665+J665+K665)/P665,"")</f>
        <v/>
      </c>
    </row>
    <row r="666" ht="27" customHeight="1">
      <c r="A666" s="5" t="inlineStr">
        <is>
          <t>2026-03-20</t>
        </is>
      </c>
      <c r="B666" s="5" t="inlineStr">
        <is>
          <t>12周</t>
        </is>
      </c>
      <c r="C666" s="5" t="inlineStr">
        <is>
          <t>抖音</t>
        </is>
      </c>
      <c r="D666" s="5" t="n"/>
      <c r="E666" s="5" t="n"/>
      <c r="F666" s="5" t="inlineStr">
        <is>
          <t>https://v.douyin.com/LIB5M3J1yAg/</t>
        </is>
      </c>
      <c r="G666" s="5" t="inlineStr">
        <is>
          <t>0002A1</t>
        </is>
      </c>
      <c r="H666" s="5" t="inlineStr">
        <is>
          <t>穿搭</t>
        </is>
      </c>
      <c r="I666" s="5" t="n">
        <v>150</v>
      </c>
      <c r="J666" s="5" t="n"/>
      <c r="K666" s="5" t="n">
        <v>110.5</v>
      </c>
      <c r="L666" s="5" t="n">
        <v>28000</v>
      </c>
      <c r="M666" s="5" t="n">
        <v>5201</v>
      </c>
      <c r="N666" s="5" t="n">
        <v>680</v>
      </c>
      <c r="O666" s="5" t="n">
        <v>47</v>
      </c>
      <c r="P666" s="8">
        <f>IF(AND(M666&lt;&gt;"",M666&gt;0),M666+N666+O666,"")</f>
        <v/>
      </c>
      <c r="Q666" s="11">
        <f>IF(AND(L666&lt;&gt;"",L666&gt;0,P666&lt;&gt;""),P666/L666,"")</f>
        <v/>
      </c>
      <c r="R666" s="16">
        <f>IF(AND(P666&lt;&gt;"",P666&gt;0),(I666+J666+K666)/P666,"")</f>
        <v/>
      </c>
    </row>
    <row r="667" ht="27" customHeight="1">
      <c r="A667" s="5" t="inlineStr">
        <is>
          <t>2026-03-20</t>
        </is>
      </c>
      <c r="B667" s="5" t="inlineStr">
        <is>
          <t>12周</t>
        </is>
      </c>
      <c r="C667" s="5" t="inlineStr">
        <is>
          <t>抖音</t>
        </is>
      </c>
      <c r="D667" s="5" t="n"/>
      <c r="E667" s="5" t="n"/>
      <c r="F667" s="5" t="inlineStr">
        <is>
          <t>https://v.douyin.com/BBX4V9lte-w/</t>
        </is>
      </c>
      <c r="G667" s="5" t="inlineStr">
        <is>
          <t>0002A1</t>
        </is>
      </c>
      <c r="H667" s="5" t="inlineStr">
        <is>
          <t>穿搭</t>
        </is>
      </c>
      <c r="I667" s="5" t="n"/>
      <c r="J667" s="5" t="n"/>
      <c r="K667" s="5" t="n">
        <v>110.5</v>
      </c>
      <c r="L667" s="5" t="n">
        <v>23000</v>
      </c>
      <c r="M667" s="5" t="n">
        <v>772</v>
      </c>
      <c r="N667" s="5" t="n">
        <v>59</v>
      </c>
      <c r="O667" s="5" t="n">
        <v>86</v>
      </c>
      <c r="P667" s="8">
        <f>IF(AND(M667&lt;&gt;"",M667&gt;0),M667+N667+O667,"")</f>
        <v/>
      </c>
      <c r="Q667" s="11">
        <f>IF(AND(L667&lt;&gt;"",L667&gt;0,P667&lt;&gt;""),P667/L667,"")</f>
        <v/>
      </c>
      <c r="R667" s="16">
        <f>IF(AND(P667&lt;&gt;"",P667&gt;0),(I667+J667+K667)/P667,"")</f>
        <v/>
      </c>
    </row>
    <row r="668" ht="27" customHeight="1">
      <c r="A668" s="5" t="inlineStr">
        <is>
          <t>2026-03-20</t>
        </is>
      </c>
      <c r="B668" s="5" t="inlineStr">
        <is>
          <t>12周</t>
        </is>
      </c>
      <c r="C668" s="5" t="inlineStr">
        <is>
          <t>抖音</t>
        </is>
      </c>
      <c r="D668" s="5" t="n"/>
      <c r="E668" s="5" t="n"/>
      <c r="F668" s="5" t="inlineStr">
        <is>
          <t>https://v.douyin.com/z7sdywqlibg/ R@k.CH</t>
        </is>
      </c>
      <c r="G668" s="5" t="inlineStr">
        <is>
          <t>0002A1</t>
        </is>
      </c>
      <c r="H668" s="5" t="inlineStr">
        <is>
          <t>口播</t>
        </is>
      </c>
      <c r="I668" s="5" t="n"/>
      <c r="J668" s="5" t="n"/>
      <c r="K668" s="5" t="n">
        <v>110.5</v>
      </c>
      <c r="L668" s="5" t="n">
        <v>1590</v>
      </c>
      <c r="M668" s="5" t="n">
        <v>66</v>
      </c>
      <c r="N668" s="5" t="n">
        <v>9</v>
      </c>
      <c r="O668" s="5" t="n">
        <v>13</v>
      </c>
      <c r="P668" s="8">
        <f>IF(AND(M668&lt;&gt;"",M668&gt;0),M668+N668+O668,"")</f>
        <v/>
      </c>
      <c r="Q668" s="11">
        <f>IF(AND(L668&lt;&gt;"",L668&gt;0,P668&lt;&gt;""),P668/L668,"")</f>
        <v/>
      </c>
      <c r="R668" s="16">
        <f>IF(AND(P668&lt;&gt;"",P668&gt;0),(I668+J668+K668)/P668,"")</f>
        <v/>
      </c>
    </row>
    <row r="669" ht="27" customHeight="1">
      <c r="A669" s="5" t="inlineStr">
        <is>
          <t>2026-03-20</t>
        </is>
      </c>
      <c r="B669" s="5" t="inlineStr">
        <is>
          <t>12周</t>
        </is>
      </c>
      <c r="C669" s="5" t="inlineStr">
        <is>
          <t>抖音</t>
        </is>
      </c>
      <c r="D669" s="5" t="n"/>
      <c r="E669" s="5" t="n"/>
      <c r="F669" s="5" t="inlineStr">
        <is>
          <t>https://v.douyin.com/odo3sfMN-GE/</t>
        </is>
      </c>
      <c r="G669" s="5" t="inlineStr">
        <is>
          <t>495</t>
        </is>
      </c>
      <c r="H669" s="5" t="inlineStr">
        <is>
          <t>口播</t>
        </is>
      </c>
      <c r="I669" s="5" t="n">
        <v>400</v>
      </c>
      <c r="J669" s="5" t="n"/>
      <c r="K669" s="5" t="n">
        <v>93</v>
      </c>
      <c r="L669" s="5" t="n">
        <v>13000</v>
      </c>
      <c r="M669" s="5" t="n">
        <v>635</v>
      </c>
      <c r="N669" s="5" t="n">
        <v>71</v>
      </c>
      <c r="O669" s="5" t="n">
        <v>70</v>
      </c>
      <c r="P669" s="8">
        <f>IF(AND(M669&lt;&gt;"",M669&gt;0),M669+N669+O669,"")</f>
        <v/>
      </c>
      <c r="Q669" s="11">
        <f>IF(AND(L669&lt;&gt;"",L669&gt;0,P669&lt;&gt;""),P669/L669,"")</f>
        <v/>
      </c>
      <c r="R669" s="16">
        <f>IF(AND(P669&lt;&gt;"",P669&gt;0),(I669+J669+K669)/P669,"")</f>
        <v/>
      </c>
    </row>
    <row r="670" ht="27" customHeight="1">
      <c r="A670" s="5" t="inlineStr">
        <is>
          <t>2026-03-20</t>
        </is>
      </c>
      <c r="B670" s="5" t="inlineStr">
        <is>
          <t>12周</t>
        </is>
      </c>
      <c r="C670" s="5" t="inlineStr">
        <is>
          <t>抖音</t>
        </is>
      </c>
      <c r="D670" s="5" t="n"/>
      <c r="E670" s="5" t="n"/>
      <c r="F670" s="5" t="inlineStr">
        <is>
          <t>https://v.douyin.com/RVOSM7phXOo/</t>
        </is>
      </c>
      <c r="G670" s="5" t="inlineStr">
        <is>
          <t>0002A1</t>
        </is>
      </c>
      <c r="H670" s="5" t="inlineStr">
        <is>
          <t>口播</t>
        </is>
      </c>
      <c r="I670" s="5" t="n">
        <v>600</v>
      </c>
      <c r="J670" s="5" t="n"/>
      <c r="K670" s="5" t="n">
        <v>110.5</v>
      </c>
      <c r="L670" s="5" t="n">
        <v>32000</v>
      </c>
      <c r="M670" s="5" t="n">
        <v>2503</v>
      </c>
      <c r="N670" s="5" t="n">
        <v>323</v>
      </c>
      <c r="O670" s="5" t="n">
        <v>46</v>
      </c>
      <c r="P670" s="8">
        <f>IF(AND(M670&lt;&gt;"",M670&gt;0),M670+N670+O670,"")</f>
        <v/>
      </c>
      <c r="Q670" s="11">
        <f>IF(AND(L670&lt;&gt;"",L670&gt;0,P670&lt;&gt;""),P670/L670,"")</f>
        <v/>
      </c>
      <c r="R670" s="16">
        <f>IF(AND(P670&lt;&gt;"",P670&gt;0),(I670+J670+K670)/P670,"")</f>
        <v/>
      </c>
    </row>
    <row r="671" ht="27" customHeight="1">
      <c r="A671" s="5" t="inlineStr">
        <is>
          <t>2026-03-20</t>
        </is>
      </c>
      <c r="B671" s="5" t="inlineStr">
        <is>
          <t>12周</t>
        </is>
      </c>
      <c r="C671" s="5" t="inlineStr">
        <is>
          <t>抖音</t>
        </is>
      </c>
      <c r="D671" s="5" t="n"/>
      <c r="E671" s="5" t="n"/>
      <c r="F671" s="5" t="inlineStr">
        <is>
          <t>https://v.douyin.com/dxpJQDLueIk/</t>
        </is>
      </c>
      <c r="G671" s="5" t="inlineStr">
        <is>
          <t>0002A1</t>
        </is>
      </c>
      <c r="H671" s="5" t="inlineStr">
        <is>
          <t>穿搭</t>
        </is>
      </c>
      <c r="I671" s="5" t="n">
        <v>50</v>
      </c>
      <c r="J671" s="5" t="n"/>
      <c r="K671" s="5" t="n">
        <v>110.5</v>
      </c>
      <c r="L671" s="5" t="n">
        <v>16000</v>
      </c>
      <c r="M671" s="5" t="n">
        <v>767</v>
      </c>
      <c r="N671" s="5" t="n">
        <v>39</v>
      </c>
      <c r="O671" s="5" t="n">
        <v>19</v>
      </c>
      <c r="P671" s="8">
        <f>IF(AND(M671&lt;&gt;"",M671&gt;0),M671+N671+O671,"")</f>
        <v/>
      </c>
      <c r="Q671" s="11">
        <f>IF(AND(L671&lt;&gt;"",L671&gt;0,P671&lt;&gt;""),P671/L671,"")</f>
        <v/>
      </c>
      <c r="R671" s="16">
        <f>IF(AND(P671&lt;&gt;"",P671&gt;0),(I671+J671+K671)/P671,"")</f>
        <v/>
      </c>
    </row>
    <row r="672" ht="81" customHeight="1">
      <c r="A672" s="5" t="inlineStr">
        <is>
          <t>2026-03-20</t>
        </is>
      </c>
      <c r="B672" s="5" t="inlineStr">
        <is>
          <t>12周</t>
        </is>
      </c>
      <c r="C672" s="5" t="inlineStr">
        <is>
          <t>小红书</t>
        </is>
      </c>
      <c r="D672" s="5" t="n"/>
      <c r="E672" s="5" t="n"/>
      <c r="F672" s="5" t="inlineStr">
        <is>
          <t>https://www.xiaohongshu.com/discovery/item/69bc1f05000000001b022785?xsec_token=CBj2po_MHQ5Cfh9x3Ei9CwtGM0_GvBj0pF6U50BvhxcOU=&amp;xsec_source=app_share&amp;type=video</t>
        </is>
      </c>
      <c r="G672" s="5" t="inlineStr">
        <is>
          <t>0001A1</t>
        </is>
      </c>
      <c r="H672" s="5" t="inlineStr">
        <is>
          <t>穿搭</t>
        </is>
      </c>
      <c r="I672" s="5" t="n"/>
      <c r="J672" s="5" t="n"/>
      <c r="K672" s="5" t="n">
        <v>107.5</v>
      </c>
      <c r="L672" s="5" t="n">
        <v>1971</v>
      </c>
      <c r="M672" s="5" t="n">
        <v>156</v>
      </c>
      <c r="N672" s="5" t="n">
        <v>3</v>
      </c>
      <c r="O672" s="5" t="n">
        <v>11</v>
      </c>
      <c r="P672" s="8">
        <f>IF(AND(M672&lt;&gt;"",M672&gt;0),M672+N672+O672,"")</f>
        <v/>
      </c>
      <c r="Q672" s="11">
        <f>IF(AND(L672&lt;&gt;"",L672&gt;0,P672&lt;&gt;""),P672/L672,"")</f>
        <v/>
      </c>
      <c r="R672" s="16">
        <f>IF(AND(P672&lt;&gt;"",P672&gt;0),(I672+J672+K672)/P672,"")</f>
        <v/>
      </c>
    </row>
    <row r="673" ht="81" customHeight="1">
      <c r="A673" s="5" t="inlineStr">
        <is>
          <t>2026-03-20</t>
        </is>
      </c>
      <c r="B673" s="5" t="inlineStr">
        <is>
          <t>12周</t>
        </is>
      </c>
      <c r="C673" s="5" t="inlineStr">
        <is>
          <t>小红书</t>
        </is>
      </c>
      <c r="D673" s="5" t="n"/>
      <c r="E673" s="5" t="n"/>
      <c r="F673" s="5" t="inlineStr">
        <is>
          <t>https://www.xiaohongshu.com/discovery/item/69bcbecd000000001b0022dd?xsec_token=CB_hegXy08pWjpiLuVctJIG13GWx1eqhV7yxs62yoIF2k=&amp;xsec_source=app_share&amp;type=video</t>
        </is>
      </c>
      <c r="G673" s="5" t="inlineStr">
        <is>
          <t>0002A1</t>
        </is>
      </c>
      <c r="H673" s="5" t="inlineStr">
        <is>
          <t>穿搭</t>
        </is>
      </c>
      <c r="I673" s="5" t="n"/>
      <c r="J673" s="5" t="n"/>
      <c r="K673" s="5" t="n">
        <v>110.5</v>
      </c>
      <c r="L673" s="5" t="n">
        <v>1802</v>
      </c>
      <c r="M673" s="5" t="n">
        <v>131</v>
      </c>
      <c r="N673" s="5" t="n">
        <v>16</v>
      </c>
      <c r="O673" s="5" t="n">
        <v>9</v>
      </c>
      <c r="P673" s="8">
        <f>IF(AND(M673&lt;&gt;"",M673&gt;0),M673+N673+O673,"")</f>
        <v/>
      </c>
      <c r="Q673" s="11">
        <f>IF(AND(L673&lt;&gt;"",L673&gt;0,P673&lt;&gt;""),P673/L673,"")</f>
        <v/>
      </c>
      <c r="R673" s="16">
        <f>IF(AND(P673&lt;&gt;"",P673&gt;0),(I673+J673+K673)/P673,"")</f>
        <v/>
      </c>
    </row>
    <row r="674" ht="67.5" customHeight="1">
      <c r="A674" s="5" t="inlineStr">
        <is>
          <t>2026-03-20</t>
        </is>
      </c>
      <c r="B674" s="5" t="inlineStr">
        <is>
          <t>12周</t>
        </is>
      </c>
      <c r="C674" s="5" t="inlineStr">
        <is>
          <t>小红书</t>
        </is>
      </c>
      <c r="D674" s="5" t="n"/>
      <c r="E674" s="5" t="n"/>
      <c r="F674" s="5" t="inlineStr">
        <is>
          <t>https://www.xiaohongshu.com/discovery/item/69bd2c150000000022025e78?xsec_token=CBAd_cd4-rjvifmW33ppDdmaEEeaDei42mCncSxaf8kOI=&amp;xsec_source=app_share</t>
        </is>
      </c>
      <c r="G674" s="5" t="inlineStr">
        <is>
          <t>0002A1</t>
        </is>
      </c>
      <c r="H674" s="5" t="inlineStr">
        <is>
          <t>穿搭</t>
        </is>
      </c>
      <c r="I674" s="5" t="n"/>
      <c r="J674" s="5" t="n"/>
      <c r="K674" s="5" t="n">
        <v>110.5</v>
      </c>
      <c r="L674" s="5" t="n">
        <v>158</v>
      </c>
      <c r="M674" s="5" t="n">
        <v>9</v>
      </c>
      <c r="N674" s="5" t="n">
        <v>1</v>
      </c>
      <c r="O674" s="5" t="n">
        <v>2</v>
      </c>
      <c r="P674" s="8">
        <f>IF(AND(M674&lt;&gt;"",M674&gt;0),M674+N674+O674,"")</f>
        <v/>
      </c>
      <c r="Q674" s="11">
        <f>IF(AND(L674&lt;&gt;"",L674&gt;0,P674&lt;&gt;""),P674/L674,"")</f>
        <v/>
      </c>
      <c r="R674" s="16">
        <f>IF(AND(P674&lt;&gt;"",P674&gt;0),(I674+J674+K674)/P674,"")</f>
        <v/>
      </c>
    </row>
    <row r="675" ht="81" customHeight="1">
      <c r="A675" s="5" t="inlineStr">
        <is>
          <t>2026-03-20</t>
        </is>
      </c>
      <c r="B675" s="5" t="inlineStr">
        <is>
          <t>12周</t>
        </is>
      </c>
      <c r="C675" s="5" t="inlineStr">
        <is>
          <t>小红书</t>
        </is>
      </c>
      <c r="D675" s="5" t="n"/>
      <c r="E675" s="5" t="n"/>
      <c r="F675" s="5" t="inlineStr">
        <is>
          <t>https://www.xiaohongshu.com/discovery/item/69bccd76000000002301449e?xsec_token=CBj2po_MHQ5Cfh9x3Ei9CwtD3MWoTuSSiMDHZkAE1o-g0=&amp;xsec_source=app_share&amp;type=video</t>
        </is>
      </c>
      <c r="G675" s="5" t="inlineStr">
        <is>
          <t>495</t>
        </is>
      </c>
      <c r="H675" s="5" t="inlineStr">
        <is>
          <t>口播</t>
        </is>
      </c>
      <c r="I675" s="5" t="n"/>
      <c r="J675" s="5" t="n"/>
      <c r="K675" s="5" t="n">
        <v>93</v>
      </c>
      <c r="L675" s="5" t="n">
        <v>1668</v>
      </c>
      <c r="M675" s="5" t="n">
        <v>87</v>
      </c>
      <c r="N675" s="5" t="n">
        <v>14</v>
      </c>
      <c r="O675" s="5" t="n">
        <v>23</v>
      </c>
      <c r="P675" s="8">
        <f>IF(AND(M675&lt;&gt;"",M675&gt;0),M675+N675+O675,"")</f>
        <v/>
      </c>
      <c r="Q675" s="11">
        <f>IF(AND(L675&lt;&gt;"",L675&gt;0,P675&lt;&gt;""),P675/L675,"")</f>
        <v/>
      </c>
      <c r="R675" s="16">
        <f>IF(AND(P675&lt;&gt;"",P675&gt;0),(I675+J675+K675)/P675,"")</f>
        <v/>
      </c>
    </row>
    <row r="676" ht="94.5" customHeight="1">
      <c r="A676" s="5" t="inlineStr">
        <is>
          <t>2026-03-20</t>
        </is>
      </c>
      <c r="B676" s="5" t="inlineStr">
        <is>
          <t>12周</t>
        </is>
      </c>
      <c r="C676" s="5" t="inlineStr">
        <is>
          <t>小红书</t>
        </is>
      </c>
      <c r="D676" s="5" t="n"/>
      <c r="E676" s="5" t="n"/>
      <c r="F676" s="5" t="inlineStr">
        <is>
          <t>https://www.xiaohongshu.com/discovery/item/69bd3d17000000002101035a?xsec_token=CBAd_cd4-rjvifmW33ppDdmTis0VU2z2g_YjPhZ8-sRVM=&amp;xsec_source=app_share&amp;type=video</t>
        </is>
      </c>
      <c r="G676" s="5" t="inlineStr">
        <is>
          <t>0002A1</t>
        </is>
      </c>
      <c r="H676" s="5" t="inlineStr">
        <is>
          <t>穿搭</t>
        </is>
      </c>
      <c r="I676" s="5" t="n"/>
      <c r="J676" s="5" t="n"/>
      <c r="K676" s="5" t="n">
        <v>110.5</v>
      </c>
      <c r="L676" s="5" t="n">
        <v>1020</v>
      </c>
      <c r="M676" s="5" t="n">
        <v>83</v>
      </c>
      <c r="N676" s="5" t="n">
        <v>13</v>
      </c>
      <c r="O676" s="5" t="n">
        <v>1</v>
      </c>
      <c r="P676" s="8">
        <f>IF(AND(M676&lt;&gt;"",M676&gt;0),M676+N676+O676,"")</f>
        <v/>
      </c>
      <c r="Q676" s="11">
        <f>IF(AND(L676&lt;&gt;"",L676&gt;0,P676&lt;&gt;""),P676/L676,"")</f>
        <v/>
      </c>
      <c r="R676" s="16">
        <f>IF(AND(P676&lt;&gt;"",P676&gt;0),(I676+J676+K676)/P676,"")</f>
        <v/>
      </c>
    </row>
    <row r="677" ht="81" customHeight="1">
      <c r="A677" s="5" t="inlineStr">
        <is>
          <t>2026-03-20</t>
        </is>
      </c>
      <c r="B677" s="5" t="inlineStr">
        <is>
          <t>12周</t>
        </is>
      </c>
      <c r="C677" s="5" t="inlineStr">
        <is>
          <t>小红书</t>
        </is>
      </c>
      <c r="D677" s="5" t="n"/>
      <c r="E677" s="5" t="n"/>
      <c r="F677" s="5" t="inlineStr">
        <is>
          <t>https://www.xiaohongshu.com/discovery/item/69bd15f4000000002800afb4?xsec_token=CBxHSrsCRHJb0GK9cnDBNi6PQElKZXPjTdeZh0Jk_Xrn0=&amp;xsec_source=app_share&amp;type=video</t>
        </is>
      </c>
      <c r="G677" s="5" t="inlineStr">
        <is>
          <t>0002A1</t>
        </is>
      </c>
      <c r="H677" s="5" t="inlineStr">
        <is>
          <t>穿搭</t>
        </is>
      </c>
      <c r="I677" s="5" t="n"/>
      <c r="J677" s="5" t="n"/>
      <c r="K677" s="5" t="n">
        <v>110.5</v>
      </c>
      <c r="L677" s="5" t="n">
        <v>681</v>
      </c>
      <c r="M677" s="5" t="n">
        <v>28</v>
      </c>
      <c r="N677" s="5" t="n">
        <v>12</v>
      </c>
      <c r="O677" s="5" t="n">
        <v>9</v>
      </c>
      <c r="P677" s="8">
        <f>IF(AND(M677&lt;&gt;"",M677&gt;0),M677+N677+O677,"")</f>
        <v/>
      </c>
      <c r="Q677" s="11">
        <f>IF(AND(L677&lt;&gt;"",L677&gt;0,P677&lt;&gt;""),P677/L677,"")</f>
        <v/>
      </c>
      <c r="R677" s="16">
        <f>IF(AND(P677&lt;&gt;"",P677&gt;0),(I677+J677+K677)/P677,"")</f>
        <v/>
      </c>
    </row>
    <row r="678" ht="67.5" customHeight="1">
      <c r="A678" s="5" t="inlineStr">
        <is>
          <t>2026-03-21</t>
        </is>
      </c>
      <c r="B678" s="5" t="inlineStr">
        <is>
          <t>12周</t>
        </is>
      </c>
      <c r="C678" s="5" t="inlineStr">
        <is>
          <t>抖音</t>
        </is>
      </c>
      <c r="D678" s="5" t="n"/>
      <c r="E678" s="5" t="n"/>
      <c r="F678" s="5" t="inlineStr">
        <is>
          <t>https://www.douyin.com/user/MS4wLjABAAAAg-goVYSvnkcosdBOhzJQDmKqEueCSS4AIRxE4NXfR2I?from_tab_name=main&amp;modal_id=7616667539376668873</t>
        </is>
      </c>
      <c r="G678" s="5" t="inlineStr">
        <is>
          <t>1225</t>
        </is>
      </c>
      <c r="H678" s="5" t="inlineStr">
        <is>
          <t>学生</t>
        </is>
      </c>
      <c r="I678" s="5" t="n">
        <v>100</v>
      </c>
      <c r="J678" s="5" t="n"/>
      <c r="K678" s="5" t="n">
        <v>55.5</v>
      </c>
      <c r="L678" s="5" t="n">
        <v>12000</v>
      </c>
      <c r="M678" s="5" t="n">
        <v>988</v>
      </c>
      <c r="N678" s="5" t="n">
        <v>53</v>
      </c>
      <c r="O678" s="5" t="n">
        <v>13</v>
      </c>
      <c r="P678" s="8">
        <f>IF(AND(M678&lt;&gt;"",M678&gt;0),M678+N678+O678,"")</f>
        <v/>
      </c>
      <c r="Q678" s="11">
        <f>IF(AND(L678&lt;&gt;"",L678&gt;0,P678&lt;&gt;""),P678/L678,"")</f>
        <v/>
      </c>
      <c r="R678" s="16">
        <f>IF(AND(P678&lt;&gt;"",P678&gt;0),(I678+J678+K678)/P678,"")</f>
        <v/>
      </c>
    </row>
    <row r="679" ht="27" customHeight="1">
      <c r="A679" s="5" t="inlineStr">
        <is>
          <t>2026-03-21</t>
        </is>
      </c>
      <c r="B679" s="5" t="inlineStr">
        <is>
          <t>12周</t>
        </is>
      </c>
      <c r="C679" s="5" t="inlineStr">
        <is>
          <t>抖音</t>
        </is>
      </c>
      <c r="D679" s="5" t="n"/>
      <c r="E679" s="5" t="n"/>
      <c r="F679" s="5" t="inlineStr">
        <is>
          <t>https://v.douyin.com/7MkixTRNmIY/</t>
        </is>
      </c>
      <c r="G679" s="5" t="inlineStr">
        <is>
          <t>1217W</t>
        </is>
      </c>
      <c r="H679" s="5" t="inlineStr">
        <is>
          <t>学生</t>
        </is>
      </c>
      <c r="I679" s="5" t="n"/>
      <c r="J679" s="5" t="n"/>
      <c r="K679" s="5" t="n">
        <v>54</v>
      </c>
      <c r="L679" s="5" t="n">
        <v>2654</v>
      </c>
      <c r="M679" s="5" t="n">
        <v>242</v>
      </c>
      <c r="N679" s="5" t="n">
        <v>16</v>
      </c>
      <c r="O679" s="5" t="n">
        <v>10</v>
      </c>
      <c r="P679" s="8">
        <f>IF(AND(M679&lt;&gt;"",M679&gt;0),M679+N679+O679,"")</f>
        <v/>
      </c>
      <c r="Q679" s="11">
        <f>IF(AND(L679&lt;&gt;"",L679&gt;0,P679&lt;&gt;""),P679/L679,"")</f>
        <v/>
      </c>
      <c r="R679" s="16">
        <f>IF(AND(P679&lt;&gt;"",P679&gt;0),(I679+J679+K679)/P679,"")</f>
        <v/>
      </c>
    </row>
    <row r="680" ht="81" customHeight="1">
      <c r="A680" s="5" t="inlineStr">
        <is>
          <t>2026-03-21</t>
        </is>
      </c>
      <c r="B680" s="5" t="inlineStr">
        <is>
          <t>12周</t>
        </is>
      </c>
      <c r="C680" s="5" t="inlineStr">
        <is>
          <t>抖音</t>
        </is>
      </c>
      <c r="D680" s="5" t="n"/>
      <c r="E680" s="5" t="n"/>
      <c r="F680" s="5" t="inlineStr">
        <is>
          <t>https://www.douyin.com/user/MS4wLjABAAAAh-Y741CITNb9kDPTwET63pjGV5G1FIHs4P1eL8d2KlKni6CjoBI6IeapdNqNVxzh?from_tab_name=main&amp;modal_id=7619678917033978105</t>
        </is>
      </c>
      <c r="G680" s="5" t="inlineStr">
        <is>
          <t>1217W</t>
        </is>
      </c>
      <c r="H680" s="5" t="inlineStr">
        <is>
          <t>学生</t>
        </is>
      </c>
      <c r="I680" s="5" t="n"/>
      <c r="J680" s="5" t="n"/>
      <c r="K680" s="5" t="n">
        <v>54</v>
      </c>
      <c r="L680" s="5" t="n">
        <v>6233</v>
      </c>
      <c r="M680" s="5" t="n">
        <v>689</v>
      </c>
      <c r="N680" s="5" t="n">
        <v>7</v>
      </c>
      <c r="O680" s="5" t="n">
        <v>19</v>
      </c>
      <c r="P680" s="8">
        <f>IF(AND(M680&lt;&gt;"",M680&gt;0),M680+N680+O680,"")</f>
        <v/>
      </c>
      <c r="Q680" s="11">
        <f>IF(AND(L680&lt;&gt;"",L680&gt;0,P680&lt;&gt;""),P680/L680,"")</f>
        <v/>
      </c>
      <c r="R680" s="16">
        <f>IF(AND(P680&lt;&gt;"",P680&gt;0),(I680+J680+K680)/P680,"")</f>
        <v/>
      </c>
    </row>
    <row r="681" ht="67.5" customHeight="1">
      <c r="A681" s="5" t="inlineStr">
        <is>
          <t>2026-03-21</t>
        </is>
      </c>
      <c r="B681" s="5" t="inlineStr">
        <is>
          <t>12周</t>
        </is>
      </c>
      <c r="C681" s="5" t="inlineStr">
        <is>
          <t>抖音</t>
        </is>
      </c>
      <c r="D681" s="5" t="n"/>
      <c r="E681" s="5" t="n"/>
      <c r="F681" s="5" t="inlineStr">
        <is>
          <t>https://www.douyin.com/user/MS4wLjABAAAATgrB89uGvLLw_pj3EdslwHGPSZfB2FmDWiXIvp9DdnXtlgqDDYHiqI3Crv_rWu1S?modal_id=7619659867023758457</t>
        </is>
      </c>
      <c r="G681" s="5" t="inlineStr">
        <is>
          <t>0002A1</t>
        </is>
      </c>
      <c r="H681" s="5" t="inlineStr">
        <is>
          <t>穆祉丞</t>
        </is>
      </c>
      <c r="I681" s="5" t="n"/>
      <c r="J681" s="5" t="n"/>
      <c r="K681" s="5" t="n">
        <v>110.5</v>
      </c>
      <c r="L681" s="5" t="n">
        <v>8498</v>
      </c>
      <c r="M681" s="5" t="n">
        <v>835</v>
      </c>
      <c r="N681" s="5" t="n">
        <v>13</v>
      </c>
      <c r="O681" s="5" t="n">
        <v>25</v>
      </c>
      <c r="P681" s="8">
        <f>IF(AND(M681&lt;&gt;"",M681&gt;0),M681+N681+O681,"")</f>
        <v/>
      </c>
      <c r="Q681" s="11">
        <f>IF(AND(L681&lt;&gt;"",L681&gt;0,P681&lt;&gt;""),P681/L681,"")</f>
        <v/>
      </c>
      <c r="R681" s="16">
        <f>IF(AND(P681&lt;&gt;"",P681&gt;0),(I681+J681+K681)/P681,"")</f>
        <v/>
      </c>
    </row>
    <row r="682" ht="81" customHeight="1">
      <c r="A682" s="5" t="inlineStr">
        <is>
          <t>2026-03-21</t>
        </is>
      </c>
      <c r="B682" s="5" t="inlineStr">
        <is>
          <t>12周</t>
        </is>
      </c>
      <c r="C682" s="5" t="inlineStr">
        <is>
          <t>小红书</t>
        </is>
      </c>
      <c r="D682" s="5" t="n"/>
      <c r="E682" s="5" t="n"/>
      <c r="F682" s="5" t="inlineStr">
        <is>
          <t>https://www.xiaohongshu.com/discovery/item/69be453d000000001d01d8b8?xsec_token=CB2ZqMZh730zVR8JqeoZSebbFjoGw_XdjfuEiuw-DZL88=&amp;xsec_source=app_share&amp;type=video</t>
        </is>
      </c>
      <c r="G682" s="5" t="inlineStr">
        <is>
          <t>1217W</t>
        </is>
      </c>
      <c r="H682" s="5" t="inlineStr">
        <is>
          <t>好物分享</t>
        </is>
      </c>
      <c r="I682" s="5" t="n">
        <v>300</v>
      </c>
      <c r="J682" s="5" t="n"/>
      <c r="K682" s="5" t="n">
        <v>54</v>
      </c>
      <c r="L682" s="5" t="n">
        <v>3077</v>
      </c>
      <c r="M682" s="5" t="n">
        <v>119</v>
      </c>
      <c r="N682" s="5" t="n">
        <v>17</v>
      </c>
      <c r="O682" s="5" t="n">
        <v>10</v>
      </c>
      <c r="P682" s="8">
        <f>IF(AND(M682&lt;&gt;"",M682&gt;0),M682+N682+O682,"")</f>
        <v/>
      </c>
      <c r="Q682" s="11">
        <f>IF(AND(L682&lt;&gt;"",L682&gt;0,P682&lt;&gt;""),P682/L682,"")</f>
        <v/>
      </c>
      <c r="R682" s="16">
        <f>IF(AND(P682&lt;&gt;"",P682&gt;0),(I682+J682+K682)/P682,"")</f>
        <v/>
      </c>
    </row>
    <row r="683" ht="27" customHeight="1">
      <c r="A683" s="5" t="inlineStr">
        <is>
          <t>2026-03-22</t>
        </is>
      </c>
      <c r="B683" s="5" t="inlineStr">
        <is>
          <t>12周</t>
        </is>
      </c>
      <c r="C683" s="5" t="inlineStr">
        <is>
          <t>抖音</t>
        </is>
      </c>
      <c r="D683" s="5" t="n"/>
      <c r="E683" s="5" t="n"/>
      <c r="F683" s="5" t="inlineStr">
        <is>
          <t>https://v.douyin.com/7PNT8CTa4ZY/</t>
        </is>
      </c>
      <c r="G683" s="5" t="inlineStr">
        <is>
          <t>495</t>
        </is>
      </c>
      <c r="H683" s="5" t="inlineStr">
        <is>
          <t>穿搭</t>
        </is>
      </c>
      <c r="I683" s="5" t="n"/>
      <c r="J683" s="5" t="n"/>
      <c r="K683" s="5" t="n">
        <v>93</v>
      </c>
      <c r="L683" s="5" t="n">
        <v>3611</v>
      </c>
      <c r="M683" s="5" t="n">
        <v>228</v>
      </c>
      <c r="N683" s="5" t="n">
        <v>14</v>
      </c>
      <c r="O683" s="5" t="n">
        <v>5</v>
      </c>
      <c r="P683" s="8">
        <f>IF(AND(M683&lt;&gt;"",M683&gt;0),M683+N683+O683,"")</f>
        <v/>
      </c>
      <c r="Q683" s="11">
        <f>IF(AND(L683&lt;&gt;"",L683&gt;0,P683&lt;&gt;""),P683/L683,"")</f>
        <v/>
      </c>
      <c r="R683" s="16">
        <f>IF(AND(P683&lt;&gt;"",P683&gt;0),(I683+J683+K683)/P683,"")</f>
        <v/>
      </c>
    </row>
    <row r="684" ht="27" customHeight="1">
      <c r="A684" s="5" t="inlineStr">
        <is>
          <t>2026-03-22</t>
        </is>
      </c>
      <c r="B684" s="5" t="inlineStr">
        <is>
          <t>12周</t>
        </is>
      </c>
      <c r="C684" s="5" t="inlineStr">
        <is>
          <t>抖音</t>
        </is>
      </c>
      <c r="D684" s="5" t="n"/>
      <c r="E684" s="5" t="n"/>
      <c r="F684" s="5" t="inlineStr">
        <is>
          <t>https://v.douyin.com/CqK78nsUd6I/</t>
        </is>
      </c>
      <c r="G684" s="5" t="inlineStr">
        <is>
          <t>0001A1</t>
        </is>
      </c>
      <c r="H684" s="5" t="inlineStr">
        <is>
          <t>穿搭</t>
        </is>
      </c>
      <c r="I684" s="5" t="n">
        <v>200</v>
      </c>
      <c r="J684" s="5" t="n"/>
      <c r="K684" s="5" t="n">
        <v>107.5</v>
      </c>
      <c r="L684" s="5" t="n">
        <v>15000</v>
      </c>
      <c r="M684" s="5" t="n">
        <v>1467</v>
      </c>
      <c r="N684" s="5" t="n">
        <v>43</v>
      </c>
      <c r="O684" s="5" t="n">
        <v>19</v>
      </c>
      <c r="P684" s="8">
        <f>IF(AND(M684&lt;&gt;"",M684&gt;0),M684+N684+O684,"")</f>
        <v/>
      </c>
      <c r="Q684" s="11">
        <f>IF(AND(L684&lt;&gt;"",L684&gt;0,P684&lt;&gt;""),P684/L684,"")</f>
        <v/>
      </c>
      <c r="R684" s="16">
        <f>IF(AND(P684&lt;&gt;"",P684&gt;0),(I684+J684+K684)/P684,"")</f>
        <v/>
      </c>
    </row>
    <row r="685" ht="27" customHeight="1">
      <c r="A685" s="5" t="inlineStr">
        <is>
          <t>2026-03-22</t>
        </is>
      </c>
      <c r="B685" s="5" t="inlineStr">
        <is>
          <t>12周</t>
        </is>
      </c>
      <c r="C685" s="5" t="inlineStr">
        <is>
          <t>抖音</t>
        </is>
      </c>
      <c r="D685" s="5" t="n"/>
      <c r="E685" s="5" t="n"/>
      <c r="F685" s="5" t="inlineStr">
        <is>
          <t>https://v.douyin.com/qfxweEkD_rg/</t>
        </is>
      </c>
      <c r="G685" s="5" t="inlineStr">
        <is>
          <t>0001A1</t>
        </is>
      </c>
      <c r="H685" s="5" t="inlineStr">
        <is>
          <t>穿搭</t>
        </is>
      </c>
      <c r="I685" s="5" t="n">
        <v>80</v>
      </c>
      <c r="J685" s="5" t="n"/>
      <c r="K685" s="5" t="n">
        <v>107.5</v>
      </c>
      <c r="L685" s="5" t="n">
        <v>6364</v>
      </c>
      <c r="M685" s="5" t="n">
        <v>627</v>
      </c>
      <c r="N685" s="5" t="n">
        <v>10</v>
      </c>
      <c r="O685" s="5" t="n">
        <v>36</v>
      </c>
      <c r="P685" s="8">
        <f>IF(AND(M685&lt;&gt;"",M685&gt;0),M685+N685+O685,"")</f>
        <v/>
      </c>
      <c r="Q685" s="11">
        <f>IF(AND(L685&lt;&gt;"",L685&gt;0,P685&lt;&gt;""),P685/L685,"")</f>
        <v/>
      </c>
      <c r="R685" s="16">
        <f>IF(AND(P685&lt;&gt;"",P685&gt;0),(I685+J685+K685)/P685,"")</f>
        <v/>
      </c>
    </row>
    <row r="686" ht="27" customHeight="1">
      <c r="A686" s="5" t="inlineStr">
        <is>
          <t>2026-03-22</t>
        </is>
      </c>
      <c r="B686" s="5" t="inlineStr">
        <is>
          <t>12周</t>
        </is>
      </c>
      <c r="C686" s="5" t="inlineStr">
        <is>
          <t>抖音</t>
        </is>
      </c>
      <c r="D686" s="5" t="n"/>
      <c r="E686" s="5" t="n"/>
      <c r="F686" s="5" t="inlineStr">
        <is>
          <t>https://v.douyin.com/BgjmhsjltCI/</t>
        </is>
      </c>
      <c r="G686" s="5" t="inlineStr">
        <is>
          <t>495</t>
        </is>
      </c>
      <c r="H686" s="5" t="inlineStr">
        <is>
          <t>穿搭</t>
        </is>
      </c>
      <c r="I686" s="5" t="n">
        <v>100</v>
      </c>
      <c r="J686" s="5" t="n"/>
      <c r="K686" s="5" t="n">
        <v>93</v>
      </c>
      <c r="L686" s="5" t="n">
        <v>7956</v>
      </c>
      <c r="M686" s="5" t="n">
        <v>617</v>
      </c>
      <c r="N686" s="5" t="n">
        <v>161</v>
      </c>
      <c r="O686" s="5" t="n">
        <v>31</v>
      </c>
      <c r="P686" s="8">
        <f>IF(AND(M686&lt;&gt;"",M686&gt;0),M686+N686+O686,"")</f>
        <v/>
      </c>
      <c r="Q686" s="11">
        <f>IF(AND(L686&lt;&gt;"",L686&gt;0,P686&lt;&gt;""),P686/L686,"")</f>
        <v/>
      </c>
      <c r="R686" s="16">
        <f>IF(AND(P686&lt;&gt;"",P686&gt;0),(I686+J686+K686)/P686,"")</f>
        <v/>
      </c>
    </row>
    <row r="687" ht="81" customHeight="1">
      <c r="A687" s="5" t="inlineStr">
        <is>
          <t>2026-03-22</t>
        </is>
      </c>
      <c r="B687" s="5" t="inlineStr">
        <is>
          <t>12周</t>
        </is>
      </c>
      <c r="C687" s="5" t="inlineStr">
        <is>
          <t>小红书</t>
        </is>
      </c>
      <c r="D687" s="5" t="n"/>
      <c r="E687" s="5" t="n"/>
      <c r="F687" s="5" t="inlineStr">
        <is>
          <t>https://www.xiaohongshu.com/discovery/item/69bfcc4b000000001e00fc7b?xsec_token=CBbWEcOGxPYuRYsYX9ec1Edg8V90CEnS3VdiTmTZyKxqc=&amp;xsec_source=app_share&amp;type=video</t>
        </is>
      </c>
      <c r="G687" s="5" t="inlineStr">
        <is>
          <t>0002A1</t>
        </is>
      </c>
      <c r="H687" s="5" t="inlineStr">
        <is>
          <t>合集</t>
        </is>
      </c>
      <c r="I687" s="5" t="n">
        <v>300</v>
      </c>
      <c r="J687" s="5" t="n"/>
      <c r="K687" s="5" t="n">
        <v>110.5</v>
      </c>
      <c r="L687" s="5" t="n">
        <v>56156</v>
      </c>
      <c r="M687" s="5" t="n">
        <v>3959</v>
      </c>
      <c r="N687" s="5" t="n">
        <v>1201</v>
      </c>
      <c r="O687" s="5" t="n">
        <v>57</v>
      </c>
      <c r="P687" s="8">
        <f>IF(AND(M687&lt;&gt;"",M687&gt;0),M687+N687+O687,"")</f>
        <v/>
      </c>
      <c r="Q687" s="11">
        <f>IF(AND(L687&lt;&gt;"",L687&gt;0,P687&lt;&gt;""),P687/L687,"")</f>
        <v/>
      </c>
      <c r="R687" s="16">
        <f>IF(AND(P687&lt;&gt;"",P687&gt;0),(I687+J687+K687)/P687,"")</f>
        <v/>
      </c>
    </row>
    <row r="688" ht="27" customHeight="1">
      <c r="A688" s="5" t="inlineStr">
        <is>
          <t>2026-03-23</t>
        </is>
      </c>
      <c r="B688" s="5" t="inlineStr">
        <is>
          <t>13周</t>
        </is>
      </c>
      <c r="C688" s="5" t="inlineStr">
        <is>
          <t>抖音</t>
        </is>
      </c>
      <c r="D688" s="5" t="n"/>
      <c r="E688" s="5" t="n"/>
      <c r="F688" s="5" t="inlineStr">
        <is>
          <t>https://v.douyin.com/53VtG6jLRKI/</t>
        </is>
      </c>
      <c r="G688" s="5" t="inlineStr">
        <is>
          <t>1225</t>
        </is>
      </c>
      <c r="H688" s="5" t="inlineStr">
        <is>
          <t>学生</t>
        </is>
      </c>
      <c r="I688" s="5" t="n">
        <v>100</v>
      </c>
      <c r="J688" s="5" t="n"/>
      <c r="K688" s="5" t="n">
        <v>55.5</v>
      </c>
      <c r="L688" s="5" t="n">
        <v>11000</v>
      </c>
      <c r="M688" s="5" t="n">
        <v>1535</v>
      </c>
      <c r="N688" s="5" t="n">
        <v>141</v>
      </c>
      <c r="O688" s="5" t="n">
        <v>29</v>
      </c>
      <c r="P688" s="8">
        <f>IF(AND(M688&lt;&gt;"",M688&gt;0),M688+N688+O688,"")</f>
        <v/>
      </c>
      <c r="Q688" s="11">
        <f>IF(AND(L688&lt;&gt;"",L688&gt;0,P688&lt;&gt;""),P688/L688,"")</f>
        <v/>
      </c>
      <c r="R688" s="16">
        <f>IF(AND(P688&lt;&gt;"",P688&gt;0),(I688+J688+K688)/P688,"")</f>
        <v/>
      </c>
    </row>
    <row r="689" ht="27" customHeight="1">
      <c r="A689" s="5" t="inlineStr">
        <is>
          <t>2026-03-23</t>
        </is>
      </c>
      <c r="B689" s="5" t="inlineStr">
        <is>
          <t>13周</t>
        </is>
      </c>
      <c r="C689" s="5" t="inlineStr">
        <is>
          <t>抖音</t>
        </is>
      </c>
      <c r="D689" s="5" t="n"/>
      <c r="E689" s="5" t="n"/>
      <c r="F689" s="5" t="inlineStr">
        <is>
          <t>https://v.douyin.com/rla5gMngG90/</t>
        </is>
      </c>
      <c r="G689" s="5" t="inlineStr">
        <is>
          <t>495</t>
        </is>
      </c>
      <c r="H689" s="5" t="inlineStr">
        <is>
          <t>穿搭</t>
        </is>
      </c>
      <c r="I689" s="5" t="n"/>
      <c r="J689" s="5" t="n"/>
      <c r="K689" s="5" t="n">
        <v>93</v>
      </c>
      <c r="L689" s="5" t="n">
        <v>2495</v>
      </c>
      <c r="M689" s="5" t="n">
        <v>389</v>
      </c>
      <c r="N689" s="5" t="n">
        <v>41</v>
      </c>
      <c r="O689" s="5" t="n">
        <v>4</v>
      </c>
      <c r="P689" s="8">
        <f>IF(AND(M689&lt;&gt;"",M689&gt;0),M689+N689+O689,"")</f>
        <v/>
      </c>
      <c r="Q689" s="11">
        <f>IF(AND(L689&lt;&gt;"",L689&gt;0,P689&lt;&gt;""),P689/L689,"")</f>
        <v/>
      </c>
      <c r="R689" s="16">
        <f>IF(AND(P689&lt;&gt;"",P689&gt;0),(I689+J689+K689)/P689,"")</f>
        <v/>
      </c>
    </row>
    <row r="690" ht="27" customHeight="1">
      <c r="A690" s="5" t="inlineStr">
        <is>
          <t>2026-03-23</t>
        </is>
      </c>
      <c r="B690" s="5" t="inlineStr">
        <is>
          <t>13周</t>
        </is>
      </c>
      <c r="C690" s="5" t="inlineStr">
        <is>
          <t>抖音</t>
        </is>
      </c>
      <c r="D690" s="5" t="n"/>
      <c r="E690" s="5" t="n"/>
      <c r="F690" s="5" t="inlineStr">
        <is>
          <t>https://v.douyin.com/UcomPJmmJU0/</t>
        </is>
      </c>
      <c r="G690" s="5" t="inlineStr">
        <is>
          <t>0002A1</t>
        </is>
      </c>
      <c r="H690" s="5" t="inlineStr">
        <is>
          <t>穿搭</t>
        </is>
      </c>
      <c r="I690" s="5" t="n"/>
      <c r="J690" s="5" t="n"/>
      <c r="K690" s="5" t="n">
        <v>110.5</v>
      </c>
      <c r="L690" s="5" t="n">
        <v>2545</v>
      </c>
      <c r="M690" s="5" t="n">
        <v>159</v>
      </c>
      <c r="N690" s="5" t="n">
        <v>16</v>
      </c>
      <c r="O690" s="5" t="n">
        <v>7</v>
      </c>
      <c r="P690" s="8">
        <f>IF(AND(M690&lt;&gt;"",M690&gt;0),M690+N690+O690,"")</f>
        <v/>
      </c>
      <c r="Q690" s="11">
        <f>IF(AND(L690&lt;&gt;"",L690&gt;0,P690&lt;&gt;""),P690/L690,"")</f>
        <v/>
      </c>
      <c r="R690" s="16">
        <f>IF(AND(P690&lt;&gt;"",P690&gt;0),(I690+J690+K690)/P690,"")</f>
        <v/>
      </c>
    </row>
    <row r="691" ht="67.5" customHeight="1">
      <c r="A691" s="5" t="inlineStr">
        <is>
          <t>2026-03-23</t>
        </is>
      </c>
      <c r="B691" s="5" t="inlineStr">
        <is>
          <t>13周</t>
        </is>
      </c>
      <c r="C691" s="5" t="inlineStr">
        <is>
          <t>小红书</t>
        </is>
      </c>
      <c r="D691" s="5" t="n"/>
      <c r="E691" s="5" t="n"/>
      <c r="F691" s="5" t="inlineStr">
        <is>
          <t>https://www.xiaohongshu.com/discovery/item/69c0c429000000002800b365?xsec_token=CBgfI5NuWKEO3doe2jP9fK6JpTHCHIEEwTOJXjU26dqts=&amp;xsec_source=app_share</t>
        </is>
      </c>
      <c r="G691" s="5" t="inlineStr">
        <is>
          <t>495</t>
        </is>
      </c>
      <c r="H691" s="5" t="inlineStr">
        <is>
          <t>穿搭</t>
        </is>
      </c>
      <c r="I691" s="5" t="n">
        <v>70</v>
      </c>
      <c r="J691" s="5" t="n"/>
      <c r="K691" s="5" t="n">
        <v>93</v>
      </c>
      <c r="L691" s="5" t="n">
        <v>394</v>
      </c>
      <c r="M691" s="5" t="n">
        <v>90</v>
      </c>
      <c r="N691" s="5" t="n">
        <v>16</v>
      </c>
      <c r="O691" s="5" t="n">
        <v>3</v>
      </c>
      <c r="P691" s="8">
        <f>IF(AND(M691&lt;&gt;"",M691&gt;0),M691+N691+O691,"")</f>
        <v/>
      </c>
      <c r="Q691" s="11">
        <f>IF(AND(L691&lt;&gt;"",L691&gt;0,P691&lt;&gt;""),P691/L691,"")</f>
        <v/>
      </c>
      <c r="R691" s="16">
        <f>IF(AND(P691&lt;&gt;"",P691&gt;0),(I691+J691+K691)/P691,"")</f>
        <v/>
      </c>
    </row>
    <row r="692" ht="81" customHeight="1">
      <c r="A692" s="5" t="inlineStr">
        <is>
          <t>2026-03-23</t>
        </is>
      </c>
      <c r="B692" s="5" t="inlineStr">
        <is>
          <t>13周</t>
        </is>
      </c>
      <c r="C692" s="5" t="inlineStr">
        <is>
          <t>小红书</t>
        </is>
      </c>
      <c r="D692" s="5" t="n"/>
      <c r="E692" s="5" t="n"/>
      <c r="F692" s="5" t="inlineStr">
        <is>
          <t>https://www.xiaohongshu.com/discovery/item/69c104a2000000002301322a?xsec_token=CBYvlo5YmtG9Xtlcx312nWL4jevnlts_kMlKNXeCIFADU=&amp;xsec_source=app_share&amp;type=video</t>
        </is>
      </c>
      <c r="G692" s="5" t="inlineStr">
        <is>
          <t>495</t>
        </is>
      </c>
      <c r="H692" s="5" t="inlineStr">
        <is>
          <t>口播</t>
        </is>
      </c>
      <c r="I692" s="5" t="n">
        <v>100</v>
      </c>
      <c r="J692" s="5" t="n"/>
      <c r="K692" s="5" t="n">
        <v>93</v>
      </c>
      <c r="L692" s="5" t="n">
        <v>2251</v>
      </c>
      <c r="M692" s="5" t="n">
        <v>117</v>
      </c>
      <c r="N692" s="5" t="n">
        <v>70</v>
      </c>
      <c r="O692" s="5" t="n">
        <v>14</v>
      </c>
      <c r="P692" s="8">
        <f>IF(AND(M692&lt;&gt;"",M692&gt;0),M692+N692+O692,"")</f>
        <v/>
      </c>
      <c r="Q692" s="11">
        <f>IF(AND(L692&lt;&gt;"",L692&gt;0,P692&lt;&gt;""),P692/L692,"")</f>
        <v/>
      </c>
      <c r="R692" s="16">
        <f>IF(AND(P692&lt;&gt;"",P692&gt;0),(I692+J692+K692)/P692,"")</f>
        <v/>
      </c>
    </row>
    <row r="693" ht="81" customHeight="1">
      <c r="A693" s="5" t="inlineStr">
        <is>
          <t>2026-03-23</t>
        </is>
      </c>
      <c r="B693" s="5" t="inlineStr">
        <is>
          <t>13周</t>
        </is>
      </c>
      <c r="C693" s="5" t="inlineStr">
        <is>
          <t>小红书</t>
        </is>
      </c>
      <c r="D693" s="5" t="n"/>
      <c r="E693" s="5" t="n"/>
      <c r="F693" s="5" t="inlineStr">
        <is>
          <t>https://www.xiaohongshu.com/discovery/item/69c14a30000000001b002216?xsec_token=CBYvlo5YmtG9Xtlcx312nWL7bOTSitxkpIwAk-EI2wGas=&amp;xsec_source=app_share&amp;type=video</t>
        </is>
      </c>
      <c r="G693" s="5" t="inlineStr">
        <is>
          <t>0002A1</t>
        </is>
      </c>
      <c r="H693" s="5" t="inlineStr">
        <is>
          <t>穿搭</t>
        </is>
      </c>
      <c r="I693" s="5" t="n"/>
      <c r="J693" s="5" t="n"/>
      <c r="K693" s="5" t="n">
        <v>110.5</v>
      </c>
      <c r="L693" s="5" t="n">
        <v>1688</v>
      </c>
      <c r="M693" s="5" t="n">
        <v>135</v>
      </c>
      <c r="N693" s="5" t="n">
        <v>19</v>
      </c>
      <c r="O693" s="5" t="n">
        <v>4</v>
      </c>
      <c r="P693" s="8">
        <f>IF(AND(M693&lt;&gt;"",M693&gt;0),M693+N693+O693,"")</f>
        <v/>
      </c>
      <c r="Q693" s="11">
        <f>IF(AND(L693&lt;&gt;"",L693&gt;0,P693&lt;&gt;""),P693/L693,"")</f>
        <v/>
      </c>
      <c r="R693" s="16">
        <f>IF(AND(P693&lt;&gt;"",P693&gt;0),(I693+J693+K693)/P693,"")</f>
        <v/>
      </c>
    </row>
    <row r="694" ht="67.5" customHeight="1">
      <c r="A694" s="5" t="inlineStr">
        <is>
          <t>2026-03-23</t>
        </is>
      </c>
      <c r="B694" s="5" t="inlineStr">
        <is>
          <t>13周</t>
        </is>
      </c>
      <c r="C694" s="5" t="inlineStr">
        <is>
          <t>小红书</t>
        </is>
      </c>
      <c r="D694" s="5" t="n"/>
      <c r="E694" s="5" t="n"/>
      <c r="F694" s="5" t="inlineStr">
        <is>
          <t>https://www.xiaohongshu.com/discovery/item/69c14a56000000001f007687?xsec_token=CBYvlo5YmtG9Xtlcx312nWL8QK3DN6ipVGeJEZ0ZPTMtE=&amp;xsec_source=app_share</t>
        </is>
      </c>
      <c r="G694" s="5" t="inlineStr">
        <is>
          <t>0002A1</t>
        </is>
      </c>
      <c r="H694" s="5" t="inlineStr">
        <is>
          <t>穿搭</t>
        </is>
      </c>
      <c r="I694" s="5" t="n">
        <v>100</v>
      </c>
      <c r="J694" s="5" t="n"/>
      <c r="K694" s="5" t="n">
        <v>110.5</v>
      </c>
      <c r="L694" s="5" t="n">
        <v>1274</v>
      </c>
      <c r="M694" s="5" t="n">
        <v>398</v>
      </c>
      <c r="N694" s="5" t="n">
        <v>197</v>
      </c>
      <c r="O694" s="5" t="n">
        <v>13</v>
      </c>
      <c r="P694" s="8">
        <f>IF(AND(M694&lt;&gt;"",M694&gt;0),M694+N694+O694,"")</f>
        <v/>
      </c>
      <c r="Q694" s="11">
        <f>IF(AND(L694&lt;&gt;"",L694&gt;0,P694&lt;&gt;""),P694/L694,"")</f>
        <v/>
      </c>
      <c r="R694" s="16">
        <f>IF(AND(P694&lt;&gt;"",P694&gt;0),(I694+J694+K694)/P694,"")</f>
        <v/>
      </c>
    </row>
    <row r="695" ht="27" customHeight="1">
      <c r="A695" s="5" t="inlineStr">
        <is>
          <t>2026-03-24</t>
        </is>
      </c>
      <c r="B695" s="5" t="inlineStr">
        <is>
          <t>13周</t>
        </is>
      </c>
      <c r="C695" s="5" t="inlineStr">
        <is>
          <t>抖音</t>
        </is>
      </c>
      <c r="D695" s="5" t="n"/>
      <c r="E695" s="5" t="n"/>
      <c r="F695" s="5" t="inlineStr">
        <is>
          <t>https://v.douyin.com/ykDiveaE6kY/</t>
        </is>
      </c>
      <c r="G695" s="5" t="inlineStr">
        <is>
          <t>495</t>
        </is>
      </c>
      <c r="H695" s="5" t="inlineStr">
        <is>
          <t>穿搭</t>
        </is>
      </c>
      <c r="I695" s="5" t="n">
        <v>180</v>
      </c>
      <c r="J695" s="5" t="n"/>
      <c r="K695" s="5" t="n">
        <v>93</v>
      </c>
      <c r="L695" s="5" t="n">
        <v>13000</v>
      </c>
      <c r="M695" s="5" t="n">
        <v>1379</v>
      </c>
      <c r="N695" s="5" t="n">
        <v>27</v>
      </c>
      <c r="O695" s="5" t="n">
        <v>14</v>
      </c>
      <c r="P695" s="8">
        <f>IF(AND(M695&lt;&gt;"",M695&gt;0),M695+N695+O695,"")</f>
        <v/>
      </c>
      <c r="Q695" s="11">
        <f>IF(AND(L695&lt;&gt;"",L695&gt;0,P695&lt;&gt;""),P695/L695,"")</f>
        <v/>
      </c>
      <c r="R695" s="16">
        <f>IF(AND(P695&lt;&gt;"",P695&gt;0),(I695+J695+K695)/P695,"")</f>
        <v/>
      </c>
    </row>
    <row r="696" ht="27" customHeight="1">
      <c r="A696" s="5" t="inlineStr">
        <is>
          <t>2026-03-24</t>
        </is>
      </c>
      <c r="B696" s="5" t="inlineStr">
        <is>
          <t>13周</t>
        </is>
      </c>
      <c r="C696" s="5" t="inlineStr">
        <is>
          <t>抖音</t>
        </is>
      </c>
      <c r="D696" s="5" t="n"/>
      <c r="E696" s="5" t="n"/>
      <c r="F696" s="5" t="inlineStr">
        <is>
          <t>https://v.douyin.com/RlU_XHUTCdE/</t>
        </is>
      </c>
      <c r="G696" s="5" t="inlineStr">
        <is>
          <t>495</t>
        </is>
      </c>
      <c r="H696" s="5" t="inlineStr">
        <is>
          <t>口播</t>
        </is>
      </c>
      <c r="I696" s="5" t="n">
        <v>180</v>
      </c>
      <c r="J696" s="5" t="n"/>
      <c r="K696" s="5" t="n">
        <v>93</v>
      </c>
      <c r="L696" s="5" t="n">
        <v>2818</v>
      </c>
      <c r="M696" s="5" t="n">
        <v>144</v>
      </c>
      <c r="N696" s="5" t="n">
        <v>17</v>
      </c>
      <c r="O696" s="5" t="n">
        <v>31</v>
      </c>
      <c r="P696" s="8">
        <f>IF(AND(M696&lt;&gt;"",M696&gt;0),M696+N696+O696,"")</f>
        <v/>
      </c>
      <c r="Q696" s="11">
        <f>IF(AND(L696&lt;&gt;"",L696&gt;0,P696&lt;&gt;""),P696/L696,"")</f>
        <v/>
      </c>
      <c r="R696" s="16">
        <f>IF(AND(P696&lt;&gt;"",P696&gt;0),(I696+J696+K696)/P696,"")</f>
        <v/>
      </c>
    </row>
    <row r="697" ht="27" customHeight="1">
      <c r="A697" s="5" t="inlineStr">
        <is>
          <t>2026-03-24</t>
        </is>
      </c>
      <c r="B697" s="5" t="inlineStr">
        <is>
          <t>13周</t>
        </is>
      </c>
      <c r="C697" s="5" t="inlineStr">
        <is>
          <t>抖音</t>
        </is>
      </c>
      <c r="D697" s="5" t="n"/>
      <c r="E697" s="5" t="n"/>
      <c r="F697" s="5" t="inlineStr">
        <is>
          <t>https://v.douyin.com/mbFij85RZaI/</t>
        </is>
      </c>
      <c r="G697" s="5" t="inlineStr">
        <is>
          <t>0002A1</t>
        </is>
      </c>
      <c r="H697" s="5" t="inlineStr">
        <is>
          <t>穿搭</t>
        </is>
      </c>
      <c r="I697" s="5" t="n">
        <v>120</v>
      </c>
      <c r="J697" s="5" t="n"/>
      <c r="K697" s="5" t="n">
        <v>110.5</v>
      </c>
      <c r="L697" s="5" t="n">
        <v>11000</v>
      </c>
      <c r="M697" s="5" t="n">
        <v>1911</v>
      </c>
      <c r="N697" s="5" t="n">
        <v>98</v>
      </c>
      <c r="O697" s="5" t="n">
        <v>53</v>
      </c>
      <c r="P697" s="8">
        <f>IF(AND(M697&lt;&gt;"",M697&gt;0),M697+N697+O697,"")</f>
        <v/>
      </c>
      <c r="Q697" s="11">
        <f>IF(AND(L697&lt;&gt;"",L697&gt;0,P697&lt;&gt;""),P697/L697,"")</f>
        <v/>
      </c>
      <c r="R697" s="16">
        <f>IF(AND(P697&lt;&gt;"",P697&gt;0),(I697+J697+K697)/P697,"")</f>
        <v/>
      </c>
    </row>
    <row r="698" ht="27" customHeight="1">
      <c r="A698" s="5" t="inlineStr">
        <is>
          <t>2026-03-24</t>
        </is>
      </c>
      <c r="B698" s="5" t="inlineStr">
        <is>
          <t>13周</t>
        </is>
      </c>
      <c r="C698" s="5" t="inlineStr">
        <is>
          <t>抖音</t>
        </is>
      </c>
      <c r="D698" s="5" t="n"/>
      <c r="E698" s="5" t="n"/>
      <c r="F698" s="5" t="inlineStr">
        <is>
          <t>https://v.douyin.com/LdEIl8mM69Q/</t>
        </is>
      </c>
      <c r="G698" s="5" t="inlineStr">
        <is>
          <t>495</t>
        </is>
      </c>
      <c r="H698" s="5" t="inlineStr">
        <is>
          <t>合集</t>
        </is>
      </c>
      <c r="I698" s="5" t="n"/>
      <c r="J698" s="5" t="n"/>
      <c r="K698" s="5" t="n">
        <v>93</v>
      </c>
      <c r="L698" s="5" t="n">
        <v>21000</v>
      </c>
      <c r="M698" s="5" t="n">
        <v>240</v>
      </c>
      <c r="N698" s="5" t="n">
        <v>195</v>
      </c>
      <c r="O698" s="5" t="n">
        <v>48</v>
      </c>
      <c r="P698" s="8">
        <f>IF(AND(M698&lt;&gt;"",M698&gt;0),M698+N698+O698,"")</f>
        <v/>
      </c>
      <c r="Q698" s="11">
        <f>IF(AND(L698&lt;&gt;"",L698&gt;0,P698&lt;&gt;""),P698/L698,"")</f>
        <v/>
      </c>
      <c r="R698" s="16">
        <f>IF(AND(P698&lt;&gt;"",P698&gt;0),(I698+J698+K698)/P698,"")</f>
        <v/>
      </c>
    </row>
    <row r="699" ht="67.5" customHeight="1">
      <c r="A699" s="5" t="inlineStr">
        <is>
          <t>2026-03-24</t>
        </is>
      </c>
      <c r="B699" s="5" t="inlineStr">
        <is>
          <t>13周</t>
        </is>
      </c>
      <c r="C699" s="5" t="inlineStr">
        <is>
          <t>小红书</t>
        </is>
      </c>
      <c r="D699" s="5" t="n"/>
      <c r="E699" s="5" t="n"/>
      <c r="F699" s="5" t="inlineStr">
        <is>
          <t>https://www.xiaohongshu.com/discovery/item/69c23739000000002102c836?xsec_token=CBTV48MJB5X6xzCbjr1RPiPsugsYbH6iHlcTeue7pU2FA=&amp;xsec_source=app_share</t>
        </is>
      </c>
      <c r="G699" s="5" t="inlineStr">
        <is>
          <t>495</t>
        </is>
      </c>
      <c r="H699" s="5" t="inlineStr">
        <is>
          <t>穿搭</t>
        </is>
      </c>
      <c r="I699" s="5" t="n"/>
      <c r="J699" s="5" t="n"/>
      <c r="K699" s="5" t="n">
        <v>93</v>
      </c>
      <c r="L699" s="5" t="n">
        <v>1243</v>
      </c>
      <c r="M699" s="5" t="n">
        <v>60</v>
      </c>
      <c r="N699" s="5" t="n">
        <v>13</v>
      </c>
      <c r="O699" s="5" t="n">
        <v>9</v>
      </c>
      <c r="P699" s="8">
        <f>IF(AND(M699&lt;&gt;"",M699&gt;0),M699+N699+O699,"")</f>
        <v/>
      </c>
      <c r="Q699" s="11">
        <f>IF(AND(L699&lt;&gt;"",L699&gt;0,P699&lt;&gt;""),P699/L699,"")</f>
        <v/>
      </c>
      <c r="R699" s="16">
        <f>IF(AND(P699&lt;&gt;"",P699&gt;0),(I699+J699+K699)/P699,"")</f>
        <v/>
      </c>
    </row>
    <row r="700" ht="27" customHeight="1">
      <c r="A700" s="5" t="inlineStr">
        <is>
          <t>2026-03-25</t>
        </is>
      </c>
      <c r="B700" s="5" t="inlineStr">
        <is>
          <t>13周</t>
        </is>
      </c>
      <c r="C700" s="5" t="inlineStr">
        <is>
          <t>抖音</t>
        </is>
      </c>
      <c r="D700" s="5" t="n"/>
      <c r="E700" s="5" t="n"/>
      <c r="F700" s="5" t="inlineStr">
        <is>
          <t>https://v.douyin.com/vkzva3IIkuU/</t>
        </is>
      </c>
      <c r="G700" s="5" t="inlineStr">
        <is>
          <t>0001A1</t>
        </is>
      </c>
      <c r="H700" s="5" t="inlineStr">
        <is>
          <t>穿搭</t>
        </is>
      </c>
      <c r="I700" s="5" t="n"/>
      <c r="J700" s="5" t="n"/>
      <c r="K700" s="5" t="n">
        <v>107.5</v>
      </c>
      <c r="L700" s="5" t="n">
        <v>4210</v>
      </c>
      <c r="M700" s="5" t="n">
        <v>354</v>
      </c>
      <c r="N700" s="5" t="n">
        <v>9</v>
      </c>
      <c r="O700" s="5" t="n">
        <v>4</v>
      </c>
      <c r="P700" s="8">
        <f>IF(AND(M700&lt;&gt;"",M700&gt;0),M700+N700+O700,"")</f>
        <v/>
      </c>
      <c r="Q700" s="11">
        <f>IF(AND(L700&lt;&gt;"",L700&gt;0,P700&lt;&gt;""),P700/L700,"")</f>
        <v/>
      </c>
      <c r="R700" s="16">
        <f>IF(AND(P700&lt;&gt;"",P700&gt;0),(I700+J700+K700)/P700,"")</f>
        <v/>
      </c>
    </row>
    <row r="701" ht="27" customHeight="1">
      <c r="A701" s="5" t="inlineStr">
        <is>
          <t>2026-03-25</t>
        </is>
      </c>
      <c r="B701" s="5" t="inlineStr">
        <is>
          <t>13周</t>
        </is>
      </c>
      <c r="C701" s="5" t="inlineStr">
        <is>
          <t>抖音</t>
        </is>
      </c>
      <c r="D701" s="5" t="n"/>
      <c r="E701" s="5" t="n"/>
      <c r="F701" s="5" t="inlineStr">
        <is>
          <t>https://v.douyin.com/zq3E6O5UvKk/</t>
        </is>
      </c>
      <c r="G701" s="5" t="inlineStr">
        <is>
          <t>495</t>
        </is>
      </c>
      <c r="H701" s="5" t="inlineStr">
        <is>
          <t>穿搭</t>
        </is>
      </c>
      <c r="I701" s="5" t="n"/>
      <c r="J701" s="5" t="n"/>
      <c r="K701" s="5" t="n">
        <v>93</v>
      </c>
      <c r="L701" s="5" t="n">
        <v>3536</v>
      </c>
      <c r="M701" s="5" t="n">
        <v>217</v>
      </c>
      <c r="N701" s="5" t="n">
        <v>18</v>
      </c>
      <c r="O701" s="5" t="n">
        <v>11</v>
      </c>
      <c r="P701" s="8">
        <f>IF(AND(M701&lt;&gt;"",M701&gt;0),M701+N701+O701,"")</f>
        <v/>
      </c>
      <c r="Q701" s="11">
        <f>IF(AND(L701&lt;&gt;"",L701&gt;0,P701&lt;&gt;""),P701/L701,"")</f>
        <v/>
      </c>
      <c r="R701" s="16">
        <f>IF(AND(P701&lt;&gt;"",P701&gt;0),(I701+J701+K701)/P701,"")</f>
        <v/>
      </c>
    </row>
    <row r="702" ht="81" customHeight="1">
      <c r="A702" s="5" t="inlineStr">
        <is>
          <t>2026-03-25</t>
        </is>
      </c>
      <c r="B702" s="5" t="inlineStr">
        <is>
          <t>13周</t>
        </is>
      </c>
      <c r="C702" s="5" t="inlineStr">
        <is>
          <t>小红书</t>
        </is>
      </c>
      <c r="D702" s="5" t="n"/>
      <c r="E702" s="5" t="n"/>
      <c r="F702" s="5" t="inlineStr">
        <is>
          <t>https://www.xiaohongshu.com/discovery/item/69c3ca2c000000001a0230a6?xsec_token=CBwhwsZyQJQfHww3g8dVg4eVgcI55bqb5N7KCNOOHQ2Hk=&amp;xsec_source=app_share&amp;type=video</t>
        </is>
      </c>
      <c r="G702" s="5" t="inlineStr">
        <is>
          <t>0001A1</t>
        </is>
      </c>
      <c r="H702" s="5" t="inlineStr">
        <is>
          <t>穿搭</t>
        </is>
      </c>
      <c r="I702" s="5" t="n"/>
      <c r="J702" s="5" t="n"/>
      <c r="K702" s="5" t="n">
        <v>107.5</v>
      </c>
      <c r="L702" s="5" t="n">
        <v>357</v>
      </c>
      <c r="M702" s="5" t="n">
        <v>25</v>
      </c>
      <c r="N702" s="5" t="n">
        <v>1</v>
      </c>
      <c r="O702" s="5" t="n">
        <v>2</v>
      </c>
      <c r="P702" s="8">
        <f>IF(AND(M702&lt;&gt;"",M702&gt;0),M702+N702+O702,"")</f>
        <v/>
      </c>
      <c r="Q702" s="11">
        <f>IF(AND(L702&lt;&gt;"",L702&gt;0,P702&lt;&gt;""),P702/L702,"")</f>
        <v/>
      </c>
      <c r="R702" s="16">
        <f>IF(AND(P702&lt;&gt;"",P702&gt;0),(I702+J702+K702)/P702,"")</f>
        <v/>
      </c>
    </row>
    <row r="703" ht="27" customHeight="1">
      <c r="A703" s="5" t="inlineStr">
        <is>
          <t>2026-03-26</t>
        </is>
      </c>
      <c r="B703" s="5" t="inlineStr">
        <is>
          <t>13周</t>
        </is>
      </c>
      <c r="C703" s="5" t="inlineStr">
        <is>
          <t>抖音</t>
        </is>
      </c>
      <c r="D703" s="5" t="n"/>
      <c r="E703" s="5" t="n"/>
      <c r="F703" s="5" t="inlineStr">
        <is>
          <t>https://v.douyin.com/aaTKKXyq7Tg/</t>
        </is>
      </c>
      <c r="G703" s="5" t="inlineStr">
        <is>
          <t>0002A1</t>
        </is>
      </c>
      <c r="H703" s="5" t="inlineStr">
        <is>
          <t>穿搭</t>
        </is>
      </c>
      <c r="I703" s="5" t="n"/>
      <c r="J703" s="5" t="n"/>
      <c r="K703" s="5" t="n">
        <v>110.5</v>
      </c>
      <c r="L703" s="5" t="n">
        <v>2153</v>
      </c>
      <c r="M703" s="5" t="n">
        <v>42</v>
      </c>
      <c r="N703" s="5" t="n">
        <v>2</v>
      </c>
      <c r="O703" s="5" t="n">
        <v>1</v>
      </c>
      <c r="P703" s="8">
        <f>IF(AND(M703&lt;&gt;"",M703&gt;0),M703+N703+O703,"")</f>
        <v/>
      </c>
      <c r="Q703" s="11">
        <f>IF(AND(L703&lt;&gt;"",L703&gt;0,P703&lt;&gt;""),P703/L703,"")</f>
        <v/>
      </c>
      <c r="R703" s="16">
        <f>IF(AND(P703&lt;&gt;"",P703&gt;0),(I703+J703+K703)/P703,"")</f>
        <v/>
      </c>
    </row>
    <row r="704" ht="81" customHeight="1">
      <c r="A704" s="5" t="inlineStr">
        <is>
          <t>2026-03-26</t>
        </is>
      </c>
      <c r="B704" s="5" t="inlineStr">
        <is>
          <t>13周</t>
        </is>
      </c>
      <c r="C704" s="5" t="inlineStr">
        <is>
          <t>小红书</t>
        </is>
      </c>
      <c r="D704" s="5" t="n"/>
      <c r="E704" s="5" t="n"/>
      <c r="F704" s="5" t="inlineStr">
        <is>
          <t>https://www.xiaohongshu.com/discovery/item/69c40e67000000002202a9d1?xsec_token=CBhKUX12WBpsskf8eJa6NO56DIq56r-ljOnTdlENYvKJE=&amp;xsec_source=app_share&amp;type=video</t>
        </is>
      </c>
      <c r="G704" s="5" t="inlineStr">
        <is>
          <t>495</t>
        </is>
      </c>
      <c r="H704" s="5" t="inlineStr">
        <is>
          <t>口播</t>
        </is>
      </c>
      <c r="I704" s="5" t="n"/>
      <c r="J704" s="5" t="n"/>
      <c r="K704" s="5" t="n">
        <v>93</v>
      </c>
      <c r="L704" s="5" t="n">
        <v>1322</v>
      </c>
      <c r="M704" s="5" t="n">
        <v>145</v>
      </c>
      <c r="N704" s="5" t="n">
        <v>96</v>
      </c>
      <c r="O704" s="5" t="n">
        <v>20</v>
      </c>
      <c r="P704" s="8">
        <f>IF(AND(M704&lt;&gt;"",M704&gt;0),M704+N704+O704,"")</f>
        <v/>
      </c>
      <c r="Q704" s="11">
        <f>IF(AND(L704&lt;&gt;"",L704&gt;0,P704&lt;&gt;""),P704/L704,"")</f>
        <v/>
      </c>
      <c r="R704" s="16">
        <f>IF(AND(P704&lt;&gt;"",P704&gt;0),(I704+J704+K704)/P704,"")</f>
        <v/>
      </c>
    </row>
    <row r="705" ht="81" customHeight="1">
      <c r="A705" s="5" t="inlineStr">
        <is>
          <t>2026-03-26</t>
        </is>
      </c>
      <c r="B705" s="5" t="inlineStr">
        <is>
          <t>13周</t>
        </is>
      </c>
      <c r="C705" s="5" t="inlineStr">
        <is>
          <t>小红书</t>
        </is>
      </c>
      <c r="D705" s="5" t="n"/>
      <c r="E705" s="5" t="n"/>
      <c r="F705" s="5" t="inlineStr">
        <is>
          <t>https://www.xiaohongshu.com/discovery/item/69c5122d000000001a02fe6e?xsec_token=CBcZy3boHxxhvQR467cnzmIE7BN04ZQ_vn5CONQ1OPSFY=&amp;xsec_source=app_share&amp;type=video</t>
        </is>
      </c>
      <c r="G705" s="5" t="inlineStr">
        <is>
          <t>0002A1</t>
        </is>
      </c>
      <c r="H705" s="5" t="inlineStr">
        <is>
          <t>穿搭</t>
        </is>
      </c>
      <c r="I705" s="5" t="n"/>
      <c r="J705" s="5" t="n"/>
      <c r="K705" s="5" t="n">
        <v>110.5</v>
      </c>
      <c r="L705" s="5" t="n">
        <v>424</v>
      </c>
      <c r="M705" s="5" t="n">
        <v>77</v>
      </c>
      <c r="N705" s="5" t="n">
        <v>15</v>
      </c>
      <c r="O705" s="5" t="n">
        <v>5</v>
      </c>
      <c r="P705" s="8">
        <f>IF(AND(M705&lt;&gt;"",M705&gt;0),M705+N705+O705,"")</f>
        <v/>
      </c>
      <c r="Q705" s="11">
        <f>IF(AND(L705&lt;&gt;"",L705&gt;0,P705&lt;&gt;""),P705/L705,"")</f>
        <v/>
      </c>
      <c r="R705" s="16">
        <f>IF(AND(P705&lt;&gt;"",P705&gt;0),(I705+J705+K705)/P705,"")</f>
        <v/>
      </c>
    </row>
    <row r="706" ht="81" customHeight="1">
      <c r="A706" s="5" t="inlineStr">
        <is>
          <t>2026-03-26</t>
        </is>
      </c>
      <c r="B706" s="5" t="inlineStr">
        <is>
          <t>13周</t>
        </is>
      </c>
      <c r="C706" s="5" t="inlineStr">
        <is>
          <t>小红书</t>
        </is>
      </c>
      <c r="D706" s="5" t="n"/>
      <c r="E706" s="5" t="n"/>
      <c r="F706" s="5" t="inlineStr">
        <is>
          <t>https://www.xiaohongshu.com/discovery/item/69c54f6f000000002200e14d?xsec_token=CBcZy3boHxxhvQR467cnzmIArorts_FYQxDXhGtLvjShQ=&amp;xsec_source=app_share&amp;type=video</t>
        </is>
      </c>
      <c r="G706" s="5" t="inlineStr">
        <is>
          <t>0001A1</t>
        </is>
      </c>
      <c r="H706" s="5" t="inlineStr">
        <is>
          <t>口播</t>
        </is>
      </c>
      <c r="I706" s="5" t="n"/>
      <c r="J706" s="5" t="n"/>
      <c r="K706" s="5" t="n">
        <v>107.5</v>
      </c>
      <c r="L706" s="5" t="n">
        <v>1716</v>
      </c>
      <c r="M706" s="5" t="n">
        <v>96</v>
      </c>
      <c r="N706" s="5" t="n">
        <v>28</v>
      </c>
      <c r="O706" s="5" t="n">
        <v>10</v>
      </c>
      <c r="P706" s="8">
        <f>IF(AND(M706&lt;&gt;"",M706&gt;0),M706+N706+O706,"")</f>
        <v/>
      </c>
      <c r="Q706" s="11">
        <f>IF(AND(L706&lt;&gt;"",L706&gt;0,P706&lt;&gt;""),P706/L706,"")</f>
        <v/>
      </c>
      <c r="R706" s="16">
        <f>IF(AND(P706&lt;&gt;"",P706&gt;0),(I706+J706+K706)/P706,"")</f>
        <v/>
      </c>
    </row>
    <row r="707" ht="27" customHeight="1">
      <c r="A707" s="5" t="inlineStr">
        <is>
          <t>2026-03-27</t>
        </is>
      </c>
      <c r="B707" s="5" t="inlineStr">
        <is>
          <t>13周</t>
        </is>
      </c>
      <c r="C707" s="5" t="inlineStr">
        <is>
          <t>抖音</t>
        </is>
      </c>
      <c r="D707" s="5" t="n"/>
      <c r="E707" s="5" t="n"/>
      <c r="F707" s="5" t="inlineStr">
        <is>
          <t>https://v.douyin.com/_gHB1eW0D7Y/</t>
        </is>
      </c>
      <c r="G707" s="5" t="inlineStr">
        <is>
          <t>495</t>
        </is>
      </c>
      <c r="H707" s="5" t="inlineStr">
        <is>
          <t>穿搭</t>
        </is>
      </c>
      <c r="I707" s="5" t="n">
        <v>250</v>
      </c>
      <c r="J707" s="5" t="n"/>
      <c r="K707" s="5" t="n">
        <v>93</v>
      </c>
      <c r="L707" s="5" t="n">
        <v>25000</v>
      </c>
      <c r="M707" s="5" t="n">
        <v>686</v>
      </c>
      <c r="N707" s="5" t="n">
        <v>69</v>
      </c>
      <c r="O707" s="5" t="n">
        <v>21</v>
      </c>
      <c r="P707" s="8">
        <f>IF(AND(M707&lt;&gt;"",M707&gt;0),M707+N707+O707,"")</f>
        <v/>
      </c>
      <c r="Q707" s="11">
        <f>IF(AND(L707&lt;&gt;"",L707&gt;0,P707&lt;&gt;""),P707/L707,"")</f>
        <v/>
      </c>
      <c r="R707" s="16">
        <f>IF(AND(P707&lt;&gt;"",P707&gt;0),(I707+J707+K707)/P707,"")</f>
        <v/>
      </c>
    </row>
    <row r="708" ht="27" customHeight="1">
      <c r="A708" s="5" t="inlineStr">
        <is>
          <t>2026-03-27</t>
        </is>
      </c>
      <c r="B708" s="5" t="inlineStr">
        <is>
          <t>13周</t>
        </is>
      </c>
      <c r="C708" s="5" t="inlineStr">
        <is>
          <t>抖音</t>
        </is>
      </c>
      <c r="D708" s="5" t="n"/>
      <c r="E708" s="5" t="n"/>
      <c r="F708" s="5" t="inlineStr">
        <is>
          <t>https://v.douyin.com/nFRLFYvfvY8/</t>
        </is>
      </c>
      <c r="G708" s="5" t="inlineStr">
        <is>
          <t>495</t>
        </is>
      </c>
      <c r="H708" s="5" t="inlineStr">
        <is>
          <t>穿搭</t>
        </is>
      </c>
      <c r="I708" s="5" t="n"/>
      <c r="J708" s="5" t="n"/>
      <c r="K708" s="5" t="n">
        <v>93</v>
      </c>
      <c r="L708" s="5" t="n">
        <v>6881</v>
      </c>
      <c r="M708" s="5" t="n">
        <v>854</v>
      </c>
      <c r="N708" s="5" t="n">
        <v>110</v>
      </c>
      <c r="O708" s="5" t="n">
        <v>19</v>
      </c>
      <c r="P708" s="8">
        <f>IF(AND(M708&lt;&gt;"",M708&gt;0),M708+N708+O708,"")</f>
        <v/>
      </c>
      <c r="Q708" s="11">
        <f>IF(AND(L708&lt;&gt;"",L708&gt;0,P708&lt;&gt;""),P708/L708,"")</f>
        <v/>
      </c>
      <c r="R708" s="16">
        <f>IF(AND(P708&lt;&gt;"",P708&gt;0),(I708+J708+K708)/P708,"")</f>
        <v/>
      </c>
    </row>
    <row r="709" ht="67.5" customHeight="1">
      <c r="A709" s="5" t="inlineStr">
        <is>
          <t>2026-03-27</t>
        </is>
      </c>
      <c r="B709" s="5" t="inlineStr">
        <is>
          <t>13周</t>
        </is>
      </c>
      <c r="C709" s="5" t="inlineStr">
        <is>
          <t>抖音</t>
        </is>
      </c>
      <c r="D709" s="5" t="n"/>
      <c r="E709" s="5" t="n"/>
      <c r="F709" s="5" t="inlineStr">
        <is>
          <t>https://www.douyin.com/user/MS4wLjABAAAA66kYZTlUZchcKj_jhtsVdKNyufsmIUEY56CnT7hyNys?from_tab_name=main&amp;modal_id=7621136347537754225</t>
        </is>
      </c>
      <c r="G709" s="5" t="inlineStr">
        <is>
          <t>0002A1</t>
        </is>
      </c>
      <c r="H709" s="5" t="inlineStr">
        <is>
          <t>穆祉丞</t>
        </is>
      </c>
      <c r="I709" s="5" t="n"/>
      <c r="J709" s="5" t="n"/>
      <c r="K709" s="5" t="n">
        <v>110.5</v>
      </c>
      <c r="L709" s="5" t="n">
        <v>598</v>
      </c>
      <c r="M709" s="5" t="n">
        <v>80</v>
      </c>
      <c r="N709" s="5" t="n">
        <v>1</v>
      </c>
      <c r="O709" s="5" t="n">
        <v>0</v>
      </c>
      <c r="P709" s="8">
        <f>IF(AND(M709&lt;&gt;"",M709&gt;0),M709+N709+O709,"")</f>
        <v/>
      </c>
      <c r="Q709" s="11">
        <f>IF(AND(L709&lt;&gt;"",L709&gt;0,P709&lt;&gt;""),P709/L709,"")</f>
        <v/>
      </c>
      <c r="R709" s="16">
        <f>IF(AND(P709&lt;&gt;"",P709&gt;0),(I709+J709+K709)/P709,"")</f>
        <v/>
      </c>
    </row>
    <row r="710" ht="54" customHeight="1">
      <c r="A710" s="5" t="inlineStr">
        <is>
          <t>2026-03-27</t>
        </is>
      </c>
      <c r="B710" s="5" t="inlineStr">
        <is>
          <t>13周</t>
        </is>
      </c>
      <c r="C710" s="5" t="inlineStr">
        <is>
          <t>抖音</t>
        </is>
      </c>
      <c r="D710" s="5" t="n"/>
      <c r="E710" s="5" t="n"/>
      <c r="F710" s="5" t="inlineStr">
        <is>
          <t>https://www.douyin.com/user/MS4wLjABAAAAudPTxkfthFJlTBC7nDcKpICe5oJOTq_3k4aqPIbNFRU?modal_id=7622624021384860133</t>
        </is>
      </c>
      <c r="G710" s="5" t="inlineStr">
        <is>
          <t>0001A1</t>
        </is>
      </c>
      <c r="H710" s="5" t="inlineStr">
        <is>
          <t>穿搭</t>
        </is>
      </c>
      <c r="I710" s="5" t="n">
        <v>100</v>
      </c>
      <c r="J710" s="5" t="n"/>
      <c r="K710" s="5" t="n">
        <v>107.5</v>
      </c>
      <c r="L710" s="5" t="n">
        <v>3268</v>
      </c>
      <c r="M710" s="5" t="n">
        <v>264</v>
      </c>
      <c r="N710" s="5" t="n">
        <v>12</v>
      </c>
      <c r="O710" s="5" t="n">
        <v>8</v>
      </c>
      <c r="P710" s="8">
        <f>IF(AND(M710&lt;&gt;"",M710&gt;0),M710+N710+O710,"")</f>
        <v/>
      </c>
      <c r="Q710" s="11">
        <f>IF(AND(L710&lt;&gt;"",L710&gt;0,P710&lt;&gt;""),P710/L710,"")</f>
        <v/>
      </c>
      <c r="R710" s="16">
        <f>IF(AND(P710&lt;&gt;"",P710&gt;0),(I710+J710+K710)/P710,"")</f>
        <v/>
      </c>
    </row>
    <row r="711" ht="27" customHeight="1">
      <c r="A711" s="5" t="inlineStr">
        <is>
          <t>2026-03-28</t>
        </is>
      </c>
      <c r="B711" s="5" t="inlineStr">
        <is>
          <t>13周</t>
        </is>
      </c>
      <c r="C711" s="5" t="inlineStr">
        <is>
          <t>抖音</t>
        </is>
      </c>
      <c r="D711" s="5" t="n"/>
      <c r="E711" s="5" t="n"/>
      <c r="F711" s="5" t="inlineStr">
        <is>
          <t>https://v.douyin.com/QTDcUcbbGp0/</t>
        </is>
      </c>
      <c r="G711" s="5" t="inlineStr">
        <is>
          <t>495</t>
        </is>
      </c>
      <c r="H711" s="5" t="inlineStr">
        <is>
          <t>穿搭</t>
        </is>
      </c>
      <c r="I711" s="5" t="n"/>
      <c r="J711" s="5" t="n"/>
      <c r="K711" s="5" t="n">
        <v>93</v>
      </c>
      <c r="L711" s="5" t="n">
        <v>2000</v>
      </c>
      <c r="M711" s="5" t="n">
        <v>321</v>
      </c>
      <c r="N711" s="5" t="n">
        <v>7</v>
      </c>
      <c r="O711" s="5" t="n">
        <v>15</v>
      </c>
      <c r="P711" s="8">
        <f>IF(AND(M711&lt;&gt;"",M711&gt;0),M711+N711+O711,"")</f>
        <v/>
      </c>
      <c r="Q711" s="11">
        <f>IF(AND(L711&lt;&gt;"",L711&gt;0,P711&lt;&gt;""),P711/L711,"")</f>
        <v/>
      </c>
      <c r="R711" s="16">
        <f>IF(AND(P711&lt;&gt;"",P711&gt;0),(I711+J711+K711)/P711,"")</f>
        <v/>
      </c>
    </row>
    <row r="712" ht="27" customHeight="1">
      <c r="A712" s="5" t="inlineStr">
        <is>
          <t>2026-03-28</t>
        </is>
      </c>
      <c r="B712" s="5" t="inlineStr">
        <is>
          <t>13周</t>
        </is>
      </c>
      <c r="C712" s="5" t="inlineStr">
        <is>
          <t>抖音</t>
        </is>
      </c>
      <c r="D712" s="5" t="n"/>
      <c r="E712" s="5" t="n"/>
      <c r="F712" s="5" t="inlineStr">
        <is>
          <t>https://v.douyin.com/bUWqWs5nWKc/</t>
        </is>
      </c>
      <c r="G712" s="5" t="inlineStr">
        <is>
          <t>1172W</t>
        </is>
      </c>
      <c r="H712" s="5" t="inlineStr">
        <is>
          <t>学生</t>
        </is>
      </c>
      <c r="I712" s="5" t="n"/>
      <c r="J712" s="5" t="n"/>
      <c r="K712" s="5" t="n">
        <v>57.5</v>
      </c>
      <c r="L712" s="5" t="n">
        <v>2629</v>
      </c>
      <c r="M712" s="5" t="n">
        <v>484</v>
      </c>
      <c r="N712" s="5" t="n">
        <v>81</v>
      </c>
      <c r="O712" s="5" t="n">
        <v>7</v>
      </c>
      <c r="P712" s="8">
        <f>IF(AND(M712&lt;&gt;"",M712&gt;0),M712+N712+O712,"")</f>
        <v/>
      </c>
      <c r="Q712" s="11">
        <f>IF(AND(L712&lt;&gt;"",L712&gt;0,P712&lt;&gt;""),P712/L712,"")</f>
        <v/>
      </c>
      <c r="R712" s="16">
        <f>IF(AND(P712&lt;&gt;"",P712&gt;0),(I712+J712+K712)/P712,"")</f>
        <v/>
      </c>
    </row>
    <row r="713" ht="27" customHeight="1">
      <c r="A713" s="5" t="inlineStr">
        <is>
          <t>2026-03-28</t>
        </is>
      </c>
      <c r="B713" s="5" t="inlineStr">
        <is>
          <t>13周</t>
        </is>
      </c>
      <c r="C713" s="5" t="inlineStr">
        <is>
          <t>抖音</t>
        </is>
      </c>
      <c r="D713" s="5" t="n"/>
      <c r="E713" s="5" t="n"/>
      <c r="F713" s="5" t="inlineStr">
        <is>
          <t>https://v.douyin.com/kZgq43dMVVc/</t>
        </is>
      </c>
      <c r="G713" s="5" t="inlineStr">
        <is>
          <t>495</t>
        </is>
      </c>
      <c r="H713" s="5" t="inlineStr">
        <is>
          <t>穿搭</t>
        </is>
      </c>
      <c r="I713" s="5" t="n">
        <v>50</v>
      </c>
      <c r="J713" s="5" t="n"/>
      <c r="K713" s="5" t="n">
        <v>93</v>
      </c>
      <c r="L713" s="5" t="n">
        <v>2684</v>
      </c>
      <c r="M713" s="5" t="n">
        <v>134</v>
      </c>
      <c r="N713" s="5" t="n">
        <v>11</v>
      </c>
      <c r="O713" s="5" t="n">
        <v>8</v>
      </c>
      <c r="P713" s="8">
        <f>IF(AND(M713&lt;&gt;"",M713&gt;0),M713+N713+O713,"")</f>
        <v/>
      </c>
      <c r="Q713" s="11">
        <f>IF(AND(L713&lt;&gt;"",L713&gt;0,P713&lt;&gt;""),P713/L713,"")</f>
        <v/>
      </c>
      <c r="R713" s="16">
        <f>IF(AND(P713&lt;&gt;"",P713&gt;0),(I713+J713+K713)/P713,"")</f>
        <v/>
      </c>
    </row>
    <row r="714" ht="81" customHeight="1">
      <c r="A714" s="5" t="inlineStr">
        <is>
          <t>2026-03-28</t>
        </is>
      </c>
      <c r="B714" s="5" t="inlineStr">
        <is>
          <t>13周</t>
        </is>
      </c>
      <c r="C714" s="5" t="inlineStr">
        <is>
          <t>小红书</t>
        </is>
      </c>
      <c r="D714" s="5" t="n"/>
      <c r="E714" s="5" t="n"/>
      <c r="F714" s="5" t="inlineStr">
        <is>
          <t>https://www.xiaohongshu.com/discovery/item/69c79f990000000023004aa0?xsec_token=CBDANy7cSsqNKOj2bd2W-CMsrSZ2cyQJyRfdzjJRGOvbA=&amp;xsec_source=app_share&amp;type=video</t>
        </is>
      </c>
      <c r="G714" s="5" t="inlineStr">
        <is>
          <t>495</t>
        </is>
      </c>
      <c r="H714" s="5" t="inlineStr">
        <is>
          <t>口播</t>
        </is>
      </c>
      <c r="I714" s="5" t="n"/>
      <c r="J714" s="5" t="n"/>
      <c r="K714" s="5" t="n">
        <v>93</v>
      </c>
      <c r="L714" s="5" t="n">
        <v>2101</v>
      </c>
      <c r="M714" s="5" t="n">
        <v>293</v>
      </c>
      <c r="N714" s="5" t="n">
        <v>115</v>
      </c>
      <c r="O714" s="5" t="n">
        <v>135</v>
      </c>
      <c r="P714" s="8">
        <f>IF(AND(M714&lt;&gt;"",M714&gt;0),M714+N714+O714,"")</f>
        <v/>
      </c>
      <c r="Q714" s="11">
        <f>IF(AND(L714&lt;&gt;"",L714&gt;0,P714&lt;&gt;""),P714/L714,"")</f>
        <v/>
      </c>
      <c r="R714" s="16">
        <f>IF(AND(P714&lt;&gt;"",P714&gt;0),(I714+J714+K714)/P714,"")</f>
        <v/>
      </c>
    </row>
    <row r="715" ht="27" customHeight="1">
      <c r="A715" s="5" t="inlineStr">
        <is>
          <t>2026-03-29</t>
        </is>
      </c>
      <c r="B715" s="5" t="inlineStr">
        <is>
          <t>13周</t>
        </is>
      </c>
      <c r="C715" s="5" t="inlineStr">
        <is>
          <t>抖音</t>
        </is>
      </c>
      <c r="D715" s="5" t="n"/>
      <c r="E715" s="5" t="n"/>
      <c r="F715" s="5" t="inlineStr">
        <is>
          <t>https://v.douyin.com/Tq61zSbSgyM/</t>
        </is>
      </c>
      <c r="G715" s="5" t="inlineStr">
        <is>
          <t>495</t>
        </is>
      </c>
      <c r="H715" s="5" t="inlineStr">
        <is>
          <t>穿搭</t>
        </is>
      </c>
      <c r="I715" s="5" t="n"/>
      <c r="J715" s="5" t="n"/>
      <c r="K715" s="5" t="n">
        <v>93</v>
      </c>
      <c r="L715" s="5" t="n">
        <v>101000</v>
      </c>
      <c r="M715" s="5" t="n">
        <v>2895</v>
      </c>
      <c r="N715" s="5" t="n">
        <v>679</v>
      </c>
      <c r="O715" s="5" t="n">
        <v>44</v>
      </c>
      <c r="P715" s="8">
        <f>IF(AND(M715&lt;&gt;"",M715&gt;0),M715+N715+O715,"")</f>
        <v/>
      </c>
      <c r="Q715" s="11">
        <f>IF(AND(L715&lt;&gt;"",L715&gt;0,P715&lt;&gt;""),P715/L715,"")</f>
        <v/>
      </c>
      <c r="R715" s="16">
        <f>IF(AND(P715&lt;&gt;"",P715&gt;0),(I715+J715+K715)/P715,"")</f>
        <v/>
      </c>
    </row>
    <row r="716" ht="27" customHeight="1">
      <c r="A716" s="5" t="inlineStr">
        <is>
          <t>2026-03-29</t>
        </is>
      </c>
      <c r="B716" s="5" t="inlineStr">
        <is>
          <t>13周</t>
        </is>
      </c>
      <c r="C716" s="5" t="inlineStr">
        <is>
          <t>抖音</t>
        </is>
      </c>
      <c r="D716" s="5" t="n"/>
      <c r="E716" s="5" t="n"/>
      <c r="F716" s="5" t="inlineStr">
        <is>
          <t>https://v.douyin.com/Cm_Xknkv3bA/</t>
        </is>
      </c>
      <c r="G716" s="5" t="inlineStr">
        <is>
          <t>495</t>
        </is>
      </c>
      <c r="H716" s="5" t="inlineStr">
        <is>
          <t>穿搭</t>
        </is>
      </c>
      <c r="I716" s="5" t="n">
        <v>60</v>
      </c>
      <c r="J716" s="5" t="n"/>
      <c r="K716" s="5" t="n">
        <v>93</v>
      </c>
      <c r="L716" s="5" t="n">
        <v>6653</v>
      </c>
      <c r="M716" s="5" t="n">
        <v>255</v>
      </c>
      <c r="N716" s="5" t="n">
        <v>31</v>
      </c>
      <c r="O716" s="5" t="n">
        <v>23</v>
      </c>
      <c r="P716" s="8">
        <f>IF(AND(M716&lt;&gt;"",M716&gt;0),M716+N716+O716,"")</f>
        <v/>
      </c>
      <c r="Q716" s="11">
        <f>IF(AND(L716&lt;&gt;"",L716&gt;0,P716&lt;&gt;""),P716/L716,"")</f>
        <v/>
      </c>
      <c r="R716" s="16">
        <f>IF(AND(P716&lt;&gt;"",P716&gt;0),(I716+J716+K716)/P716,"")</f>
        <v/>
      </c>
    </row>
    <row r="717" ht="27" customHeight="1">
      <c r="A717" s="5" t="inlineStr">
        <is>
          <t>2026-03-30</t>
        </is>
      </c>
      <c r="B717" s="5" t="inlineStr">
        <is>
          <t>14周</t>
        </is>
      </c>
      <c r="C717" s="5" t="inlineStr">
        <is>
          <t>抖音</t>
        </is>
      </c>
      <c r="D717" s="5" t="n"/>
      <c r="E717" s="5" t="n"/>
      <c r="F717" s="5" t="inlineStr">
        <is>
          <t>https://v.douyin.com/ynR30bDOonQ/</t>
        </is>
      </c>
      <c r="G717" s="5" t="inlineStr">
        <is>
          <t>1217W</t>
        </is>
      </c>
      <c r="H717" s="5" t="inlineStr">
        <is>
          <t>口播</t>
        </is>
      </c>
      <c r="I717" s="5" t="n">
        <v>500</v>
      </c>
      <c r="J717" s="5" t="n"/>
      <c r="K717" s="5" t="n">
        <v>54</v>
      </c>
      <c r="L717" s="5" t="n">
        <v>12000</v>
      </c>
      <c r="M717" s="5" t="n">
        <v>321</v>
      </c>
      <c r="N717" s="5" t="n">
        <v>42</v>
      </c>
      <c r="O717" s="5" t="n">
        <v>88</v>
      </c>
      <c r="P717" s="8">
        <f>IF(AND(M717&lt;&gt;"",M717&gt;0),M717+N717+O717,"")</f>
        <v/>
      </c>
      <c r="Q717" s="11">
        <f>IF(AND(L717&lt;&gt;"",L717&gt;0,P717&lt;&gt;""),P717/L717,"")</f>
        <v/>
      </c>
      <c r="R717" s="16">
        <f>IF(AND(P717&lt;&gt;"",P717&gt;0),(I717+J717+K717)/P717,"")</f>
        <v/>
      </c>
    </row>
    <row r="718" ht="81" customHeight="1">
      <c r="A718" s="5" t="inlineStr">
        <is>
          <t>2026-03-30</t>
        </is>
      </c>
      <c r="B718" s="5" t="inlineStr">
        <is>
          <t>14周</t>
        </is>
      </c>
      <c r="C718" s="5" t="inlineStr">
        <is>
          <t>小红书</t>
        </is>
      </c>
      <c r="D718" s="5" t="n"/>
      <c r="E718" s="5" t="n"/>
      <c r="F718" s="5" t="inlineStr">
        <is>
          <t>https://www.xiaohongshu.com/discovery/item/69ca00fd0000000022001cc8?xsec_token=CBTGz0XbdEmGBwHbFLyqpnmED57NL76mkR4s0zWDQ3BbE=&amp;xsec_source=app_share&amp;type=video</t>
        </is>
      </c>
      <c r="G718" s="5" t="inlineStr">
        <is>
          <t>495</t>
        </is>
      </c>
      <c r="H718" s="5" t="inlineStr">
        <is>
          <t>口播</t>
        </is>
      </c>
      <c r="I718" s="5" t="n">
        <v>100</v>
      </c>
      <c r="J718" s="5" t="n"/>
      <c r="K718" s="5" t="n">
        <v>93</v>
      </c>
      <c r="L718" s="5" t="n">
        <v>2635</v>
      </c>
      <c r="M718" s="5" t="n">
        <v>174</v>
      </c>
      <c r="N718" s="5" t="n">
        <v>67</v>
      </c>
      <c r="O718" s="5" t="n">
        <v>8</v>
      </c>
      <c r="P718" s="8">
        <f>IF(AND(M718&lt;&gt;"",M718&gt;0),M718+N718+O718,"")</f>
        <v/>
      </c>
      <c r="Q718" s="11">
        <f>IF(AND(L718&lt;&gt;"",L718&gt;0,P718&lt;&gt;""),P718/L718,"")</f>
        <v/>
      </c>
      <c r="R718" s="16">
        <f>IF(AND(P718&lt;&gt;"",P718&gt;0),(I718+J718+K718)/P718,"")</f>
        <v/>
      </c>
    </row>
    <row r="719" ht="81" customHeight="1">
      <c r="A719" s="5" t="inlineStr">
        <is>
          <t>2026-03-30</t>
        </is>
      </c>
      <c r="B719" s="5" t="inlineStr">
        <is>
          <t>14周</t>
        </is>
      </c>
      <c r="C719" s="5" t="inlineStr">
        <is>
          <t>小红书</t>
        </is>
      </c>
      <c r="D719" s="5" t="n"/>
      <c r="E719" s="5" t="n"/>
      <c r="F719" s="5" t="inlineStr">
        <is>
          <t>https://www.xiaohongshu.com/discovery/item/69ca4c470000000023014994?xsec_token=CBSJ3Fd-by4c1dKj5kInpruI7tmZezLi_Ls2c6Kiv7IjI=&amp;xsec_source=app_share&amp;type=video</t>
        </is>
      </c>
      <c r="G719" s="5" t="inlineStr">
        <is>
          <t>1217W</t>
        </is>
      </c>
      <c r="H719" s="5" t="inlineStr">
        <is>
          <t>口播</t>
        </is>
      </c>
      <c r="I719" s="5" t="n"/>
      <c r="J719" s="5" t="n"/>
      <c r="K719" s="5" t="n">
        <v>54</v>
      </c>
      <c r="L719" s="5" t="n">
        <v>347</v>
      </c>
      <c r="M719" s="5" t="n">
        <v>13</v>
      </c>
      <c r="N719" s="5" t="n">
        <v>5</v>
      </c>
      <c r="O719" s="5" t="n">
        <v>6</v>
      </c>
      <c r="P719" s="8">
        <f>IF(AND(M719&lt;&gt;"",M719&gt;0),M719+N719+O719,"")</f>
        <v/>
      </c>
      <c r="Q719" s="11">
        <f>IF(AND(L719&lt;&gt;"",L719&gt;0,P719&lt;&gt;""),P719/L719,"")</f>
        <v/>
      </c>
      <c r="R719" s="16">
        <f>IF(AND(P719&lt;&gt;"",P719&gt;0),(I719+J719+K719)/P719,"")</f>
        <v/>
      </c>
    </row>
    <row r="720" ht="94.5" customHeight="1">
      <c r="A720" s="5" t="inlineStr">
        <is>
          <t>2026-03-30</t>
        </is>
      </c>
      <c r="B720" s="5" t="inlineStr">
        <is>
          <t>14周</t>
        </is>
      </c>
      <c r="C720" s="5" t="inlineStr">
        <is>
          <t>小红书</t>
        </is>
      </c>
      <c r="D720" s="5" t="n"/>
      <c r="E720" s="5" t="n"/>
      <c r="F720" s="5" t="inlineStr">
        <is>
          <t>https://www.xiaohongshu.com/discovery/item/69ca5bc00000000022002d03?xsec_token=CBSJ3Fd-by4c1dKj5kInpruLreBL7QJKknG875P1-faCc=&amp;xsec_source=app_share&amp;type=video</t>
        </is>
      </c>
      <c r="G720" s="5" t="inlineStr">
        <is>
          <t>0001A1</t>
        </is>
      </c>
      <c r="H720" s="5" t="inlineStr">
        <is>
          <t>合集</t>
        </is>
      </c>
      <c r="I720" s="5" t="n">
        <v>300</v>
      </c>
      <c r="J720" s="5" t="n"/>
      <c r="K720" s="5" t="n">
        <v>107.5</v>
      </c>
      <c r="L720" s="5" t="n">
        <v>2131</v>
      </c>
      <c r="M720" s="5" t="n">
        <v>115</v>
      </c>
      <c r="N720" s="5" t="n">
        <v>43</v>
      </c>
      <c r="O720" s="5" t="n">
        <v>17</v>
      </c>
      <c r="P720" s="8">
        <f>IF(AND(M720&lt;&gt;"",M720&gt;0),M720+N720+O720,"")</f>
        <v/>
      </c>
      <c r="Q720" s="11">
        <f>IF(AND(L720&lt;&gt;"",L720&gt;0,P720&lt;&gt;""),P720/L720,"")</f>
        <v/>
      </c>
      <c r="R720" s="16">
        <f>IF(AND(P720&lt;&gt;"",P720&gt;0),(I720+J720+K720)/P720,"")</f>
        <v/>
      </c>
    </row>
    <row r="721" ht="67.5" customHeight="1">
      <c r="A721" s="5" t="inlineStr">
        <is>
          <t>2026-03-30</t>
        </is>
      </c>
      <c r="B721" s="5" t="inlineStr">
        <is>
          <t>14周</t>
        </is>
      </c>
      <c r="C721" s="5" t="inlineStr">
        <is>
          <t>小红书</t>
        </is>
      </c>
      <c r="D721" s="5" t="n"/>
      <c r="E721" s="5" t="n"/>
      <c r="F721" s="5" t="inlineStr">
        <is>
          <t>https://www.xiaohongshu.com/discovery/item/69ca5e80000000001a0236f0?xsec_token=CBSJ3Fd-by4c1dKj5kInpruFwtHmM3quZNZZY91Kq0vRo=&amp;xsec_source=app_share</t>
        </is>
      </c>
      <c r="G721" s="5" t="inlineStr">
        <is>
          <t>495</t>
        </is>
      </c>
      <c r="H721" s="5" t="inlineStr">
        <is>
          <t>穿搭</t>
        </is>
      </c>
      <c r="I721" s="5" t="n"/>
      <c r="J721" s="5" t="n"/>
      <c r="K721" s="5" t="n">
        <v>93</v>
      </c>
      <c r="L721" s="5" t="n">
        <v>68</v>
      </c>
      <c r="M721" s="5" t="n">
        <v>5</v>
      </c>
      <c r="N721" s="5" t="n">
        <v>2</v>
      </c>
      <c r="O721" s="5" t="n">
        <v>0</v>
      </c>
      <c r="P721" s="8">
        <f>IF(AND(M721&lt;&gt;"",M721&gt;0),M721+N721+O721,"")</f>
        <v/>
      </c>
      <c r="Q721" s="11">
        <f>IF(AND(L721&lt;&gt;"",L721&gt;0,P721&lt;&gt;""),P721/L721,"")</f>
        <v/>
      </c>
      <c r="R721" s="16">
        <f>IF(AND(P721&lt;&gt;"",P721&gt;0),(I721+J721+K721)/P721,"")</f>
        <v/>
      </c>
    </row>
    <row r="722" ht="94.5" customHeight="1">
      <c r="A722" s="5" t="inlineStr">
        <is>
          <t>2026-03-30</t>
        </is>
      </c>
      <c r="B722" s="5" t="inlineStr">
        <is>
          <t>14周</t>
        </is>
      </c>
      <c r="C722" s="5" t="inlineStr">
        <is>
          <t>小红书</t>
        </is>
      </c>
      <c r="D722" s="5" t="n"/>
      <c r="E722" s="5" t="n"/>
      <c r="F722" s="5" t="inlineStr">
        <is>
          <t>https://www.xiaohongshu.com/discovery/item/69ca7e55000000001d01ff22?xsec_token=CBSJ3Fd-by4c1dKj5kInpruK_PJajNBw9EKzyl_H2-Zeo=&amp;xsec_source=app_share&amp;type=video</t>
        </is>
      </c>
      <c r="G722" s="5" t="inlineStr">
        <is>
          <t>0001A1</t>
        </is>
      </c>
      <c r="H722" s="5" t="inlineStr">
        <is>
          <t>口播</t>
        </is>
      </c>
      <c r="I722" s="5" t="n">
        <v>700</v>
      </c>
      <c r="J722" s="5" t="n"/>
      <c r="K722" s="5" t="n">
        <v>107.5</v>
      </c>
      <c r="L722" s="5" t="n">
        <v>10900</v>
      </c>
      <c r="M722" s="5" t="n">
        <v>721</v>
      </c>
      <c r="N722" s="5" t="n">
        <v>272</v>
      </c>
      <c r="O722" s="5" t="n">
        <v>27</v>
      </c>
      <c r="P722" s="8">
        <f>IF(AND(M722&lt;&gt;"",M722&gt;0),M722+N722+O722,"")</f>
        <v/>
      </c>
      <c r="Q722" s="11">
        <f>IF(AND(L722&lt;&gt;"",L722&gt;0,P722&lt;&gt;""),P722/L722,"")</f>
        <v/>
      </c>
      <c r="R722" s="16">
        <f>IF(AND(P722&lt;&gt;"",P722&gt;0),(I722+J722+K722)/P722,"")</f>
        <v/>
      </c>
    </row>
    <row r="723" ht="27" customHeight="1">
      <c r="A723" s="5" t="inlineStr">
        <is>
          <t>2026-03-31</t>
        </is>
      </c>
      <c r="B723" s="5" t="inlineStr">
        <is>
          <t>14周</t>
        </is>
      </c>
      <c r="C723" s="5" t="inlineStr">
        <is>
          <t>抖音</t>
        </is>
      </c>
      <c r="D723" s="5" t="n"/>
      <c r="E723" s="5" t="n"/>
      <c r="F723" s="5" t="inlineStr">
        <is>
          <t>https://v.douyin.com/ErostTn2ciE/</t>
        </is>
      </c>
      <c r="G723" s="5" t="inlineStr">
        <is>
          <t>495</t>
        </is>
      </c>
      <c r="H723" s="5" t="inlineStr">
        <is>
          <t>穿搭</t>
        </is>
      </c>
      <c r="I723" s="5" t="n"/>
      <c r="J723" s="5" t="n"/>
      <c r="K723" s="5" t="n">
        <v>93</v>
      </c>
      <c r="L723" s="5" t="n">
        <v>82000</v>
      </c>
      <c r="M723" s="5" t="n">
        <v>3914</v>
      </c>
      <c r="N723" s="5" t="n">
        <v>651</v>
      </c>
      <c r="O723" s="5" t="n">
        <v>49</v>
      </c>
      <c r="P723" s="8">
        <f>IF(AND(M723&lt;&gt;"",M723&gt;0),M723+N723+O723,"")</f>
        <v/>
      </c>
      <c r="Q723" s="11">
        <f>IF(AND(L723&lt;&gt;"",L723&gt;0,P723&lt;&gt;""),P723/L723,"")</f>
        <v/>
      </c>
      <c r="R723" s="16">
        <f>IF(AND(P723&lt;&gt;"",P723&gt;0),(I723+J723+K723)/P723,"")</f>
        <v/>
      </c>
    </row>
    <row r="724" ht="81" customHeight="1">
      <c r="A724" s="5" t="inlineStr">
        <is>
          <t>2026-03-31</t>
        </is>
      </c>
      <c r="B724" s="5" t="inlineStr">
        <is>
          <t>14周</t>
        </is>
      </c>
      <c r="C724" s="5" t="inlineStr">
        <is>
          <t>小红书</t>
        </is>
      </c>
      <c r="D724" s="5" t="n"/>
      <c r="E724" s="5" t="n"/>
      <c r="F724" s="5" t="inlineStr">
        <is>
          <t>https://www.xiaohongshu.com/discovery/item/69cb94fe000000002100735f?xsec_token=CBc8ugCsxCQHth7RsQOu_MXddtMukAiejzlm6t_T0LK_U=&amp;xsec_source=app_share&amp;type=video</t>
        </is>
      </c>
      <c r="G724" s="5" t="inlineStr">
        <is>
          <t>0001A1</t>
        </is>
      </c>
      <c r="H724" s="5" t="inlineStr">
        <is>
          <t>口播</t>
        </is>
      </c>
      <c r="I724" s="5" t="n">
        <v>400</v>
      </c>
      <c r="J724" s="5" t="n"/>
      <c r="K724" s="5" t="n">
        <v>107.5</v>
      </c>
      <c r="L724" s="5" t="n">
        <v>5389</v>
      </c>
      <c r="M724" s="5" t="n">
        <v>309</v>
      </c>
      <c r="N724" s="5" t="n">
        <v>99</v>
      </c>
      <c r="O724" s="5" t="n">
        <v>44</v>
      </c>
      <c r="P724" s="8">
        <f>IF(AND(M724&lt;&gt;"",M724&gt;0),M724+N724+O724,"")</f>
        <v/>
      </c>
      <c r="Q724" s="11">
        <f>IF(AND(L724&lt;&gt;"",L724&gt;0,P724&lt;&gt;""),P724/L724,"")</f>
        <v/>
      </c>
      <c r="R724" s="16">
        <f>IF(AND(P724&lt;&gt;"",P724&gt;0),(I724+J724+K724)/P724,"")</f>
        <v/>
      </c>
    </row>
    <row r="725" ht="27" customHeight="1">
      <c r="A725" s="5" t="inlineStr">
        <is>
          <t>2026-03-09</t>
        </is>
      </c>
      <c r="B725" s="5" t="inlineStr">
        <is>
          <t>11周</t>
        </is>
      </c>
      <c r="C725" s="5" t="inlineStr">
        <is>
          <t>抖音</t>
        </is>
      </c>
      <c r="D725" s="5" t="n"/>
      <c r="E725" s="5" t="n"/>
      <c r="F725" s="5" t="inlineStr">
        <is>
          <t>https://v.douyin.com/MxMQPdpzOlg/ 02/09 V@L.jp</t>
        </is>
      </c>
      <c r="G725" s="5" t="inlineStr">
        <is>
          <t>0001A1</t>
        </is>
      </c>
      <c r="H725" s="5" t="inlineStr">
        <is>
          <t>合集</t>
        </is>
      </c>
      <c r="I725" s="5" t="n">
        <v>373</v>
      </c>
      <c r="J725" s="5" t="n"/>
      <c r="K725" s="5" t="n">
        <v>107.5</v>
      </c>
      <c r="L725" s="5" t="n">
        <v>18000</v>
      </c>
      <c r="M725" s="5" t="n">
        <v>261</v>
      </c>
      <c r="N725" s="5" t="n">
        <v>129</v>
      </c>
      <c r="O725" s="5" t="n">
        <v>23</v>
      </c>
      <c r="P725" s="8">
        <f>IF(AND(M725&lt;&gt;"",M725&gt;0),M725+N725+O725,"")</f>
        <v/>
      </c>
      <c r="Q725" s="11">
        <f>IF(AND(L725&lt;&gt;"",L725&gt;0,P725&lt;&gt;""),P725/L725,"")</f>
        <v/>
      </c>
      <c r="R725" s="16">
        <f>IF(AND(P725&lt;&gt;"",P725&gt;0),(I725+J725+K725)/P725,"")</f>
        <v/>
      </c>
    </row>
    <row r="726" ht="27" customHeight="1">
      <c r="A726" s="5" t="inlineStr">
        <is>
          <t>2026-03-09</t>
        </is>
      </c>
      <c r="B726" s="5" t="inlineStr">
        <is>
          <t>11周</t>
        </is>
      </c>
      <c r="C726" s="5" t="inlineStr">
        <is>
          <t>抖音</t>
        </is>
      </c>
      <c r="D726" s="5" t="n"/>
      <c r="E726" s="5" t="n"/>
      <c r="F726" s="5" t="inlineStr">
        <is>
          <t>https://v.douyin.com/MxMQPdpzOlg/ 02/09 V@L.jp</t>
        </is>
      </c>
      <c r="G726" s="5" t="inlineStr">
        <is>
          <t>0002A1</t>
        </is>
      </c>
      <c r="H726" s="5" t="inlineStr">
        <is>
          <t>合集</t>
        </is>
      </c>
      <c r="I726" s="5" t="n">
        <v>373</v>
      </c>
      <c r="J726" s="5" t="n"/>
      <c r="K726" s="5" t="n">
        <v>110.5</v>
      </c>
      <c r="L726" s="5" t="n">
        <v>18000</v>
      </c>
      <c r="M726" s="5" t="n">
        <v>261</v>
      </c>
      <c r="N726" s="5" t="n">
        <v>129</v>
      </c>
      <c r="O726" s="5" t="n">
        <v>23</v>
      </c>
      <c r="P726" s="8">
        <f>IF(AND(M726&lt;&gt;"",M726&gt;0),M726+N726+O726,"")</f>
        <v/>
      </c>
      <c r="Q726" s="11">
        <f>IF(AND(L726&lt;&gt;"",L726&gt;0,P726&lt;&gt;""),P726/L726,"")</f>
        <v/>
      </c>
      <c r="R726" s="16">
        <f>IF(AND(P726&lt;&gt;"",P726&gt;0),(I726+J726+K726)/P726,"")</f>
        <v/>
      </c>
    </row>
    <row r="727" ht="27" customHeight="1">
      <c r="A727" s="5" t="inlineStr">
        <is>
          <t>2026-05-01</t>
        </is>
      </c>
      <c r="B727" s="5" t="inlineStr">
        <is>
          <t>18周</t>
        </is>
      </c>
      <c r="C727" s="5" t="inlineStr">
        <is>
          <t>抖音</t>
        </is>
      </c>
      <c r="D727" s="5" t="n"/>
      <c r="E727" s="5" t="n"/>
      <c r="F727" s="5" t="inlineStr">
        <is>
          <t>https://www.douyin.com/user/self?from_tab_name=main&amp;modal_id=7634489111672332025&amp;showTab=like</t>
        </is>
      </c>
      <c r="G727" s="5" t="inlineStr">
        <is>
          <t>459</t>
        </is>
      </c>
      <c r="H727" s="5" t="inlineStr">
        <is>
          <t>穿搭</t>
        </is>
      </c>
      <c r="I727" s="5" t="n">
        <v>100</v>
      </c>
      <c r="J727" s="5" t="n"/>
      <c r="K727" s="5" t="n">
        <v>46.5</v>
      </c>
      <c r="L727" s="5" t="n">
        <v>18000</v>
      </c>
      <c r="M727" s="5" t="n">
        <v>808</v>
      </c>
      <c r="N727" s="5" t="n">
        <v>44</v>
      </c>
      <c r="O727" s="5" t="n">
        <v>12</v>
      </c>
      <c r="P727" s="8">
        <f>IF(AND(M855&lt;&gt;"",M855&gt;0),M855+N855+O855,"")</f>
        <v/>
      </c>
      <c r="Q727" s="11">
        <f>IF(AND(L855&lt;&gt;"",L855&gt;0,P855&lt;&gt;""),P855/L855,"")</f>
        <v/>
      </c>
      <c r="R727" s="16">
        <f>IF(AND(P855&lt;&gt;"",P855&gt;0),(I855+J855+K855)/P855,"")</f>
        <v/>
      </c>
    </row>
    <row r="728" ht="27" customHeight="1">
      <c r="A728" s="5" t="inlineStr">
        <is>
          <t>2026-05-01</t>
        </is>
      </c>
      <c r="B728" s="5" t="inlineStr">
        <is>
          <t>18周</t>
        </is>
      </c>
      <c r="C728" s="5" t="inlineStr">
        <is>
          <t>抖音</t>
        </is>
      </c>
      <c r="D728" s="5" t="n"/>
      <c r="E728" s="5" t="n"/>
      <c r="F728" s="5" t="inlineStr">
        <is>
          <t>https://v.douyin.com/gkFotNA3rfY/</t>
        </is>
      </c>
      <c r="G728" s="5" t="inlineStr">
        <is>
          <t>492</t>
        </is>
      </c>
      <c r="H728" s="5" t="inlineStr">
        <is>
          <t>穿搭</t>
        </is>
      </c>
      <c r="I728" s="5" t="n"/>
      <c r="J728" s="5" t="n"/>
      <c r="K728" s="5" t="n">
        <v>69.5</v>
      </c>
      <c r="L728" s="5" t="n">
        <v>52000</v>
      </c>
      <c r="M728" s="5" t="n">
        <v>1220</v>
      </c>
      <c r="N728" s="5" t="n">
        <v>316</v>
      </c>
      <c r="O728" s="5" t="n">
        <v>15</v>
      </c>
      <c r="P728" s="8">
        <f>IF(AND(M856&lt;&gt;"",M856&gt;0),M856+N856+O856,"")</f>
        <v/>
      </c>
      <c r="Q728" s="11">
        <f>IF(AND(L856&lt;&gt;"",L856&gt;0,P856&lt;&gt;""),P856/L856,"")</f>
        <v/>
      </c>
      <c r="R728" s="16">
        <f>IF(AND(P856&lt;&gt;"",P856&gt;0),(I856+J856+K856)/P856,"")</f>
        <v/>
      </c>
    </row>
    <row r="729" ht="27" customHeight="1">
      <c r="A729" s="5" t="inlineStr">
        <is>
          <t>2026-05-01</t>
        </is>
      </c>
      <c r="B729" s="5" t="inlineStr">
        <is>
          <t>18周</t>
        </is>
      </c>
      <c r="C729" s="5" t="inlineStr">
        <is>
          <t>抖音</t>
        </is>
      </c>
      <c r="D729" s="5" t="n"/>
      <c r="E729" s="5" t="n"/>
      <c r="F729" s="5" t="inlineStr">
        <is>
          <t>https://www.douyin.com/user/self?from_tab_name=main&amp;modal_id=7634530237342192731&amp;showTab=like</t>
        </is>
      </c>
      <c r="G729" s="5" t="inlineStr">
        <is>
          <t>0001A1</t>
        </is>
      </c>
      <c r="H729" s="5" t="inlineStr">
        <is>
          <t>穿搭</t>
        </is>
      </c>
      <c r="I729" s="5" t="n"/>
      <c r="J729" s="5" t="n"/>
      <c r="K729" s="5" t="n">
        <v>6.6836</v>
      </c>
      <c r="L729" s="5" t="n">
        <v>51000</v>
      </c>
      <c r="M729" s="5" t="n">
        <v>1437</v>
      </c>
      <c r="N729" s="5" t="n">
        <v>424</v>
      </c>
      <c r="O729" s="5" t="n">
        <v>48</v>
      </c>
      <c r="P729" s="8">
        <f>IF(AND(M857&lt;&gt;"",M857&gt;0),M857+N857+O857,"")</f>
        <v/>
      </c>
      <c r="Q729" s="11">
        <f>IF(AND(L857&lt;&gt;"",L857&gt;0,P857&lt;&gt;""),P857/L857,"")</f>
        <v/>
      </c>
      <c r="R729" s="16">
        <f>IF(AND(P857&lt;&gt;"",P857&gt;0),(I857+J857+K857)/P857,"")</f>
        <v/>
      </c>
    </row>
    <row r="730" ht="81" customHeight="1">
      <c r="A730" s="5" t="inlineStr">
        <is>
          <t>2026-05-01</t>
        </is>
      </c>
      <c r="B730" s="5" t="inlineStr">
        <is>
          <t>18周</t>
        </is>
      </c>
      <c r="C730" s="5" t="inlineStr">
        <is>
          <t>抖音</t>
        </is>
      </c>
      <c r="D730" s="5" t="n"/>
      <c r="E730" s="5" t="n"/>
      <c r="F730" s="5" t="inlineStr">
        <is>
          <t>https://www.douyin.com/user/MS4wLjABAAAALGaE2jZruhhY-ubRJ_j3ZAF73OtzE9gXJ6n7PF47hoE/search/%E5%B7%A7%E5%85%8B%E5%8A%9B%E5%95%B5%E5%95%B5?aid=b152d463-0860-479b-bb9e-1a1279d42afe&amp;modal_id=7634114004654247168&amp;type=general</t>
        </is>
      </c>
      <c r="G730" s="5" t="inlineStr">
        <is>
          <t>0001A1</t>
        </is>
      </c>
      <c r="H730" s="5" t="inlineStr">
        <is>
          <t>穿搭</t>
        </is>
      </c>
      <c r="I730" s="5" t="n"/>
      <c r="J730" s="5" t="n"/>
      <c r="K730" s="5" t="n">
        <v>6.6836</v>
      </c>
      <c r="L730" s="5" t="n">
        <v>27000</v>
      </c>
      <c r="M730" s="5" t="n">
        <v>686</v>
      </c>
      <c r="N730" s="5" t="n">
        <v>342</v>
      </c>
      <c r="O730" s="5" t="n">
        <v>12</v>
      </c>
      <c r="P730" s="8">
        <f>IF(AND(M858&lt;&gt;"",M858&gt;0),M858+N858+O858,"")</f>
        <v/>
      </c>
      <c r="Q730" s="11">
        <f>IF(AND(L858&lt;&gt;"",L858&gt;0,P858&lt;&gt;""),P858/L858,"")</f>
        <v/>
      </c>
      <c r="R730" s="16">
        <f>IF(AND(P858&lt;&gt;"",P858&gt;0),(I858+J858+K858)/P858,"")</f>
        <v/>
      </c>
    </row>
    <row r="731" ht="81" customHeight="1">
      <c r="A731" s="5" t="inlineStr">
        <is>
          <t>2026-05-01</t>
        </is>
      </c>
      <c r="B731" s="5" t="inlineStr">
        <is>
          <t>18周</t>
        </is>
      </c>
      <c r="C731" s="5" t="inlineStr">
        <is>
          <t>抖音</t>
        </is>
      </c>
      <c r="D731" s="5" t="n"/>
      <c r="E731" s="5" t="n"/>
      <c r="F731" s="5" t="inlineStr">
        <is>
          <t>https://v.douyin.com/CMKcpMwa4_o/</t>
        </is>
      </c>
      <c r="G731" s="5" t="inlineStr">
        <is>
          <t>0002A1</t>
        </is>
      </c>
      <c r="H731" s="5" t="inlineStr">
        <is>
          <t>刘耀文</t>
        </is>
      </c>
      <c r="I731" s="5" t="n"/>
      <c r="J731" s="5" t="n"/>
      <c r="K731" s="5" t="n">
        <v>25.5</v>
      </c>
      <c r="L731" s="5" t="n">
        <v>20000</v>
      </c>
      <c r="M731" s="5" t="n">
        <v>708</v>
      </c>
      <c r="N731" s="5" t="n">
        <v>32</v>
      </c>
      <c r="O731" s="5" t="n">
        <v>64</v>
      </c>
      <c r="P731" s="8">
        <f>IF(AND(M859&lt;&gt;"",M859&gt;0),M859+N859+O859,"")</f>
        <v/>
      </c>
      <c r="Q731" s="11">
        <f>IF(AND(L859&lt;&gt;"",L859&gt;0,P859&lt;&gt;""),P859/L859,"")</f>
        <v/>
      </c>
      <c r="R731" s="16">
        <f>IF(AND(P859&lt;&gt;"",P859&gt;0),(I859+J859+K859)/P859,"")</f>
        <v/>
      </c>
    </row>
    <row r="732" ht="81" customHeight="1">
      <c r="A732" s="5" t="inlineStr">
        <is>
          <t>2026-05-01</t>
        </is>
      </c>
      <c r="B732" s="5" t="inlineStr">
        <is>
          <t>18周</t>
        </is>
      </c>
      <c r="C732" s="5" t="inlineStr">
        <is>
          <t>抖音</t>
        </is>
      </c>
      <c r="D732" s="5" t="n"/>
      <c r="E732" s="5" t="n"/>
      <c r="F732" s="5" t="inlineStr">
        <is>
          <t>https://v.douyin.com/TGpeRqHkz9Q/</t>
        </is>
      </c>
      <c r="G732" s="5" t="inlineStr">
        <is>
          <t>0002A1</t>
        </is>
      </c>
      <c r="H732" s="5" t="inlineStr">
        <is>
          <t>穿搭</t>
        </is>
      </c>
      <c r="I732" s="5" t="n"/>
      <c r="J732" s="5" t="n"/>
      <c r="K732" s="5" t="n">
        <v>25.5</v>
      </c>
      <c r="L732" s="5" t="n">
        <v>20000</v>
      </c>
      <c r="M732" s="5" t="n">
        <v>1146</v>
      </c>
      <c r="N732" s="5" t="n">
        <v>112</v>
      </c>
      <c r="O732" s="5" t="n">
        <v>30</v>
      </c>
      <c r="P732" s="8">
        <f>IF(AND(M860&lt;&gt;"",M860&gt;0),M860+N860+O860,"")</f>
        <v/>
      </c>
      <c r="Q732" s="11">
        <f>IF(AND(L860&lt;&gt;"",L860&gt;0,P860&lt;&gt;""),P860/L860,"")</f>
        <v/>
      </c>
      <c r="R732" s="16">
        <f>IF(AND(P860&lt;&gt;"",P860&gt;0),(I860+J860+K860)/P860,"")</f>
        <v/>
      </c>
    </row>
    <row r="733" ht="27" customHeight="1">
      <c r="A733" s="5" t="inlineStr">
        <is>
          <t>2026-05-01</t>
        </is>
      </c>
      <c r="B733" s="5" t="inlineStr">
        <is>
          <t>18周</t>
        </is>
      </c>
      <c r="C733" s="5" t="inlineStr">
        <is>
          <t>抖音</t>
        </is>
      </c>
      <c r="D733" s="5" t="n"/>
      <c r="E733" s="5" t="n"/>
      <c r="F733" s="5" t="inlineStr">
        <is>
          <t>https://v.douyin.com/MsDT2MzD6dk/</t>
        </is>
      </c>
      <c r="G733" s="5" t="inlineStr">
        <is>
          <t>0002A1</t>
        </is>
      </c>
      <c r="H733" s="5" t="inlineStr">
        <is>
          <t>刘耀文</t>
        </is>
      </c>
      <c r="I733" s="5" t="n"/>
      <c r="J733" s="5" t="n"/>
      <c r="K733" s="5" t="n">
        <v>25.5</v>
      </c>
      <c r="L733" s="5" t="n">
        <v>10000</v>
      </c>
      <c r="M733" s="5" t="n">
        <v>453</v>
      </c>
      <c r="N733" s="5" t="n">
        <v>76</v>
      </c>
      <c r="O733" s="5" t="n">
        <v>13</v>
      </c>
      <c r="P733" s="8">
        <f>IF(AND(M861&lt;&gt;"",M861&gt;0),M861+N861+O861,"")</f>
        <v/>
      </c>
      <c r="Q733" s="11">
        <f>IF(AND(L861&lt;&gt;"",L861&gt;0,P861&lt;&gt;""),P861/L861,"")</f>
        <v/>
      </c>
      <c r="R733" s="16">
        <f>IF(AND(P861&lt;&gt;"",P861&gt;0),(I861+J861+K861)/P861,"")</f>
        <v/>
      </c>
    </row>
    <row r="734" ht="27" customHeight="1">
      <c r="A734" s="5" t="inlineStr">
        <is>
          <t>2026-05-02</t>
        </is>
      </c>
      <c r="B734" s="5" t="inlineStr">
        <is>
          <t>18周</t>
        </is>
      </c>
      <c r="C734" s="5" t="inlineStr">
        <is>
          <t>小红书</t>
        </is>
      </c>
      <c r="D734" s="5" t="n"/>
      <c r="E734" s="5" t="n"/>
      <c r="F734" s="5" t="inlineStr">
        <is>
          <t>https://www.xiaohongshu.com/discovery/item/69f4bd60000000001e00e744?xsec_token=CBzRlVtIIgpsHPG6rsTvxCbvBCKPgL9aP1fcXngyq-oBM=&amp;xsec_source=app_share&amp;type=video</t>
        </is>
      </c>
      <c r="G734" s="5" t="inlineStr">
        <is>
          <t>0001A1</t>
        </is>
      </c>
      <c r="H734" s="5" t="inlineStr">
        <is>
          <t>购物开箱</t>
        </is>
      </c>
      <c r="I734" s="5" t="n">
        <v>200</v>
      </c>
      <c r="J734" s="5" t="n"/>
      <c r="K734" s="5" t="n">
        <v>6.6836</v>
      </c>
      <c r="L734" s="5" t="n">
        <v>4035</v>
      </c>
      <c r="M734" s="5" t="n">
        <v>230</v>
      </c>
      <c r="N734" s="5" t="n">
        <v>80</v>
      </c>
      <c r="O734" s="5" t="n">
        <v>28</v>
      </c>
      <c r="P734" s="8">
        <f>IF(AND(M862&lt;&gt;"",M862&gt;0),M862+N862+O862,"")</f>
        <v/>
      </c>
      <c r="Q734" s="11">
        <f>IF(AND(L862&lt;&gt;"",L862&gt;0,P862&lt;&gt;""),P862/L862,"")</f>
        <v/>
      </c>
      <c r="R734" s="16">
        <f>IF(AND(P862&lt;&gt;"",P862&gt;0),(I862+J862+K862)/P862,"")</f>
        <v/>
      </c>
    </row>
    <row r="735" ht="81" customHeight="1">
      <c r="A735" s="5" t="inlineStr">
        <is>
          <t>2026-05-02</t>
        </is>
      </c>
      <c r="B735" s="5" t="inlineStr">
        <is>
          <t>18周</t>
        </is>
      </c>
      <c r="C735" s="5" t="inlineStr">
        <is>
          <t>抖音</t>
        </is>
      </c>
      <c r="D735" s="5" t="n"/>
      <c r="E735" s="5" t="n"/>
      <c r="F735" s="5" t="inlineStr">
        <is>
          <t>https://www.douyin.com/user/self?from_tab_name=main&amp;modal_id=7635220916977253361&amp;showTab=like</t>
        </is>
      </c>
      <c r="G735" s="5" t="inlineStr">
        <is>
          <t>0002A1</t>
        </is>
      </c>
      <c r="H735" s="5" t="inlineStr">
        <is>
          <t>穿搭</t>
        </is>
      </c>
      <c r="I735" s="5" t="n">
        <v>200</v>
      </c>
      <c r="J735" s="5" t="n"/>
      <c r="K735" s="5" t="n">
        <v>25.5</v>
      </c>
      <c r="L735" s="5" t="n">
        <v>15000</v>
      </c>
      <c r="M735" s="5" t="n">
        <v>1396</v>
      </c>
      <c r="N735" s="5" t="n">
        <v>42</v>
      </c>
      <c r="O735" s="5" t="n">
        <v>46</v>
      </c>
      <c r="P735" s="8">
        <f>IF(AND(M863&lt;&gt;"",M863&gt;0),M863+N863+O863,"")</f>
        <v/>
      </c>
      <c r="Q735" s="11">
        <f>IF(AND(L863&lt;&gt;"",L863&gt;0,P863&lt;&gt;""),P863/L863,"")</f>
        <v/>
      </c>
      <c r="R735" s="16">
        <f>IF(AND(P863&lt;&gt;"",P863&gt;0),(I863+J863+K863)/P863,"")</f>
        <v/>
      </c>
    </row>
    <row r="736" ht="27" customHeight="1">
      <c r="A736" s="5" t="inlineStr">
        <is>
          <t>2026-05-02</t>
        </is>
      </c>
      <c r="B736" s="5" t="inlineStr">
        <is>
          <t>18周</t>
        </is>
      </c>
      <c r="C736" s="5" t="inlineStr">
        <is>
          <t>抖音</t>
        </is>
      </c>
      <c r="D736" s="5" t="n"/>
      <c r="E736" s="5" t="n"/>
      <c r="F736" s="5" t="inlineStr">
        <is>
          <t>https://v.douyin.com/kCi3o9pp4FY/</t>
        </is>
      </c>
      <c r="G736" s="5" t="inlineStr">
        <is>
          <t>459</t>
        </is>
      </c>
      <c r="H736" s="5" t="inlineStr">
        <is>
          <t>口播</t>
        </is>
      </c>
      <c r="I736" s="5" t="n">
        <v>130</v>
      </c>
      <c r="J736" s="5" t="n"/>
      <c r="K736" s="5" t="n">
        <v>46.5</v>
      </c>
      <c r="L736" s="5" t="n">
        <v>4200</v>
      </c>
      <c r="M736" s="5" t="n">
        <v>129</v>
      </c>
      <c r="N736" s="5" t="n">
        <v>40</v>
      </c>
      <c r="O736" s="5" t="n">
        <v>13</v>
      </c>
      <c r="P736" s="8">
        <f>IF(AND(M864&lt;&gt;"",M864&gt;0),M864+N864+O864,"")</f>
        <v/>
      </c>
      <c r="Q736" s="11">
        <f>IF(AND(L864&lt;&gt;"",L864&gt;0,P864&lt;&gt;""),P864/L864,"")</f>
        <v/>
      </c>
      <c r="R736" s="16">
        <f>IF(AND(P864&lt;&gt;"",P864&gt;0),(I864+J864+K864)/P864,"")</f>
        <v/>
      </c>
    </row>
    <row r="737" ht="27" customHeight="1">
      <c r="A737" s="5" t="inlineStr">
        <is>
          <t>2026-05-02</t>
        </is>
      </c>
      <c r="B737" s="5" t="inlineStr">
        <is>
          <t>18周</t>
        </is>
      </c>
      <c r="C737" s="5" t="inlineStr">
        <is>
          <t>抖音</t>
        </is>
      </c>
      <c r="D737" s="5" t="n"/>
      <c r="E737" s="5" t="n"/>
      <c r="F737" s="5" t="inlineStr">
        <is>
          <t>https://v.douyin.com/tIPZy1cjFlo/</t>
        </is>
      </c>
      <c r="G737" s="5" t="inlineStr">
        <is>
          <t>459</t>
        </is>
      </c>
      <c r="H737" s="5" t="inlineStr">
        <is>
          <t>穿搭</t>
        </is>
      </c>
      <c r="I737" s="5" t="n"/>
      <c r="J737" s="5" t="n"/>
      <c r="K737" s="5" t="n">
        <v>46.5</v>
      </c>
      <c r="L737" s="5" t="n">
        <v>22000</v>
      </c>
      <c r="M737" s="5" t="n">
        <v>754</v>
      </c>
      <c r="N737" s="5" t="n">
        <v>175</v>
      </c>
      <c r="O737" s="5" t="n">
        <v>61</v>
      </c>
      <c r="P737" s="8">
        <f>IF(AND(M865&lt;&gt;"",M865&gt;0),M865+N865+O865,"")</f>
        <v/>
      </c>
      <c r="Q737" s="11">
        <f>IF(AND(L865&lt;&gt;"",L865&gt;0,P865&lt;&gt;""),P865/L865,"")</f>
        <v/>
      </c>
      <c r="R737" s="16">
        <f>IF(AND(P865&lt;&gt;"",P865&gt;0),(I865+J865+K865)/P865,"")</f>
        <v/>
      </c>
    </row>
    <row r="738" ht="27" customHeight="1">
      <c r="A738" s="5" t="inlineStr">
        <is>
          <t>2026-05-02</t>
        </is>
      </c>
      <c r="B738" s="5" t="inlineStr">
        <is>
          <t>18周</t>
        </is>
      </c>
      <c r="C738" s="5" t="inlineStr">
        <is>
          <t>抖音</t>
        </is>
      </c>
      <c r="D738" s="5" t="n"/>
      <c r="E738" s="5" t="n"/>
      <c r="F738" s="5" t="inlineStr">
        <is>
          <t>https://v.douyin.com/xrepPP1E-PE/</t>
        </is>
      </c>
      <c r="G738" s="5" t="inlineStr">
        <is>
          <t>0002A1</t>
        </is>
      </c>
      <c r="H738" s="5" t="inlineStr">
        <is>
          <t>vlog</t>
        </is>
      </c>
      <c r="I738" s="5" t="n">
        <v>400</v>
      </c>
      <c r="J738" s="5" t="n"/>
      <c r="K738" s="5" t="n">
        <v>25.5</v>
      </c>
      <c r="L738" s="5" t="n">
        <v>88000</v>
      </c>
      <c r="M738" s="5" t="n">
        <v>2355</v>
      </c>
      <c r="N738" s="5" t="n">
        <v>143</v>
      </c>
      <c r="O738" s="5" t="n">
        <v>125</v>
      </c>
      <c r="P738" s="8">
        <f>IF(AND(M866&lt;&gt;"",M866&gt;0),M866+N866+O866,"")</f>
        <v/>
      </c>
      <c r="Q738" s="11">
        <f>IF(AND(L866&lt;&gt;"",L866&gt;0,P866&lt;&gt;""),P866/L866,"")</f>
        <v/>
      </c>
      <c r="R738" s="16">
        <f>IF(AND(P866&lt;&gt;"",P866&gt;0),(I866+J866+K866)/P866,"")</f>
        <v/>
      </c>
    </row>
    <row r="739" ht="27" customHeight="1">
      <c r="A739" s="5" t="inlineStr">
        <is>
          <t>2026-05-02</t>
        </is>
      </c>
      <c r="B739" s="5" t="inlineStr">
        <is>
          <t>18周</t>
        </is>
      </c>
      <c r="C739" s="5" t="inlineStr">
        <is>
          <t>抖音</t>
        </is>
      </c>
      <c r="D739" s="5" t="n"/>
      <c r="E739" s="5" t="n"/>
      <c r="F739" s="5" t="inlineStr">
        <is>
          <t>https://v.douyin.com/wYlt2DxvwUc/</t>
        </is>
      </c>
      <c r="G739" s="5" t="inlineStr">
        <is>
          <t>495</t>
        </is>
      </c>
      <c r="H739" s="5" t="inlineStr">
        <is>
          <t>穿搭</t>
        </is>
      </c>
      <c r="I739" s="5" t="n"/>
      <c r="J739" s="5" t="n"/>
      <c r="K739" s="5" t="n">
        <v>93</v>
      </c>
      <c r="L739" s="5" t="n">
        <v>43000</v>
      </c>
      <c r="M739" s="5" t="n">
        <v>621</v>
      </c>
      <c r="N739" s="5" t="n">
        <v>123</v>
      </c>
      <c r="O739" s="5" t="n">
        <v>67</v>
      </c>
      <c r="P739" s="8">
        <f>IF(AND(M867&lt;&gt;"",M867&gt;0),M867+N867+O867,"")</f>
        <v/>
      </c>
      <c r="Q739" s="11">
        <f>IF(AND(L867&lt;&gt;"",L867&gt;0,P867&lt;&gt;""),P867/L867,"")</f>
        <v/>
      </c>
      <c r="R739" s="16">
        <f>IF(AND(P867&lt;&gt;"",P867&gt;0),(I867+J867+K867)/P867,"")</f>
        <v/>
      </c>
    </row>
    <row r="740" ht="27" customHeight="1">
      <c r="A740" s="5" t="inlineStr">
        <is>
          <t>2026-05-02</t>
        </is>
      </c>
      <c r="B740" s="5" t="inlineStr">
        <is>
          <t>18周</t>
        </is>
      </c>
      <c r="C740" s="5" t="inlineStr">
        <is>
          <t>抖音</t>
        </is>
      </c>
      <c r="D740" s="5" t="n"/>
      <c r="E740" s="5" t="n"/>
      <c r="F740" s="5" t="inlineStr">
        <is>
          <t>https://www.douyin.com/user/MS4wLjABAAAA5dxu9O3pe94Zv2I2dRqF8n7utUoZSsmrnn52KzSxvjs?from_tab_name=main&amp;modal_id=7635514919110364002</t>
        </is>
      </c>
      <c r="G740" s="5" t="inlineStr">
        <is>
          <t>0002A1</t>
        </is>
      </c>
      <c r="H740" s="5" t="inlineStr">
        <is>
          <t>刘耀文</t>
        </is>
      </c>
      <c r="I740" s="5" t="n"/>
      <c r="J740" s="5" t="n"/>
      <c r="K740" s="5" t="n">
        <v>25.5</v>
      </c>
      <c r="L740" s="5" t="n">
        <v>3080</v>
      </c>
      <c r="M740" s="5" t="n">
        <v>215</v>
      </c>
      <c r="N740" s="5" t="n">
        <v>1</v>
      </c>
      <c r="O740" s="5" t="n">
        <v>20</v>
      </c>
      <c r="P740" s="8">
        <f>IF(AND(M868&lt;&gt;"",M868&gt;0),M868+N868+O868,"")</f>
        <v/>
      </c>
      <c r="Q740" s="11">
        <f>IF(AND(L868&lt;&gt;"",L868&gt;0,P868&lt;&gt;""),P868/L868,"")</f>
        <v/>
      </c>
      <c r="R740" s="16">
        <f>IF(AND(P868&lt;&gt;"",P868&gt;0),(I868+J868+K868)/P868,"")</f>
        <v/>
      </c>
    </row>
    <row r="741" ht="27" customHeight="1">
      <c r="A741" s="5" t="inlineStr">
        <is>
          <t>2026-05-02</t>
        </is>
      </c>
      <c r="B741" s="5" t="inlineStr">
        <is>
          <t>18周</t>
        </is>
      </c>
      <c r="C741" s="5" t="inlineStr">
        <is>
          <t>小红书</t>
        </is>
      </c>
      <c r="D741" s="5" t="n"/>
      <c r="E741" s="5" t="n"/>
      <c r="F741" s="5" t="inlineStr">
        <is>
          <t>https://www.xiaohongshu.com/discovery/item/69f5e40f0000000035038738?xsec_token=CBePD76qHdbmxP-za4K9EqRnP0zA_O9gGS98CGZPf8F70=&amp;xsec_source=app_share&amp;type=video</t>
        </is>
      </c>
      <c r="G741" s="5" t="inlineStr">
        <is>
          <t>0001A1</t>
        </is>
      </c>
      <c r="H741" s="5" t="inlineStr">
        <is>
          <t>购物开箱</t>
        </is>
      </c>
      <c r="I741" s="5" t="n">
        <v>200</v>
      </c>
      <c r="J741" s="5" t="n"/>
      <c r="K741" s="5" t="n">
        <v>6.6836</v>
      </c>
      <c r="L741" s="5" t="n">
        <v>2036</v>
      </c>
      <c r="M741" s="5" t="n">
        <v>135</v>
      </c>
      <c r="N741" s="5" t="n">
        <v>29</v>
      </c>
      <c r="O741" s="5" t="n">
        <v>7</v>
      </c>
      <c r="P741" s="8">
        <f>IF(AND(M869&lt;&gt;"",M869&gt;0),M869+N869+O869,"")</f>
        <v/>
      </c>
      <c r="Q741" s="11">
        <f>IF(AND(L869&lt;&gt;"",L869&gt;0,P869&lt;&gt;""),P869/L869,"")</f>
        <v/>
      </c>
      <c r="R741" s="16">
        <f>IF(AND(P869&lt;&gt;"",P869&gt;0),(I869+J869+K869)/P869,"")</f>
        <v/>
      </c>
    </row>
    <row r="742">
      <c r="A742" s="5" t="inlineStr">
        <is>
          <t>2026-05-03</t>
        </is>
      </c>
      <c r="B742" s="5" t="inlineStr">
        <is>
          <t>18周</t>
        </is>
      </c>
      <c r="C742" s="5" t="inlineStr">
        <is>
          <t>小红书</t>
        </is>
      </c>
      <c r="D742" s="5" t="n"/>
      <c r="E742" s="5" t="n"/>
      <c r="F742" s="5" t="inlineStr">
        <is>
          <t>https://www.xiaohongshu.com/discovery/item/69f57a4d0000000038022ef9?xsec_token=CBePD76qHdbmxP-za4K9EqRu9RKqR8kHKYE5LS-ILdCQg=&amp;xsec_source=app_share&amp;type=video</t>
        </is>
      </c>
      <c r="G742" s="5" t="inlineStr">
        <is>
          <t>0002A1</t>
        </is>
      </c>
      <c r="H742" s="5" t="inlineStr">
        <is>
          <t>vlog</t>
        </is>
      </c>
      <c r="I742" s="5" t="n"/>
      <c r="J742" s="5" t="n"/>
      <c r="K742" s="5" t="n">
        <v>25.5</v>
      </c>
      <c r="L742" s="5" t="n">
        <v>1204</v>
      </c>
      <c r="M742" s="5" t="n">
        <v>88</v>
      </c>
      <c r="N742" s="5" t="n">
        <v>9</v>
      </c>
      <c r="O742" s="5" t="n">
        <v>8</v>
      </c>
      <c r="P742" s="8">
        <f>IF(AND(M870&lt;&gt;"",M870&gt;0),M870+N870+O870,"")</f>
        <v/>
      </c>
      <c r="Q742" s="11">
        <f>IF(AND(L870&lt;&gt;"",L870&gt;0,P870&lt;&gt;""),P870/L870,"")</f>
        <v/>
      </c>
      <c r="R742" s="16">
        <f>IF(AND(P870&lt;&gt;"",P870&gt;0),(I870+J870+K870)/P870,"")</f>
        <v/>
      </c>
    </row>
    <row r="743" ht="27" customHeight="1">
      <c r="A743" s="5" t="inlineStr">
        <is>
          <t>2026-05-03</t>
        </is>
      </c>
      <c r="B743" s="5" t="inlineStr">
        <is>
          <t>18周</t>
        </is>
      </c>
      <c r="C743" s="5" t="inlineStr">
        <is>
          <t>抖音</t>
        </is>
      </c>
      <c r="D743" s="5" t="n"/>
      <c r="E743" s="5" t="n"/>
      <c r="F743" s="5" t="inlineStr">
        <is>
          <t>https://www.douyin.com/user/self?from_tab_name=main&amp;modal_id=7635612848883150473&amp;showTab=like</t>
        </is>
      </c>
      <c r="G743" s="5" t="inlineStr">
        <is>
          <t>492</t>
        </is>
      </c>
      <c r="H743" s="5" t="inlineStr">
        <is>
          <t>穿搭</t>
        </is>
      </c>
      <c r="I743" s="5" t="n"/>
      <c r="J743" s="5" t="n"/>
      <c r="K743" s="5" t="n">
        <v>69.5</v>
      </c>
      <c r="L743" s="5" t="n">
        <v>3710</v>
      </c>
      <c r="M743" s="5" t="n">
        <v>218</v>
      </c>
      <c r="N743" s="5" t="n">
        <v>12</v>
      </c>
      <c r="O743" s="5" t="n">
        <v>18</v>
      </c>
      <c r="P743" s="8">
        <f>IF(AND(M871&lt;&gt;"",M871&gt;0),M871+N871+O871,"")</f>
        <v/>
      </c>
      <c r="Q743" s="11">
        <f>IF(AND(L871&lt;&gt;"",L871&gt;0,P871&lt;&gt;""),P871/L871,"")</f>
        <v/>
      </c>
      <c r="R743" s="16">
        <f>IF(AND(P871&lt;&gt;"",P871&gt;0),(I871+J871+K871)/P871,"")</f>
        <v/>
      </c>
    </row>
    <row r="744" ht="27" customHeight="1">
      <c r="A744" s="5" t="inlineStr">
        <is>
          <t>2026-05-03</t>
        </is>
      </c>
      <c r="B744" s="5" t="inlineStr">
        <is>
          <t>18周</t>
        </is>
      </c>
      <c r="C744" s="5" t="inlineStr">
        <is>
          <t>抖音</t>
        </is>
      </c>
      <c r="D744" s="5" t="n"/>
      <c r="E744" s="5" t="n"/>
      <c r="F744" s="5" t="inlineStr">
        <is>
          <t>https://v.douyin.com/JkKV2moAIeI/</t>
        </is>
      </c>
      <c r="G744" s="5" t="inlineStr">
        <is>
          <t>0001A1</t>
        </is>
      </c>
      <c r="H744" s="5" t="inlineStr">
        <is>
          <t>赵一博</t>
        </is>
      </c>
      <c r="I744" s="5" t="n"/>
      <c r="J744" s="5" t="n"/>
      <c r="K744" s="5" t="n">
        <v>6.6836</v>
      </c>
      <c r="L744" s="5" t="n">
        <v>3426</v>
      </c>
      <c r="M744" s="5" t="n">
        <v>113</v>
      </c>
      <c r="N744" s="5" t="n">
        <v>4</v>
      </c>
      <c r="O744" s="5" t="n">
        <v>5</v>
      </c>
      <c r="P744" s="8">
        <f>IF(AND(M872&lt;&gt;"",M872&gt;0),M872+N872+O872,"")</f>
        <v/>
      </c>
      <c r="Q744" s="11">
        <f>IF(AND(L872&lt;&gt;"",L872&gt;0,P872&lt;&gt;""),P872/L872,"")</f>
        <v/>
      </c>
      <c r="R744" s="16">
        <f>IF(AND(P872&lt;&gt;"",P872&gt;0),(I872+J872+K872)/P872,"")</f>
        <v/>
      </c>
    </row>
    <row r="745" ht="27" customHeight="1">
      <c r="A745" s="5" t="inlineStr">
        <is>
          <t>2026-05-03</t>
        </is>
      </c>
      <c r="B745" s="5" t="inlineStr">
        <is>
          <t>18周</t>
        </is>
      </c>
      <c r="C745" s="5" t="inlineStr">
        <is>
          <t>抖音</t>
        </is>
      </c>
      <c r="D745" s="5" t="n"/>
      <c r="E745" s="5" t="n"/>
      <c r="F745" s="5" t="inlineStr">
        <is>
          <t>https://v.douyin.com/50BBbV_PJQ4/</t>
        </is>
      </c>
      <c r="G745" s="5" t="inlineStr">
        <is>
          <t>492</t>
        </is>
      </c>
      <c r="H745" s="5" t="inlineStr">
        <is>
          <t>迪丽热巴</t>
        </is>
      </c>
      <c r="I745" s="5" t="n"/>
      <c r="J745" s="5" t="n"/>
      <c r="K745" s="5" t="n">
        <v>69.5</v>
      </c>
      <c r="L745" s="5" t="n">
        <v>2823</v>
      </c>
      <c r="M745" s="5" t="n">
        <v>156</v>
      </c>
      <c r="N745" s="5" t="n">
        <v>3</v>
      </c>
      <c r="O745" s="5" t="n">
        <v>11</v>
      </c>
      <c r="P745" s="8">
        <f>IF(AND(M873&lt;&gt;"",M873&gt;0),M873+N873+O873,"")</f>
        <v/>
      </c>
      <c r="Q745" s="11">
        <f>IF(AND(L873&lt;&gt;"",L873&gt;0,P873&lt;&gt;""),P873/L873,"")</f>
        <v/>
      </c>
      <c r="R745" s="16">
        <f>IF(AND(P873&lt;&gt;"",P873&gt;0),(I873+J873+K873)/P873,"")</f>
        <v/>
      </c>
    </row>
    <row r="746" ht="27" customHeight="1">
      <c r="A746" s="5" t="inlineStr">
        <is>
          <t>2026-05-03</t>
        </is>
      </c>
      <c r="B746" s="5" t="inlineStr">
        <is>
          <t>18周</t>
        </is>
      </c>
      <c r="C746" s="5" t="inlineStr">
        <is>
          <t>抖音</t>
        </is>
      </c>
      <c r="D746" s="5" t="n"/>
      <c r="E746" s="5" t="n"/>
      <c r="F746" s="5" t="inlineStr">
        <is>
          <t>https://v.douyin.com/PFIspB4KOV8/</t>
        </is>
      </c>
      <c r="G746" s="5" t="inlineStr">
        <is>
          <t>489</t>
        </is>
      </c>
      <c r="H746" s="5" t="inlineStr">
        <is>
          <t>陈奕恒</t>
        </is>
      </c>
      <c r="I746" s="5" t="n"/>
      <c r="J746" s="5" t="n"/>
      <c r="K746" s="5" t="n">
        <v>53.5</v>
      </c>
      <c r="L746" s="5" t="n">
        <v>2055</v>
      </c>
      <c r="M746" s="5" t="n">
        <v>363</v>
      </c>
      <c r="N746" s="5" t="n">
        <v>12</v>
      </c>
      <c r="O746" s="5" t="n">
        <v>59</v>
      </c>
      <c r="P746" s="8">
        <f>IF(AND(M874&lt;&gt;"",M874&gt;0),M874+N874+O874,"")</f>
        <v/>
      </c>
      <c r="Q746" s="11">
        <f>IF(AND(L874&lt;&gt;"",L874&gt;0,P874&lt;&gt;""),P874/L874,"")</f>
        <v/>
      </c>
      <c r="R746" s="16">
        <f>IF(AND(P874&lt;&gt;"",P874&gt;0),(I874+J874+K874)/P874,"")</f>
        <v/>
      </c>
    </row>
    <row r="747" ht="27" customHeight="1">
      <c r="A747" s="5" t="inlineStr">
        <is>
          <t>2026-05-03</t>
        </is>
      </c>
      <c r="B747" s="5" t="inlineStr">
        <is>
          <t>18周</t>
        </is>
      </c>
      <c r="C747" s="5" t="inlineStr">
        <is>
          <t>抖音</t>
        </is>
      </c>
      <c r="D747" s="5" t="n"/>
      <c r="E747" s="5" t="n"/>
      <c r="F747" s="5" t="inlineStr">
        <is>
          <t>https://v.douyin.com/WFfq6VKYFPk/</t>
        </is>
      </c>
      <c r="G747" s="5" t="inlineStr">
        <is>
          <t>0002A1</t>
        </is>
      </c>
      <c r="H747" s="5" t="inlineStr">
        <is>
          <t>刘耀文</t>
        </is>
      </c>
      <c r="I747" s="5" t="n"/>
      <c r="J747" s="5" t="n"/>
      <c r="K747" s="5" t="n">
        <v>25.5</v>
      </c>
      <c r="L747" s="5" t="n">
        <v>951</v>
      </c>
      <c r="M747" s="5" t="n">
        <v>85</v>
      </c>
      <c r="N747" s="5" t="n">
        <v>12</v>
      </c>
      <c r="O747" s="5" t="n">
        <v>21</v>
      </c>
      <c r="P747" s="8">
        <f>IF(AND(M875&lt;&gt;"",M875&gt;0),M875+N875+O875,"")</f>
        <v/>
      </c>
      <c r="Q747" s="11">
        <f>IF(AND(L875&lt;&gt;"",L875&gt;0,P875&lt;&gt;""),P875/L875,"")</f>
        <v/>
      </c>
      <c r="R747" s="16">
        <f>IF(AND(P875&lt;&gt;"",P875&gt;0),(I875+J875+K875)/P875,"")</f>
        <v/>
      </c>
    </row>
    <row r="748" ht="27" customHeight="1">
      <c r="A748" s="5" t="inlineStr">
        <is>
          <t>2026-05-03</t>
        </is>
      </c>
      <c r="B748" s="5" t="inlineStr">
        <is>
          <t>18周</t>
        </is>
      </c>
      <c r="C748" s="5" t="inlineStr">
        <is>
          <t>抖音</t>
        </is>
      </c>
      <c r="D748" s="5" t="n"/>
      <c r="E748" s="5" t="n"/>
      <c r="F748" s="5" t="inlineStr">
        <is>
          <t>https://v.douyin.com/S6zxGCELmvU/</t>
        </is>
      </c>
      <c r="G748" s="5" t="inlineStr">
        <is>
          <t>489</t>
        </is>
      </c>
      <c r="H748" s="5" t="inlineStr">
        <is>
          <t>赵露思</t>
        </is>
      </c>
      <c r="I748" s="5" t="n"/>
      <c r="J748" s="5" t="n"/>
      <c r="K748" s="5" t="n">
        <v>53.5</v>
      </c>
      <c r="L748" s="5" t="n">
        <v>11000</v>
      </c>
      <c r="M748" s="5" t="n">
        <v>698</v>
      </c>
      <c r="N748" s="5" t="n">
        <v>8</v>
      </c>
      <c r="O748" s="5" t="n">
        <v>53</v>
      </c>
      <c r="P748" s="8">
        <f>IF(AND(M876&lt;&gt;"",M876&gt;0),M876+N876+O876,"")</f>
        <v/>
      </c>
      <c r="Q748" s="11">
        <f>IF(AND(L876&lt;&gt;"",L876&gt;0,P876&lt;&gt;""),P876/L876,"")</f>
        <v/>
      </c>
      <c r="R748" s="16">
        <f>IF(AND(P876&lt;&gt;"",P876&gt;0),(I876+J876+K876)/P876,"")</f>
        <v/>
      </c>
    </row>
    <row r="749" ht="27" customHeight="1">
      <c r="A749" s="5" t="inlineStr">
        <is>
          <t>2026-05-03</t>
        </is>
      </c>
      <c r="B749" s="5" t="inlineStr">
        <is>
          <t>18周</t>
        </is>
      </c>
      <c r="C749" s="5" t="inlineStr">
        <is>
          <t>抖音</t>
        </is>
      </c>
      <c r="D749" s="5" t="n"/>
      <c r="E749" s="5" t="n"/>
      <c r="F749" s="5" t="inlineStr">
        <is>
          <t>https://v.douyin.com/73zqZRLDAsg/</t>
        </is>
      </c>
      <c r="G749" s="5" t="inlineStr">
        <is>
          <t>486</t>
        </is>
      </c>
      <c r="H749" s="5" t="inlineStr">
        <is>
          <t>穿搭</t>
        </is>
      </c>
      <c r="I749" s="5" t="n"/>
      <c r="J749" s="5" t="n"/>
      <c r="K749" s="5" t="n">
        <v>52.5</v>
      </c>
      <c r="L749" s="5" t="n">
        <v>14000</v>
      </c>
      <c r="M749" s="5" t="n">
        <v>320</v>
      </c>
      <c r="N749" s="5" t="n">
        <v>55</v>
      </c>
      <c r="O749" s="5" t="n">
        <v>18</v>
      </c>
      <c r="P749" s="8">
        <f>IF(AND(M877&lt;&gt;"",M877&gt;0),M877+N877+O877,"")</f>
        <v/>
      </c>
      <c r="Q749" s="11">
        <f>IF(AND(L877&lt;&gt;"",L877&gt;0,P877&lt;&gt;""),P877/L877,"")</f>
        <v/>
      </c>
      <c r="R749" s="16">
        <f>IF(AND(P877&lt;&gt;"",P877&gt;0),(I877+J877+K877)/P877,"")</f>
        <v/>
      </c>
    </row>
    <row r="750" ht="67.5" customHeight="1">
      <c r="A750" s="5" t="inlineStr">
        <is>
          <t>2026-05-03</t>
        </is>
      </c>
      <c r="B750" s="5" t="inlineStr">
        <is>
          <t>18周</t>
        </is>
      </c>
      <c r="C750" s="5" t="inlineStr">
        <is>
          <t>小红书</t>
        </is>
      </c>
      <c r="D750" s="5" t="n"/>
      <c r="E750" s="5" t="n"/>
      <c r="F750" s="5" t="inlineStr">
        <is>
          <t>https://www.xiaohongshu.com/discovery/item/69f71e4a0000000035023b6d?xsec_token=CBsqOby-ngun-PNFP0PIpOLTuWXdek3dqL-NGMWl0Wwj4=&amp;xsec_source=app_share&amp;type=video</t>
        </is>
      </c>
      <c r="G750" s="5" t="inlineStr">
        <is>
          <t>492</t>
        </is>
      </c>
      <c r="H750" s="5" t="inlineStr">
        <is>
          <t>杨博文</t>
        </is>
      </c>
      <c r="I750" s="5" t="n"/>
      <c r="J750" s="5" t="n"/>
      <c r="K750" s="5" t="n">
        <v>69.5</v>
      </c>
      <c r="L750" s="5" t="n">
        <v>859</v>
      </c>
      <c r="M750" s="5" t="n">
        <v>51</v>
      </c>
      <c r="N750" s="5" t="n">
        <v>0</v>
      </c>
      <c r="O750" s="5" t="n">
        <v>8</v>
      </c>
      <c r="P750" s="8">
        <f>IF(AND(M878&lt;&gt;"",M878&gt;0),M878+N878+O878,"")</f>
        <v/>
      </c>
      <c r="Q750" s="11">
        <f>IF(AND(L878&lt;&gt;"",L878&gt;0,P878&lt;&gt;""),P878/L878,"")</f>
        <v/>
      </c>
      <c r="R750" s="16">
        <f>IF(AND(P878&lt;&gt;"",P878&gt;0),(I878+J878+K878)/P878,"")</f>
        <v/>
      </c>
    </row>
    <row r="751" ht="81" customHeight="1">
      <c r="A751" s="5" t="inlineStr">
        <is>
          <t>2026-05-03</t>
        </is>
      </c>
      <c r="B751" s="5" t="inlineStr">
        <is>
          <t>18周</t>
        </is>
      </c>
      <c r="C751" s="5" t="inlineStr">
        <is>
          <t>小红书</t>
        </is>
      </c>
      <c r="D751" s="5" t="n"/>
      <c r="E751" s="5" t="n"/>
      <c r="F751" s="5" t="inlineStr">
        <is>
          <t>https://www.xiaohongshu.com/discovery/item/69f720bd000000003502db01?xsec_token=CBC_BTQZgMR2gKzBtM-XD-VvTWrWKMRBtnBAOi1YF5sHU=&amp;xsec_source=app_share&amp;type=video</t>
        </is>
      </c>
      <c r="G751" s="5" t="inlineStr">
        <is>
          <t>492</t>
        </is>
      </c>
      <c r="H751" s="5" t="inlineStr">
        <is>
          <t>迪丽热巴</t>
        </is>
      </c>
      <c r="I751" s="5" t="n"/>
      <c r="J751" s="5" t="n"/>
      <c r="K751" s="5" t="n">
        <v>69.5</v>
      </c>
      <c r="L751" s="5" t="n">
        <v>566</v>
      </c>
      <c r="M751" s="5" t="n">
        <v>35</v>
      </c>
      <c r="N751" s="5" t="n">
        <v>0</v>
      </c>
      <c r="O751" s="5" t="n">
        <v>6</v>
      </c>
      <c r="P751" s="8">
        <f>IF(AND(M879&lt;&gt;"",M879&gt;0),M879+N879+O879,"")</f>
        <v/>
      </c>
      <c r="Q751" s="11">
        <f>IF(AND(L879&lt;&gt;"",L879&gt;0,P879&lt;&gt;""),P879/L879,"")</f>
        <v/>
      </c>
      <c r="R751" s="16">
        <f>IF(AND(P879&lt;&gt;"",P879&gt;0),(I879+J879+K879)/P879,"")</f>
        <v/>
      </c>
    </row>
    <row r="752" ht="81" customHeight="1">
      <c r="A752" s="5" t="inlineStr">
        <is>
          <t>2026-05-03</t>
        </is>
      </c>
      <c r="B752" s="5" t="inlineStr">
        <is>
          <t>18周</t>
        </is>
      </c>
      <c r="C752" s="5" t="inlineStr">
        <is>
          <t>小红书</t>
        </is>
      </c>
      <c r="D752" s="5" t="n"/>
      <c r="E752" s="5" t="n"/>
      <c r="F752" s="5" t="inlineStr">
        <is>
          <t>https://www.xiaohongshu.com/discovery/item/69f73225000000003503011b?xsec_token=CBC_BTQZgMR2gKzBtM-XD-VpLRa2B3yqoA1xtbHVbYsyI=&amp;xsec_source=app_share&amp;type=video</t>
        </is>
      </c>
      <c r="G752" s="5" t="inlineStr">
        <is>
          <t>489</t>
        </is>
      </c>
      <c r="H752" s="5" t="inlineStr">
        <is>
          <t>陈奕恒</t>
        </is>
      </c>
      <c r="I752" s="5" t="n"/>
      <c r="J752" s="5" t="n"/>
      <c r="K752" s="5" t="n">
        <v>53.5</v>
      </c>
      <c r="L752" s="5" t="n">
        <v>3213</v>
      </c>
      <c r="M752" s="5" t="n">
        <v>251</v>
      </c>
      <c r="N752" s="5" t="n">
        <v>41</v>
      </c>
      <c r="O752" s="5" t="n">
        <v>7</v>
      </c>
      <c r="P752" s="8">
        <f>IF(AND(M880&lt;&gt;"",M880&gt;0),M880+N880+O880,"")</f>
        <v/>
      </c>
      <c r="Q752" s="11">
        <f>IF(AND(L880&lt;&gt;"",L880&gt;0,P880&lt;&gt;""),P880/L880,"")</f>
        <v/>
      </c>
      <c r="R752" s="16">
        <f>IF(AND(P880&lt;&gt;"",P880&gt;0),(I880+J880+K880)/P880,"")</f>
        <v/>
      </c>
    </row>
    <row r="753" ht="81" customHeight="1">
      <c r="A753" s="5" t="inlineStr">
        <is>
          <t>2026-05-04</t>
        </is>
      </c>
      <c r="B753" s="5" t="inlineStr">
        <is>
          <t>19周</t>
        </is>
      </c>
      <c r="C753" s="5" t="inlineStr">
        <is>
          <t>小红书</t>
        </is>
      </c>
      <c r="D753" s="5" t="n"/>
      <c r="E753" s="5" t="n"/>
      <c r="F753" s="5" t="inlineStr">
        <is>
          <t>https://www.xiaohongshu.com/discovery/item/69f741ce000000002003a243?xsec_token=CBC_BTQZgMR2gKzBtM-XD-Vu_yNFT-r3WaSN7d3vNztok=&amp;xsec_source=app_share</t>
        </is>
      </c>
      <c r="G753" s="5" t="inlineStr">
        <is>
          <t>486</t>
        </is>
      </c>
      <c r="H753" s="5" t="inlineStr">
        <is>
          <t>穿搭</t>
        </is>
      </c>
      <c r="I753" s="5" t="n"/>
      <c r="J753" s="5" t="n"/>
      <c r="K753" s="5" t="n">
        <v>52.5</v>
      </c>
      <c r="L753" s="5" t="n">
        <v>15148</v>
      </c>
      <c r="M753" s="5" t="n">
        <v>1165</v>
      </c>
      <c r="N753" s="5" t="n">
        <v>194</v>
      </c>
      <c r="O753" s="5" t="n">
        <v>16</v>
      </c>
      <c r="P753" s="8">
        <f>IF(AND(M881&lt;&gt;"",M881&gt;0),M881+N881+O881,"")</f>
        <v/>
      </c>
      <c r="Q753" s="11">
        <f>IF(AND(L881&lt;&gt;"",L881&gt;0,P881&lt;&gt;""),P881/L881,"")</f>
        <v/>
      </c>
      <c r="R753" s="16">
        <f>IF(AND(P881&lt;&gt;"",P881&gt;0),(I881+J881+K881)/P881,"")</f>
        <v/>
      </c>
    </row>
    <row r="754" ht="81" customHeight="1">
      <c r="A754" s="5" t="inlineStr">
        <is>
          <t>2026-05-04</t>
        </is>
      </c>
      <c r="B754" s="5" t="inlineStr">
        <is>
          <t>19周</t>
        </is>
      </c>
      <c r="C754" s="5" t="inlineStr">
        <is>
          <t>快手</t>
        </is>
      </c>
      <c r="D754" s="5" t="n"/>
      <c r="E754" s="5" t="n"/>
      <c r="F754" s="5" t="inlineStr">
        <is>
          <t>https://v.kuaishou.com/Jpwc4ETA</t>
        </is>
      </c>
      <c r="G754" s="5" t="inlineStr">
        <is>
          <t>0002A1</t>
        </is>
      </c>
      <c r="H754" s="5" t="inlineStr">
        <is>
          <t>刘耀文</t>
        </is>
      </c>
      <c r="I754" s="5" t="n"/>
      <c r="J754" s="5" t="n"/>
      <c r="K754" s="5" t="n">
        <v>25.5</v>
      </c>
      <c r="L754" s="5" t="n">
        <v>532</v>
      </c>
      <c r="M754" s="5" t="n">
        <v>56</v>
      </c>
      <c r="N754" s="5" t="n">
        <v>2</v>
      </c>
      <c r="O754" s="5" t="n">
        <v>9</v>
      </c>
      <c r="P754" s="8">
        <f>IF(AND(M882&lt;&gt;"",M882&gt;0),M882+N882+O882,"")</f>
        <v/>
      </c>
      <c r="Q754" s="11">
        <f>IF(AND(L882&lt;&gt;"",L882&gt;0,P882&lt;&gt;""),P882/L882,"")</f>
        <v/>
      </c>
      <c r="R754" s="16">
        <f>IF(AND(P882&lt;&gt;"",P882&gt;0),(I882+J882+K882)/P882,"")</f>
        <v/>
      </c>
    </row>
    <row r="755" ht="81" customHeight="1">
      <c r="A755" s="5" t="inlineStr">
        <is>
          <t>2026-05-04</t>
        </is>
      </c>
      <c r="B755" s="5" t="inlineStr">
        <is>
          <t>19周</t>
        </is>
      </c>
      <c r="C755" s="5" t="inlineStr">
        <is>
          <t>抖音</t>
        </is>
      </c>
      <c r="D755" s="5" t="n"/>
      <c r="E755" s="5" t="n"/>
      <c r="F755" s="5" t="inlineStr">
        <is>
          <t>https://v.douyin.com/fTWV_nDi2So/</t>
        </is>
      </c>
      <c r="G755" s="5" t="inlineStr">
        <is>
          <t>492</t>
        </is>
      </c>
      <c r="H755" s="5" t="inlineStr">
        <is>
          <t>杨博文</t>
        </is>
      </c>
      <c r="I755" s="5" t="n"/>
      <c r="J755" s="5" t="n"/>
      <c r="K755" s="5" t="n">
        <v>69.5</v>
      </c>
      <c r="L755" s="5" t="n">
        <v>2600</v>
      </c>
      <c r="M755" s="5" t="n">
        <v>445</v>
      </c>
      <c r="N755" s="5" t="n">
        <v>12</v>
      </c>
      <c r="O755" s="5" t="n">
        <v>35</v>
      </c>
      <c r="P755" s="8">
        <f>IF(AND(M883&lt;&gt;"",M883&gt;0),M883+N883+O883,"")</f>
        <v/>
      </c>
      <c r="Q755" s="11">
        <f>IF(AND(L883&lt;&gt;"",L883&gt;0,P883&lt;&gt;""),P883/L883,"")</f>
        <v/>
      </c>
      <c r="R755" s="16">
        <f>IF(AND(P883&lt;&gt;"",P883&gt;0),(I883+J883+K883)/P883,"")</f>
        <v/>
      </c>
    </row>
    <row r="756" ht="27" customHeight="1">
      <c r="A756" s="5" t="inlineStr">
        <is>
          <t>2026-05-04</t>
        </is>
      </c>
      <c r="B756" s="5" t="inlineStr">
        <is>
          <t>19周</t>
        </is>
      </c>
      <c r="C756" s="5" t="inlineStr">
        <is>
          <t>抖音</t>
        </is>
      </c>
      <c r="D756" s="5" t="n"/>
      <c r="E756" s="5" t="n"/>
      <c r="F756" s="5" t="inlineStr">
        <is>
          <t>https://v.douyin.com/waHZ539Sfg4/</t>
        </is>
      </c>
      <c r="G756" s="5" t="inlineStr">
        <is>
          <t>459</t>
        </is>
      </c>
      <c r="H756" s="5" t="inlineStr">
        <is>
          <t>穿搭</t>
        </is>
      </c>
      <c r="I756" s="5" t="n">
        <v>100</v>
      </c>
      <c r="J756" s="5" t="n"/>
      <c r="K756" s="5" t="n">
        <v>46.5</v>
      </c>
      <c r="L756" s="5" t="n">
        <v>11000</v>
      </c>
      <c r="M756" s="5" t="n">
        <v>418</v>
      </c>
      <c r="N756" s="5" t="n">
        <v>27</v>
      </c>
      <c r="O756" s="5" t="n">
        <v>25</v>
      </c>
      <c r="P756" s="8">
        <f>IF(AND(M884&lt;&gt;"",M884&gt;0),M884+N884+O884,"")</f>
        <v/>
      </c>
      <c r="Q756" s="11">
        <f>IF(AND(L884&lt;&gt;"",L884&gt;0,P884&lt;&gt;""),P884/L884,"")</f>
        <v/>
      </c>
      <c r="R756" s="16">
        <f>IF(AND(P884&lt;&gt;"",P884&gt;0),(I884+J884+K884)/P884,"")</f>
        <v/>
      </c>
    </row>
    <row r="757" ht="27" customHeight="1">
      <c r="A757" s="5" t="inlineStr">
        <is>
          <t>2026-05-04</t>
        </is>
      </c>
      <c r="B757" s="5" t="inlineStr">
        <is>
          <t>19周</t>
        </is>
      </c>
      <c r="C757" s="5" t="inlineStr">
        <is>
          <t>抖音</t>
        </is>
      </c>
      <c r="D757" s="5" t="n"/>
      <c r="E757" s="5" t="n"/>
      <c r="F757" s="5" t="inlineStr">
        <is>
          <t>https://v.douyin.com/EEhleM4UrW4/</t>
        </is>
      </c>
      <c r="G757" s="5" t="inlineStr">
        <is>
          <t>492</t>
        </is>
      </c>
      <c r="H757" s="5" t="inlineStr">
        <is>
          <t>通勤穿搭</t>
        </is>
      </c>
      <c r="I757" s="5" t="n">
        <v>200</v>
      </c>
      <c r="J757" s="5" t="n"/>
      <c r="K757" s="5" t="n">
        <v>69.5</v>
      </c>
      <c r="L757" s="5" t="n">
        <v>57000</v>
      </c>
      <c r="M757" s="5" t="n">
        <v>4475</v>
      </c>
      <c r="N757" s="5" t="n">
        <v>933</v>
      </c>
      <c r="O757" s="5" t="n">
        <v>73</v>
      </c>
      <c r="P757" s="8">
        <f>IF(AND(M885&lt;&gt;"",M885&gt;0),M885+N885+O885,"")</f>
        <v/>
      </c>
      <c r="Q757" s="11">
        <f>IF(AND(L885&lt;&gt;"",L885&gt;0,P885&lt;&gt;""),P885/L885,"")</f>
        <v/>
      </c>
      <c r="R757" s="16">
        <f>IF(AND(P885&lt;&gt;"",P885&gt;0),(I885+J885+K885)/P885,"")</f>
        <v/>
      </c>
    </row>
    <row r="758" ht="27" customHeight="1">
      <c r="A758" s="5" t="inlineStr">
        <is>
          <t>2026-05-04</t>
        </is>
      </c>
      <c r="B758" s="5" t="inlineStr">
        <is>
          <t>19周</t>
        </is>
      </c>
      <c r="C758" s="5" t="inlineStr">
        <is>
          <t>小红书</t>
        </is>
      </c>
      <c r="D758" s="5" t="n"/>
      <c r="E758" s="5" t="n"/>
      <c r="F758" s="5" t="inlineStr">
        <is>
          <t>https://www.xiaohongshu.com/discovery/item/69f87509000000001a035061?xsec_token=CBqm3nCWlLfbdsQ8Ui5x46mQ-N3JaBQCf8Pp9Xnn0fYKE=&amp;xsec_source=app_share</t>
        </is>
      </c>
      <c r="G758" s="5" t="inlineStr">
        <is>
          <t>492</t>
        </is>
      </c>
      <c r="H758" s="5" t="inlineStr">
        <is>
          <t>通勤穿搭</t>
        </is>
      </c>
      <c r="I758" s="5" t="n"/>
      <c r="J758" s="5" t="n"/>
      <c r="K758" s="5" t="n">
        <v>69.5</v>
      </c>
      <c r="L758" s="5" t="n">
        <v>7555</v>
      </c>
      <c r="M758" s="5" t="n">
        <v>426</v>
      </c>
      <c r="N758" s="5" t="n">
        <v>103</v>
      </c>
      <c r="O758" s="5" t="n">
        <v>23</v>
      </c>
      <c r="P758" s="8">
        <f>IF(AND(M886&lt;&gt;"",M886&gt;0),M886+N886+O886,"")</f>
        <v/>
      </c>
      <c r="Q758" s="11">
        <f>IF(AND(L886&lt;&gt;"",L886&gt;0,P886&lt;&gt;""),P886/L886,"")</f>
        <v/>
      </c>
      <c r="R758" s="16">
        <f>IF(AND(P886&lt;&gt;"",P886&gt;0),(I886+J886+K886)/P886,"")</f>
        <v/>
      </c>
    </row>
    <row r="759" ht="27" customHeight="1">
      <c r="A759" s="5" t="inlineStr">
        <is>
          <t>2026-05-04</t>
        </is>
      </c>
      <c r="B759" s="5" t="inlineStr">
        <is>
          <t>19周</t>
        </is>
      </c>
      <c r="C759" s="5" t="inlineStr">
        <is>
          <t>小红书</t>
        </is>
      </c>
      <c r="D759" s="5" t="n"/>
      <c r="E759" s="5" t="n"/>
      <c r="F759" s="5" t="inlineStr">
        <is>
          <t>https://www.xiaohongshu.com/discovery/item/69f87b660000000022029ede?xsec_token=CBqm3nCWlLfbdsQ8Ui5x46mfDrSj1UoPiLvqizi7i4W2I=&amp;xsec_source=app_share&amp;type=video</t>
        </is>
      </c>
      <c r="G759" s="5" t="inlineStr">
        <is>
          <t>0002A1</t>
        </is>
      </c>
      <c r="H759" s="5" t="inlineStr">
        <is>
          <t>刘耀文</t>
        </is>
      </c>
      <c r="I759" s="5" t="n"/>
      <c r="J759" s="5" t="n"/>
      <c r="K759" s="5" t="n">
        <v>25.5</v>
      </c>
      <c r="L759" s="5" t="n">
        <v>730</v>
      </c>
      <c r="M759" s="5" t="n">
        <v>57</v>
      </c>
      <c r="N759" s="5" t="n">
        <v>10</v>
      </c>
      <c r="O759" s="5" t="n">
        <v>1</v>
      </c>
      <c r="P759" s="8">
        <f>IF(AND(M887&lt;&gt;"",M887&gt;0),M887+N887+O887,"")</f>
        <v/>
      </c>
      <c r="Q759" s="11">
        <f>IF(AND(L887&lt;&gt;"",L887&gt;0,P887&lt;&gt;""),P887/L887,"")</f>
        <v/>
      </c>
      <c r="R759" s="16">
        <f>IF(AND(P887&lt;&gt;"",P887&gt;0),(I887+J887+K887)/P887,"")</f>
        <v/>
      </c>
    </row>
    <row r="760" ht="81" customHeight="1">
      <c r="A760" s="5" t="inlineStr">
        <is>
          <t>2026-05-05</t>
        </is>
      </c>
      <c r="B760" s="5" t="inlineStr">
        <is>
          <t>19周</t>
        </is>
      </c>
      <c r="C760" s="5" t="inlineStr">
        <is>
          <t>小红书</t>
        </is>
      </c>
      <c r="D760" s="5" t="n"/>
      <c r="E760" s="5" t="n"/>
      <c r="F760" s="5" t="inlineStr">
        <is>
          <t>https://www.xiaohongshu.com/discovery/item/69f8955d00000000360304fe?xsec_token=CBqm3nCWlLfbdsQ8Ui5x46mQ8lCfr0jQ-wJ3KIXkRUCYY=&amp;xsec_source=app_share&amp;type=video</t>
        </is>
      </c>
      <c r="G760" s="5" t="inlineStr">
        <is>
          <t>0002A1</t>
        </is>
      </c>
      <c r="H760" s="5" t="inlineStr">
        <is>
          <t>购物开箱</t>
        </is>
      </c>
      <c r="I760" s="5" t="n">
        <v>300</v>
      </c>
      <c r="J760" s="5" t="n"/>
      <c r="K760" s="5" t="n">
        <v>25.5</v>
      </c>
      <c r="L760" s="5" t="n">
        <v>4009</v>
      </c>
      <c r="M760" s="5" t="n">
        <v>227</v>
      </c>
      <c r="N760" s="5" t="n">
        <v>87</v>
      </c>
      <c r="O760" s="5" t="n">
        <v>19</v>
      </c>
      <c r="P760" s="8">
        <f>IF(AND(M888&lt;&gt;"",M888&gt;0),M888+N888+O888,"")</f>
        <v/>
      </c>
      <c r="Q760" s="11">
        <f>IF(AND(L888&lt;&gt;"",L888&gt;0,P888&lt;&gt;""),P888/L888,"")</f>
        <v/>
      </c>
      <c r="R760" s="16">
        <f>IF(AND(P888&lt;&gt;"",P888&gt;0),(I888+J888+K888)/P888,"")</f>
        <v/>
      </c>
    </row>
    <row r="761" ht="67.5" customHeight="1">
      <c r="A761" s="5" t="inlineStr">
        <is>
          <t>2026-05-05</t>
        </is>
      </c>
      <c r="B761" s="5" t="inlineStr">
        <is>
          <t>19周</t>
        </is>
      </c>
      <c r="C761" s="5" t="inlineStr">
        <is>
          <t>小红书</t>
        </is>
      </c>
      <c r="D761" s="5" t="n"/>
      <c r="E761" s="5" t="n"/>
      <c r="F761" s="5" t="inlineStr">
        <is>
          <t>https://www.xiaohongshu.com/discovery/item/69f97f17000000003701d4aa?xsec_token=CB1HP2emKRn6IPwyyE6vDCX0B2cEv3v6bTJlfk2rgE1K8=&amp;xsec_source=app_share</t>
        </is>
      </c>
      <c r="G761" s="5" t="inlineStr">
        <is>
          <t>0001A1</t>
        </is>
      </c>
      <c r="H761" s="5" t="inlineStr">
        <is>
          <t>赵一博</t>
        </is>
      </c>
      <c r="I761" s="5" t="n"/>
      <c r="J761" s="5" t="n"/>
      <c r="K761" s="5" t="n">
        <v>6.6836</v>
      </c>
      <c r="L761" s="5" t="n">
        <v>289</v>
      </c>
      <c r="M761" s="5" t="n">
        <v>19</v>
      </c>
      <c r="N761" s="5" t="n">
        <v>1</v>
      </c>
      <c r="O761" s="5" t="n">
        <v>3</v>
      </c>
      <c r="P761" s="8">
        <f>IF(AND(M889&lt;&gt;"",M889&gt;0),M889+N889+O889,"")</f>
        <v/>
      </c>
      <c r="Q761" s="11">
        <f>IF(AND(L889&lt;&gt;"",L889&gt;0,P889&lt;&gt;""),P889/L889,"")</f>
        <v/>
      </c>
      <c r="R761" s="16">
        <f>IF(AND(P889&lt;&gt;"",P889&gt;0),(I889+J889+K889)/P889,"")</f>
        <v/>
      </c>
    </row>
    <row r="762">
      <c r="A762" s="5" t="inlineStr">
        <is>
          <t>2026-05-06</t>
        </is>
      </c>
      <c r="B762" s="5" t="inlineStr">
        <is>
          <t>19周</t>
        </is>
      </c>
      <c r="C762" s="5" t="inlineStr">
        <is>
          <t>小红书</t>
        </is>
      </c>
      <c r="D762" s="5" t="n"/>
      <c r="E762" s="5" t="n"/>
      <c r="F762" s="5" t="inlineStr">
        <is>
          <t>https://www.xiaohongshu.com/discovery/item/69fa088a0000000037037aa9?xsec_token=CBMm0phxnqN1xmw2OI64YqOUie5cqFUQRPQz2tOH-2U8o=&amp;xsec_source=app_share&amp;type=video</t>
        </is>
      </c>
      <c r="G762" s="5" t="inlineStr">
        <is>
          <t>0002A1</t>
        </is>
      </c>
      <c r="H762" s="5" t="inlineStr">
        <is>
          <t>口播</t>
        </is>
      </c>
      <c r="I762" s="5" t="n">
        <v>550</v>
      </c>
      <c r="J762" s="5" t="n"/>
      <c r="K762" s="5" t="n">
        <v>25.5</v>
      </c>
      <c r="L762" s="5" t="n">
        <v>22055</v>
      </c>
      <c r="M762" s="5" t="n">
        <v>1416</v>
      </c>
      <c r="N762" s="5" t="n">
        <v>569</v>
      </c>
      <c r="O762" s="5" t="n">
        <v>50</v>
      </c>
      <c r="P762" s="8">
        <f>IF(AND(M890&lt;&gt;"",M890&gt;0),M890+N890+O890,"")</f>
        <v/>
      </c>
      <c r="Q762" s="11">
        <f>IF(AND(L890&lt;&gt;"",L890&gt;0,P890&lt;&gt;""),P890/L890,"")</f>
        <v/>
      </c>
      <c r="R762" s="16">
        <f>IF(AND(P890&lt;&gt;"",P890&gt;0),(I890+J890+K890)/P890,"")</f>
        <v/>
      </c>
    </row>
    <row r="763" ht="27" customHeight="1">
      <c r="A763" s="5" t="inlineStr">
        <is>
          <t>2026-05-07</t>
        </is>
      </c>
      <c r="B763" s="5" t="inlineStr">
        <is>
          <t>19周</t>
        </is>
      </c>
      <c r="C763" s="5" t="inlineStr">
        <is>
          <t>小红书</t>
        </is>
      </c>
      <c r="D763" s="5" t="n"/>
      <c r="E763" s="5" t="n"/>
      <c r="F763" s="5" t="inlineStr">
        <is>
          <t>https://www.xiaohongshu.com/discovery/item/69fb40bf0000000038036e1e?xsec_token=CB4Y1suVyDJsOkI9LXNRBuM9O4hpjNTXl0u_hBha6AQL8=&amp;xsec_source=app_share&amp;type=video</t>
        </is>
      </c>
      <c r="G763" s="5" t="inlineStr">
        <is>
          <t>0001A1</t>
        </is>
      </c>
      <c r="H763" s="5" t="inlineStr">
        <is>
          <t>穿搭</t>
        </is>
      </c>
      <c r="I763" s="5" t="n"/>
      <c r="J763" s="5" t="n"/>
      <c r="K763" s="5" t="n">
        <v>6.6836</v>
      </c>
      <c r="L763" s="5" t="n">
        <v>3702</v>
      </c>
      <c r="M763" s="5" t="n">
        <v>185</v>
      </c>
      <c r="N763" s="5" t="n">
        <v>39</v>
      </c>
      <c r="O763" s="5" t="n">
        <v>6</v>
      </c>
      <c r="P763" s="8">
        <f>IF(AND(M891&lt;&gt;"",M891&gt;0),M891+N891+O891,"")</f>
        <v/>
      </c>
      <c r="Q763" s="11">
        <f>IF(AND(L891&lt;&gt;"",L891&gt;0,P891&lt;&gt;""),P891/L891,"")</f>
        <v/>
      </c>
      <c r="R763" s="16">
        <f>IF(AND(P891&lt;&gt;"",P891&gt;0),(I891+J891+K891)/P891,"")</f>
        <v/>
      </c>
    </row>
    <row r="764" ht="27" customHeight="1">
      <c r="A764" s="5" t="inlineStr">
        <is>
          <t>2026-05-07</t>
        </is>
      </c>
      <c r="B764" s="5" t="inlineStr">
        <is>
          <t>19周</t>
        </is>
      </c>
      <c r="C764" s="5" t="inlineStr">
        <is>
          <t>抖音</t>
        </is>
      </c>
      <c r="D764" s="5" t="n"/>
      <c r="E764" s="5" t="n"/>
      <c r="F764" s="5" t="inlineStr">
        <is>
          <t>https://v.douyin.com/yA4vpjMr-7o/</t>
        </is>
      </c>
      <c r="G764" s="5" t="inlineStr">
        <is>
          <t>0002A1</t>
        </is>
      </c>
      <c r="H764" s="5" t="inlineStr">
        <is>
          <t>穿搭</t>
        </is>
      </c>
      <c r="I764" s="5" t="n"/>
      <c r="J764" s="5" t="n"/>
      <c r="K764" s="5" t="n">
        <v>25.5</v>
      </c>
      <c r="L764" s="5" t="n">
        <v>3600</v>
      </c>
      <c r="M764" s="5" t="n">
        <v>195</v>
      </c>
      <c r="N764" s="5" t="n">
        <v>58</v>
      </c>
      <c r="O764" s="5" t="n">
        <v>6</v>
      </c>
      <c r="P764" s="8">
        <f>IF(AND(M892&lt;&gt;"",M892&gt;0),M892+N892+O892,"")</f>
        <v/>
      </c>
      <c r="Q764" s="11">
        <f>IF(AND(L892&lt;&gt;"",L892&gt;0,P892&lt;&gt;""),P892/L892,"")</f>
        <v/>
      </c>
      <c r="R764" s="16">
        <f>IF(AND(P892&lt;&gt;"",P892&gt;0),(I892+J892+K892)/P892,"")</f>
        <v/>
      </c>
    </row>
    <row r="765" ht="27" customHeight="1">
      <c r="A765" s="5" t="inlineStr">
        <is>
          <t>2026-05-08</t>
        </is>
      </c>
      <c r="B765" s="5" t="inlineStr">
        <is>
          <t>19周</t>
        </is>
      </c>
      <c r="C765" s="5" t="inlineStr">
        <is>
          <t>小红书</t>
        </is>
      </c>
      <c r="D765" s="5" t="n"/>
      <c r="E765" s="5" t="n"/>
      <c r="F765" s="5" t="inlineStr">
        <is>
          <t>https://www.xiaohongshu.com/discovery/item/69fc2a96000000003700fb1c?xsec_token=CBwDHhdQ5qkNq52_RlBhAQp_TP8bmVDyl4ZC6kukTnIT8=&amp;xsec_source=app_share&amp;type=video</t>
        </is>
      </c>
      <c r="G765" s="5" t="inlineStr">
        <is>
          <t>0002A1</t>
        </is>
      </c>
      <c r="H765" s="5" t="inlineStr">
        <is>
          <t>穿搭</t>
        </is>
      </c>
      <c r="I765" s="5" t="n"/>
      <c r="J765" s="5" t="n"/>
      <c r="K765" s="5" t="n">
        <v>25.5</v>
      </c>
      <c r="L765" s="5" t="n">
        <v>1696</v>
      </c>
      <c r="M765" s="5" t="n">
        <v>113</v>
      </c>
      <c r="N765" s="5" t="n">
        <v>42</v>
      </c>
      <c r="O765" s="5" t="n">
        <v>3</v>
      </c>
      <c r="P765" s="8">
        <f>IF(AND(M893&lt;&gt;"",M893&gt;0),M893+N893+O893,"")</f>
        <v/>
      </c>
      <c r="Q765" s="11">
        <f>IF(AND(L893&lt;&gt;"",L893&gt;0,P893&lt;&gt;""),P893/L893,"")</f>
        <v/>
      </c>
      <c r="R765" s="16">
        <f>IF(AND(P893&lt;&gt;"",P893&gt;0),(I893+J893+K893)/P893,"")</f>
        <v/>
      </c>
    </row>
    <row r="766" ht="81" customHeight="1">
      <c r="A766" s="5" t="inlineStr">
        <is>
          <t>2026-05-08</t>
        </is>
      </c>
      <c r="B766" s="5" t="inlineStr">
        <is>
          <t>19周</t>
        </is>
      </c>
      <c r="C766" s="5" t="inlineStr">
        <is>
          <t>抖音</t>
        </is>
      </c>
      <c r="D766" s="5" t="n"/>
      <c r="E766" s="5" t="n"/>
      <c r="F766" s="5" t="inlineStr">
        <is>
          <t>https://v.douyin.com/QmRsrOEI_3w/ v@f.Bt :0pm</t>
        </is>
      </c>
      <c r="G766" s="5" t="inlineStr">
        <is>
          <t>492</t>
        </is>
      </c>
      <c r="H766" s="5" t="inlineStr">
        <is>
          <t>迪丽热巴</t>
        </is>
      </c>
      <c r="I766" s="5" t="n"/>
      <c r="J766" s="5" t="n"/>
      <c r="K766" s="5" t="n">
        <v>69.5</v>
      </c>
      <c r="L766" s="5" t="n">
        <v>1309</v>
      </c>
      <c r="M766" s="5" t="n">
        <v>76</v>
      </c>
      <c r="N766" s="5" t="n">
        <v>0</v>
      </c>
      <c r="O766" s="5" t="n">
        <v>7</v>
      </c>
      <c r="P766" s="8">
        <f>IF(AND(M894&lt;&gt;"",M894&gt;0),M894+N894+O894,"")</f>
        <v/>
      </c>
      <c r="Q766" s="11">
        <f>IF(AND(L894&lt;&gt;"",L894&gt;0,P894&lt;&gt;""),P894/L894,"")</f>
        <v/>
      </c>
      <c r="R766" s="16">
        <f>IF(AND(P894&lt;&gt;"",P894&gt;0),(I894+J894+K894)/P894,"")</f>
        <v/>
      </c>
    </row>
    <row r="767" ht="67.5" customHeight="1">
      <c r="A767" s="5" t="inlineStr">
        <is>
          <t>2026-05-08</t>
        </is>
      </c>
      <c r="B767" s="5" t="inlineStr">
        <is>
          <t>19周</t>
        </is>
      </c>
      <c r="C767" s="5" t="inlineStr">
        <is>
          <t>抖音</t>
        </is>
      </c>
      <c r="D767" s="5" t="n"/>
      <c r="E767" s="5" t="n"/>
      <c r="F767" s="5" t="inlineStr">
        <is>
          <t>https://v.douyin.com/MvIneTDpFNQ/</t>
        </is>
      </c>
      <c r="G767" s="5" t="inlineStr">
        <is>
          <t>0002A1</t>
        </is>
      </c>
      <c r="H767" s="5" t="inlineStr">
        <is>
          <t>口播</t>
        </is>
      </c>
      <c r="I767" s="5" t="n">
        <v>200</v>
      </c>
      <c r="J767" s="5" t="n"/>
      <c r="K767" s="5" t="n">
        <v>25.5</v>
      </c>
      <c r="L767" s="5" t="n">
        <v>3516</v>
      </c>
      <c r="M767" s="5" t="n">
        <v>305</v>
      </c>
      <c r="N767" s="5" t="n">
        <v>144</v>
      </c>
      <c r="O767" s="5" t="n">
        <v>44</v>
      </c>
      <c r="P767" s="8">
        <f>IF(AND(M895&lt;&gt;"",M895&gt;0),M895+N895+O895,"")</f>
        <v/>
      </c>
      <c r="Q767" s="11">
        <f>IF(AND(L895&lt;&gt;"",L895&gt;0,P895&lt;&gt;""),P895/L895,"")</f>
        <v/>
      </c>
      <c r="R767" s="16">
        <f>IF(AND(P895&lt;&gt;"",P895&gt;0),(I895+J895+K895)/P895,"")</f>
        <v/>
      </c>
    </row>
    <row r="768" ht="27" customHeight="1">
      <c r="A768" s="5" t="inlineStr">
        <is>
          <t>2026-05-08</t>
        </is>
      </c>
      <c r="B768" s="5" t="inlineStr">
        <is>
          <t>19周</t>
        </is>
      </c>
      <c r="C768" s="5" t="inlineStr">
        <is>
          <t>抖音</t>
        </is>
      </c>
      <c r="D768" s="5" t="n"/>
      <c r="E768" s="5" t="n"/>
      <c r="F768" s="5" t="inlineStr">
        <is>
          <t>https://v.douyin.com/xAqr7IwrSew/</t>
        </is>
      </c>
      <c r="G768" s="5" t="inlineStr">
        <is>
          <t>0002A1</t>
        </is>
      </c>
      <c r="H768" s="5" t="inlineStr">
        <is>
          <t>口播</t>
        </is>
      </c>
      <c r="I768" s="5" t="n">
        <v>200</v>
      </c>
      <c r="J768" s="5" t="n"/>
      <c r="K768" s="5" t="n">
        <v>25.5</v>
      </c>
      <c r="L768" s="5" t="n">
        <v>46000</v>
      </c>
      <c r="M768" s="5" t="n">
        <v>1343</v>
      </c>
      <c r="N768" s="5" t="n">
        <v>514</v>
      </c>
      <c r="O768" s="5" t="n">
        <v>82</v>
      </c>
      <c r="P768" s="8">
        <f>IF(AND(M896&lt;&gt;"",M896&gt;0),M896+N896+O896,"")</f>
        <v/>
      </c>
      <c r="Q768" s="11">
        <f>IF(AND(L896&lt;&gt;"",L896&gt;0,P896&lt;&gt;""),P896/L896,"")</f>
        <v/>
      </c>
      <c r="R768" s="16">
        <f>IF(AND(P896&lt;&gt;"",P896&gt;0),(I896+J896+K896)/P896,"")</f>
        <v/>
      </c>
    </row>
    <row r="769" ht="27" customHeight="1">
      <c r="A769" s="5" t="inlineStr">
        <is>
          <t>2026-05-09</t>
        </is>
      </c>
      <c r="B769" s="5" t="inlineStr">
        <is>
          <t>19周</t>
        </is>
      </c>
      <c r="C769" s="5" t="inlineStr">
        <is>
          <t>小红书</t>
        </is>
      </c>
      <c r="D769" s="5" t="n"/>
      <c r="E769" s="5" t="n"/>
      <c r="F769" s="5" t="inlineStr">
        <is>
          <t>https://www.xiaohongshu.com/discovery/item/69fde1bd000000003502ba74?xsec_token=CB24wkV2pSWNuAe3YdDtUwpFjWgFcmIALiJ9PYhsuAM54=&amp;xsec_source=app_share&amp;type=video</t>
        </is>
      </c>
      <c r="G769" s="5" t="inlineStr">
        <is>
          <t>0002A1</t>
        </is>
      </c>
      <c r="H769" s="5" t="inlineStr">
        <is>
          <t>购物开箱</t>
        </is>
      </c>
      <c r="I769" s="5" t="n">
        <v>20</v>
      </c>
      <c r="J769" s="5" t="n"/>
      <c r="K769" s="5" t="n">
        <v>25.5</v>
      </c>
      <c r="L769" s="5" t="n">
        <v>1241</v>
      </c>
      <c r="M769" s="5" t="n">
        <v>152</v>
      </c>
      <c r="N769" s="5" t="n">
        <v>58</v>
      </c>
      <c r="O769" s="5" t="n">
        <v>12</v>
      </c>
      <c r="P769" s="8">
        <f>IF(AND(M897&lt;&gt;"",M897&gt;0),M897+N897+O897,"")</f>
        <v/>
      </c>
      <c r="Q769" s="11">
        <f>IF(AND(L897&lt;&gt;"",L897&gt;0,P897&lt;&gt;""),P897/L897,"")</f>
        <v/>
      </c>
      <c r="R769" s="16">
        <f>IF(AND(P897&lt;&gt;"",P897&gt;0),(I897+J897+K897)/P897,"")</f>
        <v/>
      </c>
    </row>
    <row r="770" ht="27" customHeight="1">
      <c r="A770" s="5" t="inlineStr">
        <is>
          <t>2026-05-09</t>
        </is>
      </c>
      <c r="B770" s="5" t="inlineStr">
        <is>
          <t>19周</t>
        </is>
      </c>
      <c r="C770" s="5" t="inlineStr">
        <is>
          <t>抖音</t>
        </is>
      </c>
      <c r="D770" s="5" t="n"/>
      <c r="E770" s="5" t="n"/>
      <c r="F770" s="5" t="inlineStr">
        <is>
          <t>https://v.douyin.com/8oYvqr-BSw4/</t>
        </is>
      </c>
      <c r="G770" s="5" t="inlineStr">
        <is>
          <t>489</t>
        </is>
      </c>
      <c r="H770" s="5" t="inlineStr">
        <is>
          <t>星邱</t>
        </is>
      </c>
      <c r="I770" s="5" t="n"/>
      <c r="J770" s="5" t="n"/>
      <c r="K770" s="5" t="n">
        <v>53.5</v>
      </c>
      <c r="L770" s="5" t="n">
        <v>3637</v>
      </c>
      <c r="M770" s="5" t="n">
        <v>228</v>
      </c>
      <c r="N770" s="5" t="n">
        <v>0</v>
      </c>
      <c r="O770" s="5" t="n">
        <v>22</v>
      </c>
      <c r="P770" s="8">
        <f>IF(AND(M898&lt;&gt;"",M898&gt;0),M898+N898+O898,"")</f>
        <v/>
      </c>
      <c r="Q770" s="11">
        <f>IF(AND(L898&lt;&gt;"",L898&gt;0,P898&lt;&gt;""),P898/L898,"")</f>
        <v/>
      </c>
      <c r="R770" s="16">
        <f>IF(AND(P898&lt;&gt;"",P898&gt;0),(I898+J898+K898)/P898,"")</f>
        <v/>
      </c>
    </row>
    <row r="771" ht="27" customHeight="1">
      <c r="A771" s="5" t="inlineStr">
        <is>
          <t>2026-05-09</t>
        </is>
      </c>
      <c r="B771" s="5" t="inlineStr">
        <is>
          <t>19周</t>
        </is>
      </c>
      <c r="C771" s="5" t="inlineStr">
        <is>
          <t>抖音</t>
        </is>
      </c>
      <c r="D771" s="5" t="n"/>
      <c r="E771" s="5" t="n"/>
      <c r="F771" s="5" t="inlineStr">
        <is>
          <t>https://v.douyin.com/k1aLW7H5XT0/</t>
        </is>
      </c>
      <c r="G771" s="5" t="inlineStr">
        <is>
          <t>489</t>
        </is>
      </c>
      <c r="H771" s="5" t="inlineStr">
        <is>
          <t>赵露思</t>
        </is>
      </c>
      <c r="I771" s="5" t="n"/>
      <c r="J771" s="5" t="n"/>
      <c r="K771" s="5" t="n">
        <v>53.5</v>
      </c>
      <c r="L771" s="5" t="n">
        <v>8722</v>
      </c>
      <c r="M771" s="5" t="n">
        <v>225</v>
      </c>
      <c r="N771" s="5" t="n">
        <v>11</v>
      </c>
      <c r="O771" s="5" t="n">
        <v>28</v>
      </c>
      <c r="P771" s="8">
        <f>IF(AND(M899&lt;&gt;"",M899&gt;0),M899+N899+O899,"")</f>
        <v/>
      </c>
      <c r="Q771" s="11">
        <f>IF(AND(L899&lt;&gt;"",L899&gt;0,P899&lt;&gt;""),P899/L899,"")</f>
        <v/>
      </c>
      <c r="R771" s="16">
        <f>IF(AND(P899&lt;&gt;"",P899&gt;0),(I899+J899+K899)/P899,"")</f>
        <v/>
      </c>
    </row>
    <row r="772" ht="27" customHeight="1">
      <c r="A772" s="5" t="inlineStr">
        <is>
          <t>2026-05-09</t>
        </is>
      </c>
      <c r="B772" s="5" t="inlineStr">
        <is>
          <t>19周</t>
        </is>
      </c>
      <c r="C772" s="5" t="inlineStr">
        <is>
          <t>抖音</t>
        </is>
      </c>
      <c r="D772" s="5" t="n"/>
      <c r="E772" s="5" t="n"/>
      <c r="F772" s="5" t="inlineStr">
        <is>
          <t>https://v.douyin.com/eF53SnfePNw/</t>
        </is>
      </c>
      <c r="G772" s="5" t="inlineStr">
        <is>
          <t>495</t>
        </is>
      </c>
      <c r="H772" s="5" t="inlineStr">
        <is>
          <t>通勤穿搭</t>
        </is>
      </c>
      <c r="I772" s="5" t="n">
        <v>50</v>
      </c>
      <c r="J772" s="5" t="n"/>
      <c r="K772" s="5" t="n">
        <v>93</v>
      </c>
      <c r="L772" s="5" t="n">
        <v>3673</v>
      </c>
      <c r="M772" s="5" t="n">
        <v>67</v>
      </c>
      <c r="N772" s="5" t="n">
        <v>6</v>
      </c>
      <c r="O772" s="5" t="n">
        <v>5</v>
      </c>
      <c r="P772" s="8">
        <f>IF(AND(M900&lt;&gt;"",M900&gt;0),M900+N900+O900,"")</f>
        <v/>
      </c>
      <c r="Q772" s="11">
        <f>IF(AND(L900&lt;&gt;"",L900&gt;0,P900&lt;&gt;""),P900/L900,"")</f>
        <v/>
      </c>
      <c r="R772" s="16">
        <f>IF(AND(P900&lt;&gt;"",P900&gt;0),(I900+J900+K900)/P900,"")</f>
        <v/>
      </c>
    </row>
    <row r="773" ht="27" customHeight="1">
      <c r="A773" s="5" t="inlineStr">
        <is>
          <t>2026-05-09</t>
        </is>
      </c>
      <c r="B773" s="5" t="inlineStr">
        <is>
          <t>19周</t>
        </is>
      </c>
      <c r="C773" s="5" t="inlineStr">
        <is>
          <t>小红书</t>
        </is>
      </c>
      <c r="D773" s="5" t="n"/>
      <c r="E773" s="5" t="n"/>
      <c r="F773" s="5" t="inlineStr">
        <is>
          <t>https://www.xiaohongshu.com/discovery/item/69ff086a000000001f004f30?xsec_token=CBbzw6oVALB8efNKkbd50w0oUHZv-xduGvSrng0iPwOvw=&amp;xsec_source=app_share&amp;type=video</t>
        </is>
      </c>
      <c r="G773" s="5" t="inlineStr">
        <is>
          <t>492</t>
        </is>
      </c>
      <c r="H773" s="5" t="inlineStr">
        <is>
          <t>穿搭</t>
        </is>
      </c>
      <c r="I773" s="5" t="n"/>
      <c r="J773" s="5" t="n"/>
      <c r="K773" s="5" t="n">
        <v>69.5</v>
      </c>
      <c r="L773" s="5" t="n">
        <v>112858</v>
      </c>
      <c r="M773" s="5" t="n">
        <v>5102</v>
      </c>
      <c r="N773" s="5" t="n">
        <v>1341</v>
      </c>
      <c r="O773" s="5" t="n">
        <v>129</v>
      </c>
      <c r="P773" s="8">
        <f>IF(AND(M901&lt;&gt;"",M901&gt;0),M901+N901+O901,"")</f>
        <v/>
      </c>
      <c r="Q773" s="11">
        <f>IF(AND(L901&lt;&gt;"",L901&gt;0,P901&lt;&gt;""),P901/L901,"")</f>
        <v/>
      </c>
      <c r="R773" s="16">
        <f>IF(AND(P901&lt;&gt;"",P901&gt;0),(I901+J901+K901)/P901,"")</f>
        <v/>
      </c>
    </row>
    <row r="774" ht="27" customHeight="1">
      <c r="A774" s="5" t="inlineStr">
        <is>
          <t>2026-05-10</t>
        </is>
      </c>
      <c r="B774" s="5" t="inlineStr">
        <is>
          <t>19周</t>
        </is>
      </c>
      <c r="C774" s="5" t="inlineStr">
        <is>
          <t>小红书</t>
        </is>
      </c>
      <c r="D774" s="5" t="n"/>
      <c r="E774" s="5" t="n"/>
      <c r="F774" s="5" t="inlineStr">
        <is>
          <t>https://www.xiaohongshu.com/discovery/item/69ff148c000000001f005189?xsec_token=CBKIChc3JKjXEpluHiL-_ugKympZn0_iVtHNpvkZmcs1I=&amp;xsec_source=app_share</t>
        </is>
      </c>
      <c r="G774" s="5" t="inlineStr">
        <is>
          <t>489</t>
        </is>
      </c>
      <c r="H774" s="5" t="inlineStr">
        <is>
          <t>星邱</t>
        </is>
      </c>
      <c r="I774" s="5" t="n"/>
      <c r="J774" s="5" t="n"/>
      <c r="K774" s="5" t="n">
        <v>53.5</v>
      </c>
      <c r="L774" s="5" t="n">
        <v>51</v>
      </c>
      <c r="M774" s="5" t="n">
        <v>5</v>
      </c>
      <c r="N774" s="5" t="n">
        <v>0</v>
      </c>
      <c r="O774" s="5" t="n">
        <v>0</v>
      </c>
      <c r="P774" s="8">
        <f>IF(AND(M902&lt;&gt;"",M902&gt;0),M902+N902+O902,"")</f>
        <v/>
      </c>
      <c r="Q774" s="11">
        <f>IF(AND(L902&lt;&gt;"",L902&gt;0,P902&lt;&gt;""),P902/L902,"")</f>
        <v/>
      </c>
      <c r="R774" s="16">
        <f>IF(AND(P902&lt;&gt;"",P902&gt;0),(I902+J902+K902)/P902,"")</f>
        <v/>
      </c>
    </row>
    <row r="775" ht="27" customHeight="1">
      <c r="A775" s="5" t="inlineStr">
        <is>
          <t>2026-05-10</t>
        </is>
      </c>
      <c r="B775" s="5" t="inlineStr">
        <is>
          <t>19周</t>
        </is>
      </c>
      <c r="C775" s="5" t="inlineStr">
        <is>
          <t>抖音</t>
        </is>
      </c>
      <c r="D775" s="5" t="n"/>
      <c r="E775" s="5" t="n"/>
      <c r="F775" s="5" t="inlineStr">
        <is>
          <t>https://v.douyin.com/I9zCRmXA7qA/</t>
        </is>
      </c>
      <c r="G775" s="5" t="inlineStr">
        <is>
          <t>489</t>
        </is>
      </c>
      <c r="H775" s="5" t="inlineStr">
        <is>
          <t>官俊臣</t>
        </is>
      </c>
      <c r="I775" s="5" t="n"/>
      <c r="J775" s="5" t="n"/>
      <c r="K775" s="5" t="n">
        <v>53.5</v>
      </c>
      <c r="L775" s="5" t="n">
        <v>11000</v>
      </c>
      <c r="M775" s="5" t="n">
        <v>813</v>
      </c>
      <c r="N775" s="5" t="n">
        <v>27</v>
      </c>
      <c r="O775" s="5" t="n">
        <v>35</v>
      </c>
      <c r="P775" s="8">
        <f>IF(AND(M903&lt;&gt;"",M903&gt;0),M903+N903+O903,"")</f>
        <v/>
      </c>
      <c r="Q775" s="11">
        <f>IF(AND(L903&lt;&gt;"",L903&gt;0,P903&lt;&gt;""),P903/L903,"")</f>
        <v/>
      </c>
      <c r="R775" s="16">
        <f>IF(AND(P903&lt;&gt;"",P903&gt;0),(I903+J903+K903)/P903,"")</f>
        <v/>
      </c>
    </row>
    <row r="776" ht="27" customHeight="1">
      <c r="A776" s="5" t="inlineStr">
        <is>
          <t>2026-05-10</t>
        </is>
      </c>
      <c r="B776" s="5" t="inlineStr">
        <is>
          <t>19周</t>
        </is>
      </c>
      <c r="C776" s="5" t="inlineStr">
        <is>
          <t>抖音</t>
        </is>
      </c>
      <c r="D776" s="5" t="n"/>
      <c r="E776" s="5" t="n"/>
      <c r="F776" s="5" t="inlineStr">
        <is>
          <t>https://v.douyin.com/FJ4ObksrJpw/</t>
        </is>
      </c>
      <c r="G776" s="5" t="inlineStr">
        <is>
          <t>492</t>
        </is>
      </c>
      <c r="H776" s="5" t="inlineStr">
        <is>
          <t>vlog</t>
        </is>
      </c>
      <c r="I776" s="5" t="n">
        <v>200</v>
      </c>
      <c r="J776" s="5" t="n"/>
      <c r="K776" s="5" t="n">
        <v>69.5</v>
      </c>
      <c r="L776" s="5" t="n">
        <v>82000</v>
      </c>
      <c r="M776" s="5" t="n">
        <v>615</v>
      </c>
      <c r="N776" s="5" t="n">
        <v>76</v>
      </c>
      <c r="O776" s="5" t="n">
        <v>65</v>
      </c>
      <c r="P776" s="8">
        <f>IF(AND(M904&lt;&gt;"",M904&gt;0),M904+N904+O904,"")</f>
        <v/>
      </c>
      <c r="Q776" s="11">
        <f>IF(AND(L904&lt;&gt;"",L904&gt;0,P904&lt;&gt;""),P904/L904,"")</f>
        <v/>
      </c>
      <c r="R776" s="16">
        <f>IF(AND(P904&lt;&gt;"",P904&gt;0),(I904+J904+K904)/P904,"")</f>
        <v/>
      </c>
    </row>
    <row r="777" ht="67.5" customHeight="1">
      <c r="A777" s="5" t="inlineStr">
        <is>
          <t>2026-05-10</t>
        </is>
      </c>
      <c r="B777" s="5" t="inlineStr">
        <is>
          <t>19周</t>
        </is>
      </c>
      <c r="C777" s="5" t="inlineStr">
        <is>
          <t>抖音</t>
        </is>
      </c>
      <c r="D777" s="5" t="n"/>
      <c r="E777" s="5" t="n"/>
      <c r="F777" s="5" t="inlineStr">
        <is>
          <t>https://v.douyin.com/Ums8TOpc9HM/</t>
        </is>
      </c>
      <c r="G777" s="5" t="inlineStr">
        <is>
          <t>489</t>
        </is>
      </c>
      <c r="H777" s="5" t="inlineStr">
        <is>
          <t>赵露思</t>
        </is>
      </c>
      <c r="I777" s="5" t="n"/>
      <c r="J777" s="5" t="n"/>
      <c r="K777" s="5" t="n">
        <v>53.5</v>
      </c>
      <c r="L777" s="5" t="n">
        <v>2779</v>
      </c>
      <c r="M777" s="5" t="n">
        <v>161</v>
      </c>
      <c r="N777" s="5" t="n">
        <v>11</v>
      </c>
      <c r="O777" s="5" t="n">
        <v>2</v>
      </c>
      <c r="P777" s="8">
        <f>IF(AND(M905&lt;&gt;"",M905&gt;0),M905+N905+O905,"")</f>
        <v/>
      </c>
      <c r="Q777" s="11">
        <f>IF(AND(L905&lt;&gt;"",L905&gt;0,P905&lt;&gt;""),P905/L905,"")</f>
        <v/>
      </c>
      <c r="R777" s="16">
        <f>IF(AND(P905&lt;&gt;"",P905&gt;0),(I905+J905+K905)/P905,"")</f>
        <v/>
      </c>
    </row>
    <row r="778" ht="27" customHeight="1">
      <c r="A778" s="5" t="inlineStr">
        <is>
          <t>2026-05-10</t>
        </is>
      </c>
      <c r="B778" s="5" t="inlineStr">
        <is>
          <t>19周</t>
        </is>
      </c>
      <c r="C778" s="5" t="inlineStr">
        <is>
          <t>抖音</t>
        </is>
      </c>
      <c r="D778" s="5" t="n"/>
      <c r="E778" s="5" t="n"/>
      <c r="F778" s="5" t="inlineStr">
        <is>
          <t>https://v.douyin.com/3-r97dKxb04/</t>
        </is>
      </c>
      <c r="G778" s="5" t="inlineStr">
        <is>
          <t>495</t>
        </is>
      </c>
      <c r="H778" s="5" t="inlineStr">
        <is>
          <t>穿搭</t>
        </is>
      </c>
      <c r="I778" s="5" t="n">
        <v>200</v>
      </c>
      <c r="J778" s="5" t="n"/>
      <c r="K778" s="5" t="n">
        <v>93</v>
      </c>
      <c r="L778" s="5" t="n">
        <v>9889</v>
      </c>
      <c r="M778" s="5" t="n">
        <v>1066</v>
      </c>
      <c r="N778" s="5" t="n">
        <v>18</v>
      </c>
      <c r="O778" s="5" t="n">
        <v>34</v>
      </c>
      <c r="P778" s="8">
        <f>IF(AND(M906&lt;&gt;"",M906&gt;0),M906+N906+O906,"")</f>
        <v/>
      </c>
      <c r="Q778" s="11">
        <f>IF(AND(L906&lt;&gt;"",L906&gt;0,P906&lt;&gt;""),P906/L906,"")</f>
        <v/>
      </c>
      <c r="R778" s="16">
        <f>IF(AND(P906&lt;&gt;"",P906&gt;0),(I906+J906+K906)/P906,"")</f>
        <v/>
      </c>
    </row>
    <row r="779" ht="81" customHeight="1">
      <c r="A779" s="5" t="inlineStr">
        <is>
          <t>2026-05-11</t>
        </is>
      </c>
      <c r="B779" s="5" t="inlineStr">
        <is>
          <t>20周</t>
        </is>
      </c>
      <c r="C779" s="5" t="inlineStr">
        <is>
          <t>小红书</t>
        </is>
      </c>
      <c r="D779" s="5" t="n"/>
      <c r="E779" s="5" t="n"/>
      <c r="F779" s="5" t="inlineStr">
        <is>
          <t>https://www.xiaohongshu.com/discovery/item/6a0073100000000006022252?xsec_token=CBPhtmDVfrgyIsvUVODr7cJUOl_iRkdrmrOzMCknDOiFo=&amp;xsec_source=app_share</t>
        </is>
      </c>
      <c r="G779" s="5" t="inlineStr">
        <is>
          <t>495</t>
        </is>
      </c>
      <c r="H779" s="5" t="inlineStr">
        <is>
          <t>穿搭</t>
        </is>
      </c>
      <c r="I779" s="5" t="n"/>
      <c r="J779" s="5" t="n"/>
      <c r="K779" s="5" t="n">
        <v>93</v>
      </c>
      <c r="L779" s="5" t="n">
        <v>913</v>
      </c>
      <c r="M779" s="5" t="n">
        <v>72</v>
      </c>
      <c r="N779" s="5" t="n">
        <v>4</v>
      </c>
      <c r="O779" s="5" t="n">
        <v>5</v>
      </c>
      <c r="P779" s="8">
        <f>IF(AND(M907&lt;&gt;"",M907&gt;0),M907+N907+O907,"")</f>
        <v/>
      </c>
      <c r="Q779" s="11">
        <f>IF(AND(L907&lt;&gt;"",L907&gt;0,P907&lt;&gt;""),P907/L907,"")</f>
        <v/>
      </c>
      <c r="R779" s="16">
        <f>IF(AND(P907&lt;&gt;"",P907&gt;0),(I907+J907+K907)/P907,"")</f>
        <v/>
      </c>
    </row>
    <row r="780" ht="81" customHeight="1">
      <c r="A780" s="5" t="inlineStr">
        <is>
          <t>2026-05-11</t>
        </is>
      </c>
      <c r="B780" s="5" t="inlineStr">
        <is>
          <t>20周</t>
        </is>
      </c>
      <c r="C780" s="5" t="inlineStr">
        <is>
          <t>抖音</t>
        </is>
      </c>
      <c r="D780" s="5" t="n"/>
      <c r="E780" s="5" t="n"/>
      <c r="F780" s="5" t="inlineStr">
        <is>
          <t>https://v.douyin.com/fXJq19DeDDM/</t>
        </is>
      </c>
      <c r="G780" s="5" t="inlineStr">
        <is>
          <t>495</t>
        </is>
      </c>
      <c r="H780" s="5" t="inlineStr">
        <is>
          <t>口播</t>
        </is>
      </c>
      <c r="I780" s="5" t="n">
        <v>400</v>
      </c>
      <c r="J780" s="5" t="n"/>
      <c r="K780" s="5" t="n">
        <v>93</v>
      </c>
      <c r="L780" s="5" t="n">
        <v>5030</v>
      </c>
      <c r="M780" s="5" t="n">
        <v>290</v>
      </c>
      <c r="N780" s="5" t="n">
        <v>82</v>
      </c>
      <c r="O780" s="5" t="n">
        <v>50</v>
      </c>
      <c r="P780" s="8">
        <f>IF(AND(M908&lt;&gt;"",M908&gt;0),M908+N908+O908,"")</f>
        <v/>
      </c>
      <c r="Q780" s="11">
        <f>IF(AND(L908&lt;&gt;"",L908&gt;0,P908&lt;&gt;""),P908/L908,"")</f>
        <v/>
      </c>
      <c r="R780" s="16">
        <f>IF(AND(P908&lt;&gt;"",P908&gt;0),(I908+J908+K908)/P908,"")</f>
        <v/>
      </c>
    </row>
    <row r="781" ht="81" customHeight="1">
      <c r="A781" s="5" t="inlineStr">
        <is>
          <t>2026-05-11</t>
        </is>
      </c>
      <c r="B781" s="5" t="inlineStr">
        <is>
          <t>20周</t>
        </is>
      </c>
      <c r="C781" s="5" t="inlineStr">
        <is>
          <t>小红书</t>
        </is>
      </c>
      <c r="D781" s="5" t="n"/>
      <c r="E781" s="5" t="n"/>
      <c r="F781" s="5" t="inlineStr">
        <is>
          <t>https://www.xiaohongshu.com/discovery/item/6a01ce53000000003502badf?xsec_token=CBaYQGuMnHKREvhOm5roIWMBSXCF8HQ7yT8MgBuwpHnPA=&amp;xsec_source=app_share&amp;type=video</t>
        </is>
      </c>
      <c r="G781" s="5" t="inlineStr">
        <is>
          <t>0001A1</t>
        </is>
      </c>
      <c r="H781" s="5" t="inlineStr">
        <is>
          <t>购物开箱</t>
        </is>
      </c>
      <c r="I781" s="5" t="n">
        <v>260</v>
      </c>
      <c r="J781" s="5" t="n"/>
      <c r="K781" s="5" t="n">
        <v>6.6836</v>
      </c>
      <c r="L781" s="5" t="n">
        <v>1631</v>
      </c>
      <c r="M781" s="5" t="n">
        <v>109</v>
      </c>
      <c r="N781" s="5" t="n">
        <v>28</v>
      </c>
      <c r="O781" s="5" t="n">
        <v>9</v>
      </c>
      <c r="P781" s="8">
        <f>IF(AND(M909&lt;&gt;"",M909&gt;0),M909+N909+O909,"")</f>
        <v/>
      </c>
      <c r="Q781" s="11">
        <f>IF(AND(L909&lt;&gt;"",L909&gt;0,P909&lt;&gt;""),P909/L909,"")</f>
        <v/>
      </c>
      <c r="R781" s="16">
        <f>IF(AND(P909&lt;&gt;"",P909&gt;0),(I909+J909+K909)/P909,"")</f>
        <v/>
      </c>
    </row>
    <row r="782" ht="67.5" customHeight="1">
      <c r="A782" s="5" t="inlineStr">
        <is>
          <t>2026-05-12</t>
        </is>
      </c>
      <c r="B782" s="5" t="inlineStr">
        <is>
          <t>20周</t>
        </is>
      </c>
      <c r="C782" s="5" t="inlineStr">
        <is>
          <t>小红书</t>
        </is>
      </c>
      <c r="D782" s="5" t="n"/>
      <c r="E782" s="5" t="n"/>
      <c r="F782" s="5" t="inlineStr">
        <is>
          <t>https://www.xiaohongshu.com/discovery/item/6a01e1a2000000003700d0ab?xsec_token=CBaYQGuMnHKREvhOm5roIWMD5E22eOW7tPGq2AZidSZYg=&amp;xsec_source=app_share&amp;type=video</t>
        </is>
      </c>
      <c r="G782" s="5" t="inlineStr">
        <is>
          <t>0002A1</t>
        </is>
      </c>
      <c r="H782" s="5" t="inlineStr">
        <is>
          <t>口播</t>
        </is>
      </c>
      <c r="I782" s="5" t="n">
        <v>200</v>
      </c>
      <c r="J782" s="5" t="n"/>
      <c r="K782" s="5" t="n">
        <v>25.5</v>
      </c>
      <c r="L782" s="5" t="n">
        <v>3291</v>
      </c>
      <c r="M782" s="5" t="n">
        <v>197</v>
      </c>
      <c r="N782" s="5" t="n">
        <v>77</v>
      </c>
      <c r="O782" s="5" t="n">
        <v>16</v>
      </c>
      <c r="P782" s="8">
        <f>IF(AND(M910&lt;&gt;"",M910&gt;0),M910+N910+O910,"")</f>
        <v/>
      </c>
      <c r="Q782" s="11">
        <f>IF(AND(L910&lt;&gt;"",L910&gt;0,P910&lt;&gt;""),P910/L910,"")</f>
        <v/>
      </c>
      <c r="R782" s="16">
        <f>IF(AND(P910&lt;&gt;"",P910&gt;0),(I910+J910+K910)/P910,"")</f>
        <v/>
      </c>
    </row>
    <row r="783" ht="67.5" customHeight="1">
      <c r="A783" s="5" t="inlineStr">
        <is>
          <t>2026-05-12</t>
        </is>
      </c>
      <c r="B783" s="5" t="inlineStr">
        <is>
          <t>20周</t>
        </is>
      </c>
      <c r="C783" s="5" t="inlineStr">
        <is>
          <t>抖音</t>
        </is>
      </c>
      <c r="D783" s="5" t="n"/>
      <c r="E783" s="5" t="n"/>
      <c r="F783" s="5" t="inlineStr">
        <is>
          <t>https://v.douyin.com/mPNztaPgaDs/</t>
        </is>
      </c>
      <c r="G783" s="5" t="inlineStr">
        <is>
          <t>0002A1</t>
        </is>
      </c>
      <c r="H783" s="5" t="inlineStr">
        <is>
          <t>穿搭</t>
        </is>
      </c>
      <c r="I783" s="5" t="n">
        <v>100</v>
      </c>
      <c r="J783" s="5" t="n"/>
      <c r="K783" s="5" t="n">
        <v>25.5</v>
      </c>
      <c r="L783" s="5" t="n">
        <v>220000</v>
      </c>
      <c r="M783" s="5" t="n">
        <v>14000</v>
      </c>
      <c r="N783" s="5" t="n">
        <v>1199</v>
      </c>
      <c r="O783" s="5" t="n">
        <v>147</v>
      </c>
      <c r="P783" s="8">
        <f>IF(AND(M911&lt;&gt;"",M911&gt;0),M911+N911+O911,"")</f>
        <v/>
      </c>
      <c r="Q783" s="11">
        <f>IF(AND(L911&lt;&gt;"",L911&gt;0,P911&lt;&gt;""),P911/L911,"")</f>
        <v/>
      </c>
      <c r="R783" s="16">
        <f>IF(AND(P911&lt;&gt;"",P911&gt;0),(I911+J911+K911)/P911,"")</f>
        <v/>
      </c>
    </row>
    <row r="784" ht="27" customHeight="1">
      <c r="A784" s="5" t="inlineStr">
        <is>
          <t>2026-05-12</t>
        </is>
      </c>
      <c r="B784" s="5" t="inlineStr">
        <is>
          <t>20周</t>
        </is>
      </c>
      <c r="C784" s="5" t="inlineStr">
        <is>
          <t>快手</t>
        </is>
      </c>
      <c r="D784" s="5" t="n"/>
      <c r="E784" s="5" t="n"/>
      <c r="F784" s="5" t="inlineStr">
        <is>
          <t>https://v.kuaishou.com/n8EVjSMc</t>
        </is>
      </c>
      <c r="G784" s="5" t="inlineStr">
        <is>
          <t>0002A1</t>
        </is>
      </c>
      <c r="H784" s="5" t="inlineStr">
        <is>
          <t>穿搭</t>
        </is>
      </c>
      <c r="I784" s="5" t="n"/>
      <c r="J784" s="5" t="n"/>
      <c r="K784" s="5" t="n">
        <v>25.5</v>
      </c>
      <c r="L784" s="5" t="n">
        <v>107000</v>
      </c>
      <c r="M784" s="5" t="n">
        <v>9828</v>
      </c>
      <c r="N784" s="5" t="n">
        <v>506</v>
      </c>
      <c r="O784" s="5" t="n">
        <v>90</v>
      </c>
      <c r="P784" s="8">
        <f>IF(AND(M912&lt;&gt;"",M912&gt;0),M912+N912+O912,"")</f>
        <v/>
      </c>
      <c r="Q784" s="11">
        <f>IF(AND(L912&lt;&gt;"",L912&gt;0,P912&lt;&gt;""),P912/L912,"")</f>
        <v/>
      </c>
      <c r="R784" s="16">
        <f>IF(AND(P912&lt;&gt;"",P912&gt;0),(I912+J912+K912)/P912,"")</f>
        <v/>
      </c>
    </row>
    <row r="785" ht="81" customHeight="1">
      <c r="A785" s="5" t="inlineStr">
        <is>
          <t>2026-05-12</t>
        </is>
      </c>
      <c r="B785" s="5" t="inlineStr">
        <is>
          <t>20周</t>
        </is>
      </c>
      <c r="C785" s="5" t="inlineStr">
        <is>
          <t>抖音</t>
        </is>
      </c>
      <c r="D785" s="5" t="n"/>
      <c r="E785" s="5" t="n"/>
      <c r="F785" s="5" t="inlineStr">
        <is>
          <t>https://v.douyin.com/_KDxoVjKXC0/</t>
        </is>
      </c>
      <c r="G785" s="5" t="inlineStr">
        <is>
          <t>459</t>
        </is>
      </c>
      <c r="H785" s="5" t="inlineStr">
        <is>
          <t>穿搭</t>
        </is>
      </c>
      <c r="I785" s="5" t="n">
        <v>100</v>
      </c>
      <c r="J785" s="5" t="n"/>
      <c r="K785" s="5" t="n">
        <v>46.5</v>
      </c>
      <c r="L785" s="5" t="n">
        <v>3898</v>
      </c>
      <c r="M785" s="5" t="n">
        <v>220</v>
      </c>
      <c r="N785" s="5" t="n">
        <v>22</v>
      </c>
      <c r="O785" s="5" t="n">
        <v>3</v>
      </c>
      <c r="P785" s="8">
        <f>IF(AND(M913&lt;&gt;"",M913&gt;0),M913+N913+O913,"")</f>
        <v/>
      </c>
      <c r="Q785" s="11">
        <f>IF(AND(L913&lt;&gt;"",L913&gt;0,P913&lt;&gt;""),P913/L913,"")</f>
        <v/>
      </c>
      <c r="R785" s="16">
        <f>IF(AND(P913&lt;&gt;"",P913&gt;0),(I913+J913+K913)/P913,"")</f>
        <v/>
      </c>
    </row>
    <row r="786" ht="27" customHeight="1">
      <c r="A786" s="5" t="inlineStr">
        <is>
          <t>2026-05-12</t>
        </is>
      </c>
      <c r="B786" s="5" t="inlineStr">
        <is>
          <t>20周</t>
        </is>
      </c>
      <c r="C786" s="5" t="inlineStr">
        <is>
          <t>抖音</t>
        </is>
      </c>
      <c r="D786" s="5" t="n"/>
      <c r="E786" s="5" t="n"/>
      <c r="F786" s="5" t="inlineStr">
        <is>
          <t>https://www.douyin.com/user/MS4wLjABAAAADTPl0lNTR7Q9QcgUakS9UeFycNapkGf5BQUbUMjgIc4gbc_egutGzrnCfICUydNH?from_tab_name=main&amp;modal_id=7638971368122529713</t>
        </is>
      </c>
      <c r="G786" s="5" t="inlineStr">
        <is>
          <t>489</t>
        </is>
      </c>
      <c r="H786" s="5" t="inlineStr">
        <is>
          <t>杨紫</t>
        </is>
      </c>
      <c r="I786" s="5" t="n"/>
      <c r="J786" s="5" t="n"/>
      <c r="K786" s="5" t="n">
        <v>53.5</v>
      </c>
      <c r="L786" s="5" t="n">
        <v>17000</v>
      </c>
      <c r="M786" s="5" t="n">
        <v>587</v>
      </c>
      <c r="N786" s="5" t="n">
        <v>24</v>
      </c>
      <c r="O786" s="5" t="n">
        <v>43</v>
      </c>
      <c r="P786" s="8">
        <f>IF(AND(M914&lt;&gt;"",M914&gt;0),M914+N914+O914,"")</f>
        <v/>
      </c>
      <c r="Q786" s="11">
        <f>IF(AND(L914&lt;&gt;"",L914&gt;0,P914&lt;&gt;""),P914/L914,"")</f>
        <v/>
      </c>
      <c r="R786" s="16">
        <f>IF(AND(P914&lt;&gt;"",P914&gt;0),(I914+J914+K914)/P914,"")</f>
        <v/>
      </c>
    </row>
    <row r="787" ht="27" customHeight="1">
      <c r="A787" s="5" t="inlineStr">
        <is>
          <t>2026-05-12</t>
        </is>
      </c>
      <c r="B787" s="5" t="inlineStr">
        <is>
          <t>20周</t>
        </is>
      </c>
      <c r="C787" s="5" t="inlineStr">
        <is>
          <t>抖音</t>
        </is>
      </c>
      <c r="D787" s="5" t="n"/>
      <c r="E787" s="5" t="n"/>
      <c r="F787" s="5" t="inlineStr">
        <is>
          <t>https://v.douyin.com/hamyP02vUc8/</t>
        </is>
      </c>
      <c r="G787" s="5" t="inlineStr">
        <is>
          <t>492</t>
        </is>
      </c>
      <c r="H787" s="5" t="inlineStr">
        <is>
          <t>穿搭</t>
        </is>
      </c>
      <c r="I787" s="5" t="n">
        <v>200</v>
      </c>
      <c r="J787" s="5" t="n"/>
      <c r="K787" s="5" t="n">
        <v>69.5</v>
      </c>
      <c r="L787" s="5" t="n">
        <v>49000</v>
      </c>
      <c r="M787" s="5" t="n">
        <v>4275</v>
      </c>
      <c r="N787" s="5" t="n">
        <v>312</v>
      </c>
      <c r="O787" s="5" t="n">
        <v>65</v>
      </c>
      <c r="P787" s="8">
        <f>IF(AND(M915&lt;&gt;"",M915&gt;0),M915+N915+O915,"")</f>
        <v/>
      </c>
      <c r="Q787" s="11">
        <f>IF(AND(L915&lt;&gt;"",L915&gt;0,P915&lt;&gt;""),P915/L915,"")</f>
        <v/>
      </c>
      <c r="R787" s="16">
        <f>IF(AND(P915&lt;&gt;"",P915&gt;0),(I915+J915+K915)/P915,"")</f>
        <v/>
      </c>
    </row>
    <row r="788" ht="27" customHeight="1">
      <c r="A788" s="5" t="inlineStr">
        <is>
          <t>2026-05-12</t>
        </is>
      </c>
      <c r="B788" s="5" t="inlineStr">
        <is>
          <t>20周</t>
        </is>
      </c>
      <c r="C788" s="5" t="inlineStr">
        <is>
          <t>抖音</t>
        </is>
      </c>
      <c r="D788" s="5" t="n"/>
      <c r="E788" s="5" t="n"/>
      <c r="F788" s="5" t="inlineStr">
        <is>
          <t>https://v.douyin.com/wt98UQsGQWw/</t>
        </is>
      </c>
      <c r="G788" s="5" t="inlineStr">
        <is>
          <t>0002A1</t>
        </is>
      </c>
      <c r="H788" s="5" t="inlineStr">
        <is>
          <t>口播</t>
        </is>
      </c>
      <c r="I788" s="5" t="n">
        <v>350</v>
      </c>
      <c r="J788" s="5" t="n"/>
      <c r="K788" s="5" t="n">
        <v>25.5</v>
      </c>
      <c r="L788" s="5" t="n">
        <v>100000</v>
      </c>
      <c r="M788" s="5" t="n">
        <v>1939</v>
      </c>
      <c r="N788" s="5" t="n">
        <v>477</v>
      </c>
      <c r="O788" s="5" t="n">
        <v>114</v>
      </c>
      <c r="P788" s="8">
        <f>IF(AND(M916&lt;&gt;"",M916&gt;0),M916+N916+O916,"")</f>
        <v/>
      </c>
      <c r="Q788" s="11">
        <f>IF(AND(L916&lt;&gt;"",L916&gt;0,P916&lt;&gt;""),P916/L916,"")</f>
        <v/>
      </c>
      <c r="R788" s="16">
        <f>IF(AND(P916&lt;&gt;"",P916&gt;0),(I916+J916+K916)/P916,"")</f>
        <v/>
      </c>
    </row>
    <row r="789" ht="27" customHeight="1">
      <c r="A789" s="5" t="inlineStr">
        <is>
          <t>2026-05-12</t>
        </is>
      </c>
      <c r="B789" s="5" t="inlineStr">
        <is>
          <t>20周</t>
        </is>
      </c>
      <c r="C789" s="5" t="inlineStr">
        <is>
          <t>抖音</t>
        </is>
      </c>
      <c r="D789" s="5" t="n"/>
      <c r="E789" s="5" t="n"/>
      <c r="F789" s="5" t="inlineStr">
        <is>
          <t>https://v.douyin.com/hazz0k9pt7o/</t>
        </is>
      </c>
      <c r="G789" s="5" t="inlineStr">
        <is>
          <t>459</t>
        </is>
      </c>
      <c r="H789" s="5" t="inlineStr">
        <is>
          <t>穿搭</t>
        </is>
      </c>
      <c r="I789" s="5" t="n"/>
      <c r="J789" s="5" t="n"/>
      <c r="K789" s="5" t="n">
        <v>46.5</v>
      </c>
      <c r="L789" s="5" t="n">
        <v>9468</v>
      </c>
      <c r="M789" s="5" t="n">
        <v>472</v>
      </c>
      <c r="N789" s="5" t="n">
        <v>32</v>
      </c>
      <c r="O789" s="5" t="n">
        <v>17</v>
      </c>
      <c r="P789" s="8">
        <f>IF(AND(M917&lt;&gt;"",M917&gt;0),M917+N917+O917,"")</f>
        <v/>
      </c>
      <c r="Q789" s="11">
        <f>IF(AND(L917&lt;&gt;"",L917&gt;0,P917&lt;&gt;""),P917/L917,"")</f>
        <v/>
      </c>
      <c r="R789" s="16">
        <f>IF(AND(P917&lt;&gt;"",P917&gt;0),(I917+J917+K917)/P917,"")</f>
        <v/>
      </c>
    </row>
    <row r="790" ht="27" customHeight="1">
      <c r="A790" s="5" t="inlineStr">
        <is>
          <t>2026-05-12</t>
        </is>
      </c>
      <c r="B790" s="5" t="inlineStr">
        <is>
          <t>20周</t>
        </is>
      </c>
      <c r="C790" s="5" t="inlineStr">
        <is>
          <t>抖音</t>
        </is>
      </c>
      <c r="D790" s="5" t="n"/>
      <c r="E790" s="5" t="n"/>
      <c r="F790" s="5" t="inlineStr">
        <is>
          <t>https://v.douyin.com/0p0oShq916A/</t>
        </is>
      </c>
      <c r="G790" s="5" t="inlineStr">
        <is>
          <t>489</t>
        </is>
      </c>
      <c r="H790" s="5" t="inlineStr">
        <is>
          <t>口播</t>
        </is>
      </c>
      <c r="I790" s="5" t="n"/>
      <c r="J790" s="5" t="n"/>
      <c r="K790" s="5" t="n">
        <v>53.5</v>
      </c>
      <c r="L790" s="5" t="n">
        <v>26000</v>
      </c>
      <c r="M790" s="5" t="n">
        <v>1026</v>
      </c>
      <c r="N790" s="5" t="n">
        <v>644</v>
      </c>
      <c r="O790" s="5" t="n">
        <v>65</v>
      </c>
      <c r="P790" s="8">
        <f>IF(AND(M918&lt;&gt;"",M918&gt;0),M918+N918+O918,"")</f>
        <v/>
      </c>
      <c r="Q790" s="11">
        <f>IF(AND(L918&lt;&gt;"",L918&gt;0,P918&lt;&gt;""),P918/L918,"")</f>
        <v/>
      </c>
      <c r="R790" s="16">
        <f>IF(AND(P918&lt;&gt;"",P918&gt;0),(I918+J918+K918)/P918,"")</f>
        <v/>
      </c>
    </row>
    <row r="791" ht="27" customHeight="1">
      <c r="A791" s="5" t="inlineStr">
        <is>
          <t>2026-05-12</t>
        </is>
      </c>
      <c r="B791" s="5" t="inlineStr">
        <is>
          <t>20周</t>
        </is>
      </c>
      <c r="C791" s="5" t="inlineStr">
        <is>
          <t>小红书</t>
        </is>
      </c>
      <c r="D791" s="5" t="n"/>
      <c r="E791" s="5" t="n"/>
      <c r="F791" s="5" t="inlineStr">
        <is>
          <t>https://www.xiaohongshu.com/discovery/item/6a02a7cc0000000036018525?xsec_token=CBnKkkukcQYTb_sFP-bRLicYLQHd3ivyE2zsRkoKQmU2Q=&amp;xsec_source=app_share&amp;type=video</t>
        </is>
      </c>
      <c r="G791" s="5" t="inlineStr">
        <is>
          <t>0002A1</t>
        </is>
      </c>
      <c r="H791" s="5" t="inlineStr">
        <is>
          <t>穿搭</t>
        </is>
      </c>
      <c r="I791" s="5" t="n"/>
      <c r="J791" s="5" t="n"/>
      <c r="K791" s="5" t="n">
        <v>25.5</v>
      </c>
      <c r="L791" s="5" t="n">
        <v>5392</v>
      </c>
      <c r="M791" s="5" t="n">
        <v>427</v>
      </c>
      <c r="N791" s="5" t="n">
        <v>75</v>
      </c>
      <c r="O791" s="5" t="n">
        <v>3</v>
      </c>
      <c r="P791" s="8">
        <f>IF(AND(M919&lt;&gt;"",M919&gt;0),M919+N919+O919,"")</f>
        <v/>
      </c>
      <c r="Q791" s="11">
        <f>IF(AND(L919&lt;&gt;"",L919&gt;0,P919&lt;&gt;""),P919/L919,"")</f>
        <v/>
      </c>
      <c r="R791" s="16">
        <f>IF(AND(P919&lt;&gt;"",P919&gt;0),(I919+J919+K919)/P919,"")</f>
        <v/>
      </c>
    </row>
    <row r="792" ht="27" customHeight="1">
      <c r="A792" s="5" t="inlineStr">
        <is>
          <t>2026-05-13</t>
        </is>
      </c>
      <c r="B792" s="5" t="inlineStr">
        <is>
          <t>20周</t>
        </is>
      </c>
      <c r="C792" s="5" t="inlineStr">
        <is>
          <t>小红书</t>
        </is>
      </c>
      <c r="D792" s="5" t="n"/>
      <c r="E792" s="5" t="n"/>
      <c r="F792" s="5" t="inlineStr">
        <is>
          <t>https://www.xiaohongshu.com/discovery/item/6a0325360000000008033480?xsec_token=CBEJOe8CNL0aghVAAlKdHvej2VAtkT6pTOjfC-S3TBNjI=&amp;xsec_source=app_share&amp;type=video</t>
        </is>
      </c>
      <c r="G792" s="5" t="inlineStr">
        <is>
          <t>0002A1</t>
        </is>
      </c>
      <c r="H792" s="5" t="inlineStr">
        <is>
          <t>穿搭</t>
        </is>
      </c>
      <c r="I792" s="5" t="n"/>
      <c r="J792" s="5" t="n"/>
      <c r="K792" s="5" t="n">
        <v>25.5</v>
      </c>
      <c r="L792" s="5" t="n">
        <v>48067</v>
      </c>
      <c r="M792" s="5" t="n">
        <v>3778</v>
      </c>
      <c r="N792" s="5" t="n">
        <v>469</v>
      </c>
      <c r="O792" s="5" t="n">
        <v>138</v>
      </c>
      <c r="P792" s="8">
        <f>IF(AND(M920&lt;&gt;"",M920&gt;0),M920+N920+O920,"")</f>
        <v/>
      </c>
      <c r="Q792" s="11">
        <f>IF(AND(L920&lt;&gt;"",L920&gt;0,P920&lt;&gt;""),P920/L920,"")</f>
        <v/>
      </c>
      <c r="R792" s="16">
        <f>IF(AND(P920&lt;&gt;"",P920&gt;0),(I920+J920+K920)/P920,"")</f>
        <v/>
      </c>
    </row>
    <row r="793" ht="27" customHeight="1">
      <c r="A793" s="5" t="inlineStr">
        <is>
          <t>2026-05-13</t>
        </is>
      </c>
      <c r="B793" s="5" t="inlineStr">
        <is>
          <t>20周</t>
        </is>
      </c>
      <c r="C793" s="5" t="inlineStr">
        <is>
          <t>抖音</t>
        </is>
      </c>
      <c r="D793" s="5" t="n"/>
      <c r="E793" s="5" t="n"/>
      <c r="F793" s="5" t="inlineStr">
        <is>
          <t>https://v.douyin.com/fCJz5lTRQmM/</t>
        </is>
      </c>
      <c r="G793" s="5" t="inlineStr">
        <is>
          <t>459</t>
        </is>
      </c>
      <c r="H793" s="5" t="inlineStr">
        <is>
          <t>穿搭</t>
        </is>
      </c>
      <c r="I793" s="5" t="n"/>
      <c r="J793" s="5" t="n"/>
      <c r="K793" s="5" t="n">
        <v>46.5</v>
      </c>
      <c r="L793" s="5" t="n">
        <v>8000</v>
      </c>
      <c r="M793" s="5" t="n">
        <v>296</v>
      </c>
      <c r="N793" s="5" t="n">
        <v>21</v>
      </c>
      <c r="O793" s="5" t="n">
        <v>9</v>
      </c>
      <c r="P793" s="8">
        <f>IF(AND(M921&lt;&gt;"",M921&gt;0),M921+N921+O921,"")</f>
        <v/>
      </c>
      <c r="Q793" s="11">
        <f>IF(AND(L921&lt;&gt;"",L921&gt;0,P921&lt;&gt;""),P921/L921,"")</f>
        <v/>
      </c>
      <c r="R793" s="16">
        <f>IF(AND(P921&lt;&gt;"",P921&gt;0),(I921+J921+K921)/P921,"")</f>
        <v/>
      </c>
    </row>
    <row r="794" ht="27" customHeight="1">
      <c r="A794" s="5" t="inlineStr">
        <is>
          <t>2026-05-13</t>
        </is>
      </c>
      <c r="B794" s="5" t="inlineStr">
        <is>
          <t>20周</t>
        </is>
      </c>
      <c r="C794" s="5" t="inlineStr">
        <is>
          <t>抖音</t>
        </is>
      </c>
      <c r="D794" s="5" t="n"/>
      <c r="E794" s="5" t="n"/>
      <c r="F794" s="5" t="inlineStr">
        <is>
          <t>https://v.douyin.com/wSh_VcmBdcs/</t>
        </is>
      </c>
      <c r="G794" s="5" t="inlineStr">
        <is>
          <t>0001A1</t>
        </is>
      </c>
      <c r="H794" s="5" t="inlineStr">
        <is>
          <t>穿搭</t>
        </is>
      </c>
      <c r="I794" s="5" t="n"/>
      <c r="J794" s="5" t="n"/>
      <c r="K794" s="5" t="n">
        <v>6.6836</v>
      </c>
      <c r="L794" s="5" t="n">
        <v>1758</v>
      </c>
      <c r="M794" s="5" t="n">
        <v>251</v>
      </c>
      <c r="N794" s="5" t="n">
        <v>14</v>
      </c>
      <c r="O794" s="5" t="n">
        <v>27</v>
      </c>
      <c r="P794" s="8">
        <f>IF(AND(M922&lt;&gt;"",M922&gt;0),M922+N922+O922,"")</f>
        <v/>
      </c>
      <c r="Q794" s="11">
        <f>IF(AND(L922&lt;&gt;"",L922&gt;0,P922&lt;&gt;""),P922/L922,"")</f>
        <v/>
      </c>
      <c r="R794" s="16">
        <f>IF(AND(P922&lt;&gt;"",P922&gt;0),(I922+J922+K922)/P922,"")</f>
        <v/>
      </c>
    </row>
    <row r="795" ht="27" customHeight="1">
      <c r="A795" s="5" t="inlineStr">
        <is>
          <t>2026-05-13</t>
        </is>
      </c>
      <c r="B795" s="5" t="inlineStr">
        <is>
          <t>20周</t>
        </is>
      </c>
      <c r="C795" s="5" t="inlineStr">
        <is>
          <t>抖音</t>
        </is>
      </c>
      <c r="D795" s="5" t="n"/>
      <c r="E795" s="5" t="n"/>
      <c r="F795" s="5" t="inlineStr">
        <is>
          <t>https://www.douyin.com/user/MS4wLjABAAAADoJybHgCO7qOp1NU6u5quPUf3prjiWIluJkB23GzmpE?from_tab_name=main&amp;modal_id=7639354105454684283</t>
        </is>
      </c>
      <c r="G795" s="5" t="inlineStr">
        <is>
          <t>489</t>
        </is>
      </c>
      <c r="H795" s="5" t="inlineStr">
        <is>
          <t>马嘉祺</t>
        </is>
      </c>
      <c r="I795" s="5" t="n"/>
      <c r="J795" s="5" t="n"/>
      <c r="K795" s="5" t="n">
        <v>53.5</v>
      </c>
      <c r="L795" s="5" t="n">
        <v>2902</v>
      </c>
      <c r="M795" s="5" t="n">
        <v>298</v>
      </c>
      <c r="N795" s="5" t="n">
        <v>9</v>
      </c>
      <c r="O795" s="5" t="n">
        <v>38</v>
      </c>
      <c r="P795" s="8">
        <f>IF(AND(M923&lt;&gt;"",M923&gt;0),M923+N923+O923,"")</f>
        <v/>
      </c>
      <c r="Q795" s="11">
        <f>IF(AND(L923&lt;&gt;"",L923&gt;0,P923&lt;&gt;""),P923/L923,"")</f>
        <v/>
      </c>
      <c r="R795" s="16">
        <f>IF(AND(P923&lt;&gt;"",P923&gt;0),(I923+J923+K923)/P923,"")</f>
        <v/>
      </c>
    </row>
    <row r="796" ht="27" customHeight="1">
      <c r="A796" s="5" t="inlineStr">
        <is>
          <t>2026-05-14</t>
        </is>
      </c>
      <c r="B796" s="5" t="inlineStr">
        <is>
          <t>20周</t>
        </is>
      </c>
      <c r="C796" s="5" t="inlineStr">
        <is>
          <t>抖音</t>
        </is>
      </c>
      <c r="D796" s="5" t="n"/>
      <c r="E796" s="5" t="n"/>
      <c r="F796" s="5" t="inlineStr">
        <is>
          <t>https://v.douyin.com/iC6hQ9cMaY4/</t>
        </is>
      </c>
      <c r="G796" s="5" t="inlineStr">
        <is>
          <t>495</t>
        </is>
      </c>
      <c r="H796" s="5" t="inlineStr">
        <is>
          <t>穿搭</t>
        </is>
      </c>
      <c r="I796" s="5" t="n"/>
      <c r="J796" s="5" t="n"/>
      <c r="K796" s="5" t="n">
        <v>93</v>
      </c>
      <c r="L796" s="5" t="n">
        <v>7855</v>
      </c>
      <c r="M796" s="5" t="n">
        <v>206</v>
      </c>
      <c r="N796" s="5" t="n">
        <v>13</v>
      </c>
      <c r="O796" s="5" t="n">
        <v>55</v>
      </c>
      <c r="P796" s="8">
        <f>IF(AND(M924&lt;&gt;"",M924&gt;0),M924+N924+O924,"")</f>
        <v/>
      </c>
      <c r="Q796" s="11">
        <f>IF(AND(L924&lt;&gt;"",L924&gt;0,P924&lt;&gt;""),P924/L924,"")</f>
        <v/>
      </c>
      <c r="R796" s="16">
        <f>IF(AND(P924&lt;&gt;"",P924&gt;0),(I924+J924+K924)/P924,"")</f>
        <v/>
      </c>
    </row>
    <row r="797" ht="27" customHeight="1">
      <c r="A797" s="5" t="inlineStr">
        <is>
          <t>2026-05-14</t>
        </is>
      </c>
      <c r="B797" s="5" t="inlineStr">
        <is>
          <t>20周</t>
        </is>
      </c>
      <c r="C797" s="5" t="inlineStr">
        <is>
          <t>小红书</t>
        </is>
      </c>
      <c r="D797" s="5" t="n"/>
      <c r="E797" s="5" t="n"/>
      <c r="F797" s="5" t="inlineStr">
        <is>
          <t>https://www.xiaohongshu.com/discovery/item/6a05634d000000003700eb04?xsec_token=CBmCE4rBhyV7xEewIFdzC9s-TdBXydj3cnFiJ_C5vKALY=&amp;xsec_source=app_share&amp;type=video</t>
        </is>
      </c>
      <c r="G797" s="5" t="inlineStr">
        <is>
          <t>495</t>
        </is>
      </c>
      <c r="H797" s="5" t="inlineStr">
        <is>
          <t>口播</t>
        </is>
      </c>
      <c r="I797" s="5" t="n">
        <v>500</v>
      </c>
      <c r="J797" s="5" t="n"/>
      <c r="K797" s="5" t="n">
        <v>93</v>
      </c>
      <c r="L797" s="5" t="n">
        <v>2589</v>
      </c>
      <c r="M797" s="5" t="n">
        <v>121</v>
      </c>
      <c r="N797" s="5" t="n">
        <v>53</v>
      </c>
      <c r="O797" s="5" t="n">
        <v>23</v>
      </c>
      <c r="P797" s="8">
        <f>IF(AND(M925&lt;&gt;"",M925&gt;0),M925+N925+O925,"")</f>
        <v/>
      </c>
      <c r="Q797" s="11">
        <f>IF(AND(L925&lt;&gt;"",L925&gt;0,P925&lt;&gt;""),P925/L925,"")</f>
        <v/>
      </c>
      <c r="R797" s="16">
        <f>IF(AND(P925&lt;&gt;"",P925&gt;0),(I925+J925+K925)/P925,"")</f>
        <v/>
      </c>
    </row>
    <row r="798" ht="27" customHeight="1">
      <c r="A798" s="5" t="inlineStr">
        <is>
          <t>2026-05-15</t>
        </is>
      </c>
      <c r="B798" s="5" t="inlineStr">
        <is>
          <t>20周</t>
        </is>
      </c>
      <c r="C798" s="5" t="inlineStr">
        <is>
          <t>小红书</t>
        </is>
      </c>
      <c r="D798" s="5" t="n"/>
      <c r="E798" s="5" t="n"/>
      <c r="F798" s="5" t="inlineStr">
        <is>
          <t>https://www.xiaohongshu.com/discovery/item/6a05b8790000000035020aeb?xsec_token=CBmCE4rBhyV7xEewIFdzC9s1tBdXbEUVgel2TcpyKbTo4=&amp;xsec_source=app_share&amp;type=video</t>
        </is>
      </c>
      <c r="G798" s="5" t="inlineStr">
        <is>
          <t>495</t>
        </is>
      </c>
      <c r="H798" s="5" t="inlineStr">
        <is>
          <t>口播</t>
        </is>
      </c>
      <c r="I798" s="5" t="n"/>
      <c r="J798" s="5" t="n"/>
      <c r="K798" s="5" t="n">
        <v>93</v>
      </c>
      <c r="L798" s="5" t="n">
        <v>11997</v>
      </c>
      <c r="M798" s="5" t="n">
        <v>1230</v>
      </c>
      <c r="N798" s="5" t="n">
        <v>478</v>
      </c>
      <c r="O798" s="5" t="n">
        <v>115</v>
      </c>
      <c r="P798" s="8">
        <f>IF(AND(M926&lt;&gt;"",M926&gt;0),M926+N926+O926,"")</f>
        <v/>
      </c>
      <c r="Q798" s="11">
        <f>IF(AND(L926&lt;&gt;"",L926&gt;0,P926&lt;&gt;""),P926/L926,"")</f>
        <v/>
      </c>
      <c r="R798" s="16">
        <f>IF(AND(P926&lt;&gt;"",P926&gt;0),(I926+J926+K926)/P926,"")</f>
        <v/>
      </c>
    </row>
    <row r="799" ht="27" customHeight="1">
      <c r="A799" s="5" t="inlineStr">
        <is>
          <t>2026-05-15</t>
        </is>
      </c>
      <c r="B799" s="5" t="inlineStr">
        <is>
          <t>20周</t>
        </is>
      </c>
      <c r="C799" s="5" t="inlineStr">
        <is>
          <t>抖音</t>
        </is>
      </c>
      <c r="D799" s="5" t="n"/>
      <c r="E799" s="5" t="n"/>
      <c r="F799" s="5" t="inlineStr">
        <is>
          <t>https://v.douyin.com/ANAKiTUXX2U/</t>
        </is>
      </c>
      <c r="G799" s="5" t="inlineStr">
        <is>
          <t>495</t>
        </is>
      </c>
      <c r="H799" s="5" t="inlineStr">
        <is>
          <t>口播</t>
        </is>
      </c>
      <c r="I799" s="5" t="n"/>
      <c r="J799" s="5" t="n"/>
      <c r="K799" s="5" t="n">
        <v>93</v>
      </c>
      <c r="L799" s="5" t="n">
        <v>590000</v>
      </c>
      <c r="M799" s="5" t="n">
        <v>17000</v>
      </c>
      <c r="N799" s="5" t="n">
        <v>11000</v>
      </c>
      <c r="O799" s="5" t="n">
        <v>316</v>
      </c>
      <c r="P799" s="8">
        <f>IF(AND(M927&lt;&gt;"",M927&gt;0),M927+N927+O927,"")</f>
        <v/>
      </c>
      <c r="Q799" s="11">
        <f>IF(AND(L927&lt;&gt;"",L927&gt;0,P927&lt;&gt;""),P927/L927,"")</f>
        <v/>
      </c>
      <c r="R799" s="16">
        <f>IF(AND(P927&lt;&gt;"",P927&gt;0),(I927+J927+K927)/P927,"")</f>
        <v/>
      </c>
    </row>
    <row r="800" ht="27" customHeight="1">
      <c r="A800" s="5" t="inlineStr">
        <is>
          <t>2026-05-15</t>
        </is>
      </c>
      <c r="B800" s="5" t="inlineStr">
        <is>
          <t>20周</t>
        </is>
      </c>
      <c r="C800" s="5" t="inlineStr">
        <is>
          <t>抖音</t>
        </is>
      </c>
      <c r="D800" s="5" t="n"/>
      <c r="E800" s="5" t="n"/>
      <c r="F800" s="5" t="inlineStr">
        <is>
          <t>https://v.douyin.com/M5_QHuq-zYE/</t>
        </is>
      </c>
      <c r="G800" s="5" t="inlineStr">
        <is>
          <t>489</t>
        </is>
      </c>
      <c r="H800" s="5" t="inlineStr">
        <is>
          <t>陈奕恒</t>
        </is>
      </c>
      <c r="I800" s="5" t="n"/>
      <c r="J800" s="5" t="n"/>
      <c r="K800" s="5" t="n">
        <v>53.5</v>
      </c>
      <c r="L800" s="5" t="n">
        <v>102000</v>
      </c>
      <c r="M800" s="5" t="n">
        <v>4724</v>
      </c>
      <c r="N800" s="5" t="n">
        <v>1105</v>
      </c>
      <c r="O800" s="5" t="n">
        <v>67</v>
      </c>
      <c r="P800" s="8">
        <f>IF(AND(M928&lt;&gt;"",M928&gt;0),M928+N928+O928,"")</f>
        <v/>
      </c>
      <c r="Q800" s="11">
        <f>IF(AND(L928&lt;&gt;"",L928&gt;0,P928&lt;&gt;""),P928/L928,"")</f>
        <v/>
      </c>
      <c r="R800" s="16">
        <f>IF(AND(P928&lt;&gt;"",P928&gt;0),(I928+J928+K928)/P928,"")</f>
        <v/>
      </c>
    </row>
    <row r="801" ht="81" customHeight="1">
      <c r="A801" s="5" t="inlineStr">
        <is>
          <t>2026-05-15</t>
        </is>
      </c>
      <c r="B801" s="5" t="inlineStr">
        <is>
          <t>20周</t>
        </is>
      </c>
      <c r="C801" s="5" t="inlineStr">
        <is>
          <t>快手</t>
        </is>
      </c>
      <c r="D801" s="5" t="n"/>
      <c r="E801" s="5" t="n"/>
      <c r="F801" s="5" t="inlineStr">
        <is>
          <t>https://v.kuaishou.com/KpI6M199</t>
        </is>
      </c>
      <c r="G801" s="5" t="inlineStr">
        <is>
          <t>489</t>
        </is>
      </c>
      <c r="H801" s="5" t="inlineStr">
        <is>
          <t>陈奕恒</t>
        </is>
      </c>
      <c r="I801" s="5" t="n"/>
      <c r="J801" s="5" t="n"/>
      <c r="K801" s="5" t="n">
        <v>53.5</v>
      </c>
      <c r="L801" s="5" t="n">
        <v>219000</v>
      </c>
      <c r="M801" s="5" t="n">
        <v>13000</v>
      </c>
      <c r="N801" s="5" t="n">
        <v>2751</v>
      </c>
      <c r="O801" s="5" t="n">
        <v>485</v>
      </c>
      <c r="P801" s="8">
        <f>IF(AND(M929&lt;&gt;"",M929&gt;0),M929+N929+O929,"")</f>
        <v/>
      </c>
      <c r="Q801" s="11">
        <f>IF(AND(L929&lt;&gt;"",L929&gt;0,P929&lt;&gt;""),P929/L929,"")</f>
        <v/>
      </c>
      <c r="R801" s="16">
        <f>IF(AND(P929&lt;&gt;"",P929&gt;0),(I929+J929+K929)/P929,"")</f>
        <v/>
      </c>
    </row>
    <row r="802" ht="81" customHeight="1">
      <c r="A802" s="5" t="inlineStr">
        <is>
          <t>2026-05-15</t>
        </is>
      </c>
      <c r="B802" s="5" t="inlineStr">
        <is>
          <t>20周</t>
        </is>
      </c>
      <c r="C802" s="5" t="inlineStr">
        <is>
          <t>抖音</t>
        </is>
      </c>
      <c r="D802" s="5" t="n"/>
      <c r="E802" s="5" t="n"/>
      <c r="F802" s="5" t="inlineStr">
        <is>
          <t>https://v.douyin.com/FCLKu3l26pI/</t>
        </is>
      </c>
      <c r="G802" s="5" t="inlineStr">
        <is>
          <t>495</t>
        </is>
      </c>
      <c r="H802" s="5" t="inlineStr">
        <is>
          <t>穿搭</t>
        </is>
      </c>
      <c r="I802" s="5" t="n">
        <v>800</v>
      </c>
      <c r="J802" s="5" t="n"/>
      <c r="K802" s="5" t="n">
        <v>93</v>
      </c>
      <c r="L802" s="5" t="n">
        <v>10000</v>
      </c>
      <c r="M802" s="5" t="n">
        <v>793</v>
      </c>
      <c r="N802" s="5" t="n">
        <v>47</v>
      </c>
      <c r="O802" s="5" t="n">
        <v>39</v>
      </c>
      <c r="P802" s="8">
        <f>IF(AND(M930&lt;&gt;"",M930&gt;0),M930+N930+O930,"")</f>
        <v/>
      </c>
      <c r="Q802" s="11">
        <f>IF(AND(L930&lt;&gt;"",L930&gt;0,P930&lt;&gt;""),P930/L930,"")</f>
        <v/>
      </c>
      <c r="R802" s="16">
        <f>IF(AND(P930&lt;&gt;"",P930&gt;0),(I930+J930+K930)/P930,"")</f>
        <v/>
      </c>
    </row>
    <row r="803" ht="81" customHeight="1">
      <c r="A803" s="5" t="inlineStr">
        <is>
          <t>2026-05-15</t>
        </is>
      </c>
      <c r="B803" s="5" t="inlineStr">
        <is>
          <t>20周</t>
        </is>
      </c>
      <c r="C803" s="5" t="inlineStr">
        <is>
          <t>快手</t>
        </is>
      </c>
      <c r="D803" s="5" t="n"/>
      <c r="E803" s="5" t="n"/>
      <c r="F803" s="5" t="inlineStr">
        <is>
          <t>https://v.kuaishou.com/JJqpVAux</t>
        </is>
      </c>
      <c r="G803" s="5" t="inlineStr">
        <is>
          <t>495</t>
        </is>
      </c>
      <c r="H803" s="5" t="inlineStr">
        <is>
          <t>穿搭</t>
        </is>
      </c>
      <c r="I803" s="5" t="n"/>
      <c r="J803" s="5" t="n"/>
      <c r="K803" s="5" t="n">
        <v>93</v>
      </c>
      <c r="L803" s="5" t="n">
        <v>1462</v>
      </c>
      <c r="M803" s="5" t="n">
        <v>239</v>
      </c>
      <c r="N803" s="5" t="n">
        <v>12</v>
      </c>
      <c r="O803" s="5" t="n">
        <v>31</v>
      </c>
      <c r="P803" s="8">
        <f>IF(AND(M931&lt;&gt;"",M931&gt;0),M931+N931+O931,"")</f>
        <v/>
      </c>
      <c r="Q803" s="11">
        <f>IF(AND(L931&lt;&gt;"",L931&gt;0,P931&lt;&gt;""),P931/L931,"")</f>
        <v/>
      </c>
      <c r="R803" s="16">
        <f>IF(AND(P931&lt;&gt;"",P931&gt;0),(I931+J931+K931)/P931,"")</f>
        <v/>
      </c>
    </row>
    <row r="804" ht="27" customHeight="1">
      <c r="A804" s="5" t="inlineStr">
        <is>
          <t>2026-05-15</t>
        </is>
      </c>
      <c r="B804" s="5" t="inlineStr">
        <is>
          <t>20周</t>
        </is>
      </c>
      <c r="C804" s="5" t="inlineStr">
        <is>
          <t>抖音</t>
        </is>
      </c>
      <c r="D804" s="5" t="n"/>
      <c r="E804" s="5" t="n"/>
      <c r="F804" s="5" t="inlineStr">
        <is>
          <t>https://v.douyin.com/FDoyW_VbRwM/</t>
        </is>
      </c>
      <c r="G804" s="5" t="inlineStr">
        <is>
          <t>0003A2</t>
        </is>
      </c>
      <c r="H804" s="5" t="inlineStr">
        <is>
          <t>刘轩丞</t>
        </is>
      </c>
      <c r="I804" s="5" t="n"/>
      <c r="J804" s="5" t="n"/>
      <c r="K804" s="5" t="n">
        <v>49.5</v>
      </c>
      <c r="L804" s="5" t="n">
        <v>2363</v>
      </c>
      <c r="M804" s="5" t="n">
        <v>284</v>
      </c>
      <c r="N804" s="5" t="n">
        <v>6</v>
      </c>
      <c r="O804" s="5" t="n">
        <v>23</v>
      </c>
      <c r="P804" s="8">
        <f>IF(AND(M932&lt;&gt;"",M932&gt;0),M932+N932+O932,"")</f>
        <v/>
      </c>
      <c r="Q804" s="11">
        <f>IF(AND(L932&lt;&gt;"",L932&gt;0,P932&lt;&gt;""),P932/L932,"")</f>
        <v/>
      </c>
      <c r="R804" s="16">
        <f>IF(AND(P932&lt;&gt;"",P932&gt;0),(I932+J932+K932)/P932,"")</f>
        <v/>
      </c>
    </row>
    <row r="805" ht="27" customHeight="1">
      <c r="A805" s="5" t="inlineStr">
        <is>
          <t>2026-05-15</t>
        </is>
      </c>
      <c r="B805" s="5" t="inlineStr">
        <is>
          <t>20周</t>
        </is>
      </c>
      <c r="C805" s="5" t="inlineStr">
        <is>
          <t>抖音</t>
        </is>
      </c>
      <c r="D805" s="5" t="n"/>
      <c r="E805" s="5" t="n"/>
      <c r="F805" s="5" t="inlineStr">
        <is>
          <t>https://v.douyin.com/XZBfYsgrOPY/</t>
        </is>
      </c>
      <c r="G805" s="5" t="inlineStr">
        <is>
          <t>489</t>
        </is>
      </c>
      <c r="H805" s="5" t="inlineStr">
        <is>
          <t>陈奕恒</t>
        </is>
      </c>
      <c r="I805" s="5" t="n"/>
      <c r="J805" s="5" t="n"/>
      <c r="K805" s="5" t="n">
        <v>53.5</v>
      </c>
      <c r="L805" s="5" t="n">
        <v>3483</v>
      </c>
      <c r="M805" s="5" t="n">
        <v>654</v>
      </c>
      <c r="N805" s="5" t="n">
        <v>25</v>
      </c>
      <c r="O805" s="5" t="n">
        <v>72</v>
      </c>
      <c r="P805" s="8">
        <f>IF(AND(M933&lt;&gt;"",M933&gt;0),M933+N933+O933,"")</f>
        <v/>
      </c>
      <c r="Q805" s="11">
        <f>IF(AND(L933&lt;&gt;"",L933&gt;0,P933&lt;&gt;""),P933/L933,"")</f>
        <v/>
      </c>
      <c r="R805" s="16">
        <f>IF(AND(P933&lt;&gt;"",P933&gt;0),(I933+J933+K933)/P933,"")</f>
        <v/>
      </c>
    </row>
    <row r="806" ht="27" customHeight="1">
      <c r="A806" s="5" t="inlineStr">
        <is>
          <t>2026-05-15</t>
        </is>
      </c>
      <c r="B806" s="5" t="inlineStr">
        <is>
          <t>20周</t>
        </is>
      </c>
      <c r="C806" s="5" t="inlineStr">
        <is>
          <t>抖音</t>
        </is>
      </c>
      <c r="D806" s="5" t="n"/>
      <c r="E806" s="5" t="n"/>
      <c r="F806" s="5" t="inlineStr">
        <is>
          <t>https://v.douyin.com/4MC1XUFY0ig/</t>
        </is>
      </c>
      <c r="G806" s="5" t="inlineStr">
        <is>
          <t>489</t>
        </is>
      </c>
      <c r="H806" s="5" t="inlineStr">
        <is>
          <t>陈奕恒</t>
        </is>
      </c>
      <c r="I806" s="5" t="n"/>
      <c r="J806" s="5" t="n"/>
      <c r="K806" s="5" t="n">
        <v>53.5</v>
      </c>
      <c r="L806" s="5" t="n">
        <v>2435</v>
      </c>
      <c r="M806" s="5" t="n">
        <v>423</v>
      </c>
      <c r="N806" s="5" t="n">
        <v>7</v>
      </c>
      <c r="O806" s="5" t="n">
        <v>3</v>
      </c>
      <c r="P806" s="8">
        <f>IF(AND(M934&lt;&gt;"",M934&gt;0),M934+N934+O934,"")</f>
        <v/>
      </c>
      <c r="Q806" s="11">
        <f>IF(AND(L934&lt;&gt;"",L934&gt;0,P934&lt;&gt;""),P934/L934,"")</f>
        <v/>
      </c>
      <c r="R806" s="16">
        <f>IF(AND(P934&lt;&gt;"",P934&gt;0),(I934+J934+K934)/P934,"")</f>
        <v/>
      </c>
    </row>
    <row r="807" ht="27" customHeight="1">
      <c r="A807" s="5" t="inlineStr">
        <is>
          <t>2026-05-15</t>
        </is>
      </c>
      <c r="B807" s="5" t="inlineStr">
        <is>
          <t>20周</t>
        </is>
      </c>
      <c r="C807" s="5" t="inlineStr">
        <is>
          <t>抖音</t>
        </is>
      </c>
      <c r="D807" s="5" t="n"/>
      <c r="E807" s="5" t="n"/>
      <c r="F807" s="5" t="inlineStr">
        <is>
          <t>https://www.douyin.com/user/MS4wLjABAAAAzx8--5jm-nx6o5RtALNsE1SGYXAs90KcwaYZqTGk-uJ9ZDhRJ_wlqzR6k6eYAj-s?from_tab_name=main&amp;modal_id=7639328661140704521&amp;vid=7639701304840375602</t>
        </is>
      </c>
      <c r="G807" s="5" t="inlineStr">
        <is>
          <t>0002A1</t>
        </is>
      </c>
      <c r="H807" s="5" t="inlineStr">
        <is>
          <t>穿搭</t>
        </is>
      </c>
      <c r="I807" s="5" t="n"/>
      <c r="J807" s="5" t="n"/>
      <c r="K807" s="5" t="n">
        <v>25.5</v>
      </c>
      <c r="L807" s="5" t="n">
        <v>160000</v>
      </c>
      <c r="M807" s="5" t="n">
        <v>2635</v>
      </c>
      <c r="N807" s="5" t="n">
        <v>773</v>
      </c>
      <c r="O807" s="5" t="n">
        <v>105</v>
      </c>
      <c r="P807" s="8">
        <f>IF(AND(M935&lt;&gt;"",M935&gt;0),M935+N935+O935,"")</f>
        <v/>
      </c>
      <c r="Q807" s="11">
        <f>IF(AND(L935&lt;&gt;"",L935&gt;0,P935&lt;&gt;""),P935/L935,"")</f>
        <v/>
      </c>
      <c r="R807" s="16">
        <f>IF(AND(P935&lt;&gt;"",P935&gt;0),(I935+J935+K935)/P935,"")</f>
        <v/>
      </c>
    </row>
    <row r="808" ht="27" customHeight="1">
      <c r="A808" s="5" t="inlineStr">
        <is>
          <t>2026-05-16</t>
        </is>
      </c>
      <c r="B808" s="5" t="inlineStr">
        <is>
          <t>20周</t>
        </is>
      </c>
      <c r="C808" s="5" t="inlineStr">
        <is>
          <t>抖音</t>
        </is>
      </c>
      <c r="D808" s="5" t="n"/>
      <c r="E808" s="5" t="n"/>
      <c r="F808" s="5" t="inlineStr">
        <is>
          <t>https://v.douyin.com/mmmgG6gZ2Co/</t>
        </is>
      </c>
      <c r="G808" s="5" t="inlineStr">
        <is>
          <t>459</t>
        </is>
      </c>
      <c r="H808" s="5" t="inlineStr">
        <is>
          <t>穿搭</t>
        </is>
      </c>
      <c r="I808" s="5" t="n"/>
      <c r="J808" s="5" t="n"/>
      <c r="K808" s="5" t="n">
        <v>46.5</v>
      </c>
      <c r="L808" s="5" t="n">
        <v>3548</v>
      </c>
      <c r="M808" s="5" t="n">
        <v>139</v>
      </c>
      <c r="N808" s="5" t="n">
        <v>5</v>
      </c>
      <c r="O808" s="5" t="n">
        <v>6</v>
      </c>
      <c r="P808" s="8">
        <f>IF(AND(M936&lt;&gt;"",M936&gt;0),M936+N936+O936,"")</f>
        <v/>
      </c>
      <c r="Q808" s="11">
        <f>IF(AND(L936&lt;&gt;"",L936&gt;0,P936&lt;&gt;""),P936/L936,"")</f>
        <v/>
      </c>
      <c r="R808" s="16">
        <f>IF(AND(P936&lt;&gt;"",P936&gt;0),(I936+J936+K936)/P936,"")</f>
        <v/>
      </c>
    </row>
    <row r="809" ht="27" customHeight="1">
      <c r="A809" s="5" t="inlineStr">
        <is>
          <t>2026-05-16</t>
        </is>
      </c>
      <c r="B809" s="5" t="inlineStr">
        <is>
          <t>20周</t>
        </is>
      </c>
      <c r="C809" s="5" t="inlineStr">
        <is>
          <t>快手</t>
        </is>
      </c>
      <c r="D809" s="5" t="n"/>
      <c r="E809" s="5" t="n"/>
      <c r="F809" s="5" t="inlineStr">
        <is>
          <t>https://v.kuaishou.com/Jgyx3ZhI</t>
        </is>
      </c>
      <c r="G809" s="5" t="inlineStr">
        <is>
          <t>489</t>
        </is>
      </c>
      <c r="H809" s="5" t="inlineStr">
        <is>
          <t>赵露思</t>
        </is>
      </c>
      <c r="I809" s="5" t="n"/>
      <c r="J809" s="5" t="n"/>
      <c r="K809" s="5" t="n">
        <v>53.5</v>
      </c>
      <c r="L809" s="5" t="n">
        <v>2970</v>
      </c>
      <c r="M809" s="5" t="n">
        <v>16</v>
      </c>
      <c r="N809" s="5" t="n">
        <v>0</v>
      </c>
      <c r="O809" s="5" t="n">
        <v>6</v>
      </c>
      <c r="P809" s="8">
        <f>IF(AND(M937&lt;&gt;"",M937&gt;0),M937+N937+O937,"")</f>
        <v/>
      </c>
      <c r="Q809" s="11">
        <f>IF(AND(L937&lt;&gt;"",L937&gt;0,P937&lt;&gt;""),P937/L937,"")</f>
        <v/>
      </c>
      <c r="R809" s="16">
        <f>IF(AND(P937&lt;&gt;"",P937&gt;0),(I937+J937+K937)/P937,"")</f>
        <v/>
      </c>
    </row>
    <row r="810">
      <c r="A810" s="5" t="inlineStr">
        <is>
          <t>2026-05-16</t>
        </is>
      </c>
      <c r="B810" s="5" t="inlineStr">
        <is>
          <t>20周</t>
        </is>
      </c>
      <c r="C810" s="5" t="inlineStr">
        <is>
          <t>抖音</t>
        </is>
      </c>
      <c r="D810" s="5" t="n"/>
      <c r="E810" s="5" t="n"/>
      <c r="F810" s="5" t="inlineStr">
        <is>
          <t>https://v.douyin.com/fdmjRLubDnQ/</t>
        </is>
      </c>
      <c r="G810" s="5" t="inlineStr">
        <is>
          <t>495</t>
        </is>
      </c>
      <c r="H810" s="5" t="inlineStr">
        <is>
          <t>穿搭</t>
        </is>
      </c>
      <c r="I810" s="5" t="n"/>
      <c r="J810" s="5" t="n"/>
      <c r="K810" s="5" t="n">
        <v>93</v>
      </c>
      <c r="L810" s="5" t="n">
        <v>10000</v>
      </c>
      <c r="M810" s="5" t="n">
        <v>207</v>
      </c>
      <c r="N810" s="5" t="n">
        <v>8</v>
      </c>
      <c r="O810" s="5" t="n">
        <v>11</v>
      </c>
      <c r="P810" s="8">
        <f>IF(AND(M938&lt;&gt;"",M938&gt;0),M938+N938+O938,"")</f>
        <v/>
      </c>
      <c r="Q810" s="11">
        <f>IF(AND(L938&lt;&gt;"",L938&gt;0,P938&lt;&gt;""),P938/L938,"")</f>
        <v/>
      </c>
      <c r="R810" s="16">
        <f>IF(AND(P938&lt;&gt;"",P938&gt;0),(I938+J938+K938)/P938,"")</f>
        <v/>
      </c>
    </row>
    <row r="811" ht="67.5" customHeight="1">
      <c r="A811" s="5" t="inlineStr">
        <is>
          <t>2026-05-16</t>
        </is>
      </c>
      <c r="B811" s="5" t="inlineStr">
        <is>
          <t>20周</t>
        </is>
      </c>
      <c r="C811" s="5" t="inlineStr">
        <is>
          <t>抖音</t>
        </is>
      </c>
      <c r="D811" s="5" t="n"/>
      <c r="E811" s="5" t="n"/>
      <c r="F811" s="5" t="inlineStr">
        <is>
          <t>https://www.douyin.com/user/MS4wLjABAAAALsHkE9c9-Qid14n8PtYjOkB-bkMa70UpCRShXeE8EHY?from_tab_name=main&amp;modal_id=7640454235252203685&amp;vid=7640454235252203685</t>
        </is>
      </c>
      <c r="G811" s="5" t="inlineStr">
        <is>
          <t>489</t>
        </is>
      </c>
      <c r="H811" s="5" t="inlineStr">
        <is>
          <t>马嘉祺</t>
        </is>
      </c>
      <c r="I811" s="5" t="n"/>
      <c r="J811" s="5" t="n"/>
      <c r="K811" s="5" t="n">
        <v>53.5</v>
      </c>
      <c r="L811" s="5" t="n">
        <v>2236</v>
      </c>
      <c r="M811" s="5" t="n">
        <v>164</v>
      </c>
      <c r="N811" s="5" t="n">
        <v>9</v>
      </c>
      <c r="O811" s="5" t="n">
        <v>8</v>
      </c>
      <c r="P811" s="8">
        <f>IF(AND(M939&lt;&gt;"",M939&gt;0),M939+N939+O939,"")</f>
        <v/>
      </c>
      <c r="Q811" s="11">
        <f>IF(AND(L939&lt;&gt;"",L939&gt;0,P939&lt;&gt;""),P939/L939,"")</f>
        <v/>
      </c>
      <c r="R811" s="16">
        <f>IF(AND(P939&lt;&gt;"",P939&gt;0),(I939+J939+K939)/P939,"")</f>
        <v/>
      </c>
    </row>
    <row r="812" ht="94.5" customHeight="1">
      <c r="A812" s="5" t="inlineStr">
        <is>
          <t>2026-05-16</t>
        </is>
      </c>
      <c r="B812" s="5" t="inlineStr">
        <is>
          <t>20周</t>
        </is>
      </c>
      <c r="C812" s="5" t="inlineStr">
        <is>
          <t>抖音</t>
        </is>
      </c>
      <c r="D812" s="5" t="n"/>
      <c r="E812" s="5" t="n"/>
      <c r="F812" s="5" t="inlineStr">
        <is>
          <t>https://v.douyin.com/S5xLIXhiFnQ/</t>
        </is>
      </c>
      <c r="G812" s="5" t="inlineStr">
        <is>
          <t>489</t>
        </is>
      </c>
      <c r="H812" s="5" t="inlineStr">
        <is>
          <t>陈奕恒</t>
        </is>
      </c>
      <c r="I812" s="5" t="n"/>
      <c r="J812" s="5" t="n"/>
      <c r="K812" s="5" t="n">
        <v>53.5</v>
      </c>
      <c r="L812" s="5" t="n">
        <v>2125</v>
      </c>
      <c r="M812" s="5" t="n">
        <v>243</v>
      </c>
      <c r="N812" s="5" t="n">
        <v>18</v>
      </c>
      <c r="O812" s="5" t="n">
        <v>43</v>
      </c>
      <c r="P812" s="8">
        <f>IF(AND(M940&lt;&gt;"",M940&gt;0),M940+N940+O940,"")</f>
        <v/>
      </c>
      <c r="Q812" s="11">
        <f>IF(AND(L940&lt;&gt;"",L940&gt;0,P940&lt;&gt;""),P940/L940,"")</f>
        <v/>
      </c>
      <c r="R812" s="16">
        <f>IF(AND(P940&lt;&gt;"",P940&gt;0),(I940+J940+K940)/P940,"")</f>
        <v/>
      </c>
    </row>
    <row r="813" ht="81" customHeight="1">
      <c r="A813" s="5" t="inlineStr">
        <is>
          <t>2026-05-16</t>
        </is>
      </c>
      <c r="B813" s="5" t="inlineStr">
        <is>
          <t>20周</t>
        </is>
      </c>
      <c r="C813" s="5" t="inlineStr">
        <is>
          <t>抖音</t>
        </is>
      </c>
      <c r="D813" s="5" t="n"/>
      <c r="E813" s="5" t="n"/>
      <c r="F813" s="5" t="inlineStr">
        <is>
          <t>https://v.douyin.com/vp7IkZ_CInE/</t>
        </is>
      </c>
      <c r="G813" s="5" t="inlineStr">
        <is>
          <t>0002A1</t>
        </is>
      </c>
      <c r="H813" s="5" t="inlineStr">
        <is>
          <t>穿搭</t>
        </is>
      </c>
      <c r="I813" s="5" t="n"/>
      <c r="J813" s="5" t="n"/>
      <c r="K813" s="5" t="n">
        <v>25.5</v>
      </c>
      <c r="L813" s="5" t="n">
        <v>44000</v>
      </c>
      <c r="M813" s="5" t="n">
        <v>692</v>
      </c>
      <c r="N813" s="5" t="n">
        <v>215</v>
      </c>
      <c r="O813" s="5" t="n">
        <v>60</v>
      </c>
      <c r="P813" s="8">
        <f>IF(AND(M941&lt;&gt;"",M941&gt;0),M941+N941+O941,"")</f>
        <v/>
      </c>
      <c r="Q813" s="11">
        <f>IF(AND(L941&lt;&gt;"",L941&gt;0,P941&lt;&gt;""),P941/L941,"")</f>
        <v/>
      </c>
      <c r="R813" s="16">
        <f>IF(AND(P941&lt;&gt;"",P941&gt;0),(I941+J941+K941)/P941,"")</f>
        <v/>
      </c>
    </row>
    <row r="814" ht="67.5" customHeight="1">
      <c r="A814" s="5" t="inlineStr">
        <is>
          <t>2026-05-16</t>
        </is>
      </c>
      <c r="B814" s="5" t="inlineStr">
        <is>
          <t>20周</t>
        </is>
      </c>
      <c r="C814" s="5" t="inlineStr">
        <is>
          <t>抖音</t>
        </is>
      </c>
      <c r="D814" s="5" t="n"/>
      <c r="E814" s="5" t="n"/>
      <c r="F814" s="5" t="inlineStr">
        <is>
          <t>https://v.douyin.com/dOmmseH8aN8/</t>
        </is>
      </c>
      <c r="G814" s="5" t="inlineStr">
        <is>
          <t>492</t>
        </is>
      </c>
      <c r="H814" s="5" t="inlineStr">
        <is>
          <t>陈立农</t>
        </is>
      </c>
      <c r="I814" s="5" t="n"/>
      <c r="J814" s="5" t="n"/>
      <c r="K814" s="5" t="n">
        <v>69.5</v>
      </c>
      <c r="L814" s="5" t="n">
        <v>5791</v>
      </c>
      <c r="M814" s="5" t="n">
        <v>415</v>
      </c>
      <c r="N814" s="5" t="n">
        <v>1</v>
      </c>
      <c r="O814" s="5" t="n">
        <v>24</v>
      </c>
      <c r="P814" s="8">
        <f>IF(AND(M942&lt;&gt;"",M942&gt;0),M942+N942+O942,"")</f>
        <v/>
      </c>
      <c r="Q814" s="11">
        <f>IF(AND(L942&lt;&gt;"",L942&gt;0,P942&lt;&gt;""),P942/L942,"")</f>
        <v/>
      </c>
      <c r="R814" s="16">
        <f>IF(AND(P942&lt;&gt;"",P942&gt;0),(I942+J942+K942)/P942,"")</f>
        <v/>
      </c>
    </row>
    <row r="815" ht="27" customHeight="1">
      <c r="A815" s="5" t="inlineStr">
        <is>
          <t>2026-05-16</t>
        </is>
      </c>
      <c r="B815" s="5" t="inlineStr">
        <is>
          <t>20周</t>
        </is>
      </c>
      <c r="C815" s="5" t="inlineStr">
        <is>
          <t>小红书</t>
        </is>
      </c>
      <c r="D815" s="5" t="n"/>
      <c r="E815" s="5" t="n"/>
      <c r="F815" s="5" t="inlineStr">
        <is>
          <t>https://www.xiaohongshu.com/discovery/item/6a07ccca000000000702aa5a?xsec_token=CBe52f_DAxGJOkfN26Vzz9EdUV4nksyfdYuMP6Q2Qu2XI=&amp;xsec_source=app_share&amp;type=video</t>
        </is>
      </c>
      <c r="G815" s="5" t="inlineStr">
        <is>
          <t>489</t>
        </is>
      </c>
      <c r="H815" s="5" t="inlineStr">
        <is>
          <t>魏笑</t>
        </is>
      </c>
      <c r="I815" s="5" t="n"/>
      <c r="J815" s="5" t="n"/>
      <c r="K815" s="5" t="n">
        <v>53.5</v>
      </c>
      <c r="L815" s="5" t="n">
        <v>3067</v>
      </c>
      <c r="M815" s="5" t="n">
        <v>223</v>
      </c>
      <c r="N815" s="5" t="n">
        <v>24</v>
      </c>
      <c r="O815" s="5" t="n">
        <v>18</v>
      </c>
      <c r="P815" s="8">
        <f>IF(AND(M943&lt;&gt;"",M943&gt;0),M943+N943+O943,"")</f>
        <v/>
      </c>
      <c r="Q815" s="11">
        <f>IF(AND(L943&lt;&gt;"",L943&gt;0,P943&lt;&gt;""),P943/L943,"")</f>
        <v/>
      </c>
      <c r="R815" s="16">
        <f>IF(AND(P943&lt;&gt;"",P943&gt;0),(I943+J943+K943)/P943,"")</f>
        <v/>
      </c>
    </row>
    <row r="816" ht="27" customHeight="1">
      <c r="A816" s="5" t="inlineStr">
        <is>
          <t>2026-05-16</t>
        </is>
      </c>
      <c r="B816" s="5" t="inlineStr">
        <is>
          <t>20周</t>
        </is>
      </c>
      <c r="C816" s="5" t="inlineStr">
        <is>
          <t>小红书</t>
        </is>
      </c>
      <c r="D816" s="5" t="n"/>
      <c r="E816" s="5" t="n"/>
      <c r="F816" s="5" t="inlineStr">
        <is>
          <t>https://www.xiaohongshu.com/discovery/item/6a07eb5a00000000360197d2?xsec_token=CBz_4TeqKnSs2aA7MgOdz6XnG1oPtwheyGh7i9e3atjm8=&amp;xsec_source=app_share&amp;type=video</t>
        </is>
      </c>
      <c r="G816" s="5" t="inlineStr">
        <is>
          <t>489</t>
        </is>
      </c>
      <c r="H816" s="5" t="inlineStr">
        <is>
          <t>陈奕恒</t>
        </is>
      </c>
      <c r="I816" s="5" t="n"/>
      <c r="J816" s="5" t="n"/>
      <c r="K816" s="5" t="n">
        <v>53.5</v>
      </c>
      <c r="L816" s="5" t="n">
        <v>3718</v>
      </c>
      <c r="M816" s="5" t="n">
        <v>332</v>
      </c>
      <c r="N816" s="5" t="n">
        <v>23</v>
      </c>
      <c r="O816" s="5" t="n">
        <v>1</v>
      </c>
      <c r="P816" s="8">
        <f>IF(AND(M944&lt;&gt;"",M944&gt;0),M944+N944+O944,"")</f>
        <v/>
      </c>
      <c r="Q816" s="11">
        <f>IF(AND(L944&lt;&gt;"",L944&gt;0,P944&lt;&gt;""),P944/L944,"")</f>
        <v/>
      </c>
      <c r="R816" s="16">
        <f>IF(AND(P944&lt;&gt;"",P944&gt;0),(I944+J944+K944)/P944,"")</f>
        <v/>
      </c>
    </row>
    <row r="817" ht="27" customHeight="1">
      <c r="A817" s="5" t="inlineStr">
        <is>
          <t>2026-05-17</t>
        </is>
      </c>
      <c r="B817" s="5" t="inlineStr">
        <is>
          <t>20周</t>
        </is>
      </c>
      <c r="C817" s="5" t="inlineStr">
        <is>
          <t>小红书</t>
        </is>
      </c>
      <c r="D817" s="5" t="n"/>
      <c r="E817" s="5" t="n"/>
      <c r="F817" s="5" t="inlineStr">
        <is>
          <t>https://www.xiaohongshu.com/discovery/item/6a0857850000000006035e87?xsec_token=CB55XpqwWDFzNsYjNXKr_0fcAmd1BSHIsoUYTuNgctZeE=&amp;xsec_source=app_share</t>
        </is>
      </c>
      <c r="G817" s="5" t="inlineStr">
        <is>
          <t>489</t>
        </is>
      </c>
      <c r="H817" s="5" t="inlineStr">
        <is>
          <t>陈奕恒</t>
        </is>
      </c>
      <c r="I817" s="5" t="n"/>
      <c r="J817" s="5" t="n"/>
      <c r="K817" s="5" t="n">
        <v>53.5</v>
      </c>
      <c r="L817" s="5" t="n">
        <v>698</v>
      </c>
      <c r="M817" s="5" t="n">
        <v>36</v>
      </c>
      <c r="N817" s="5" t="n">
        <v>13</v>
      </c>
      <c r="O817" s="5" t="n">
        <v>4</v>
      </c>
      <c r="P817" s="8">
        <f>IF(AND(M945&lt;&gt;"",M945&gt;0),M945+N945+O945,"")</f>
        <v/>
      </c>
      <c r="Q817" s="11">
        <f>IF(AND(L945&lt;&gt;"",L945&gt;0,P945&lt;&gt;""),P945/L945,"")</f>
        <v/>
      </c>
      <c r="R817" s="16">
        <f>IF(AND(P945&lt;&gt;"",P945&gt;0),(I945+J945+K945)/P945,"")</f>
        <v/>
      </c>
    </row>
    <row r="818" ht="81" customHeight="1">
      <c r="A818" s="5" t="inlineStr">
        <is>
          <t>2026-05-17</t>
        </is>
      </c>
      <c r="B818" s="5" t="inlineStr">
        <is>
          <t>20周</t>
        </is>
      </c>
      <c r="C818" s="5" t="inlineStr">
        <is>
          <t>抖音</t>
        </is>
      </c>
      <c r="D818" s="5" t="n"/>
      <c r="E818" s="5" t="n"/>
      <c r="F818" s="5" t="inlineStr">
        <is>
          <t>https://v.douyin.com/nM5zqDHSsiQ/</t>
        </is>
      </c>
      <c r="G818" s="5" t="inlineStr">
        <is>
          <t>459</t>
        </is>
      </c>
      <c r="H818" s="5" t="inlineStr">
        <is>
          <t>口播</t>
        </is>
      </c>
      <c r="I818" s="5" t="n"/>
      <c r="J818" s="5" t="n"/>
      <c r="K818" s="5" t="n">
        <v>46.5</v>
      </c>
      <c r="L818" s="5" t="n">
        <v>3961</v>
      </c>
      <c r="M818" s="5" t="n">
        <v>64</v>
      </c>
      <c r="N818" s="5" t="n">
        <v>32</v>
      </c>
      <c r="O818" s="5" t="n">
        <v>3</v>
      </c>
      <c r="P818" s="8">
        <f>IF(AND(M946&lt;&gt;"",M946&gt;0),M946+N946+O946,"")</f>
        <v/>
      </c>
      <c r="Q818" s="11">
        <f>IF(AND(L946&lt;&gt;"",L946&gt;0,P946&lt;&gt;""),P946/L946,"")</f>
        <v/>
      </c>
      <c r="R818" s="16">
        <f>IF(AND(P946&lt;&gt;"",P946&gt;0),(I946+J946+K946)/P946,"")</f>
        <v/>
      </c>
    </row>
    <row r="819" ht="81" customHeight="1">
      <c r="A819" s="5" t="inlineStr">
        <is>
          <t>2026-05-17</t>
        </is>
      </c>
      <c r="B819" s="5" t="inlineStr">
        <is>
          <t>20周</t>
        </is>
      </c>
      <c r="C819" s="5" t="inlineStr">
        <is>
          <t>抖音</t>
        </is>
      </c>
      <c r="D819" s="5" t="n"/>
      <c r="E819" s="5" t="n"/>
      <c r="F819" s="5" t="inlineStr">
        <is>
          <t>https://v.douyin.com/4Nr1oTYLiDQ/</t>
        </is>
      </c>
      <c r="G819" s="5" t="inlineStr">
        <is>
          <t>0003A2</t>
        </is>
      </c>
      <c r="H819" s="5" t="inlineStr">
        <is>
          <t>刘轩丞</t>
        </is>
      </c>
      <c r="I819" s="5" t="n"/>
      <c r="J819" s="5" t="n"/>
      <c r="K819" s="5" t="n">
        <v>49.5</v>
      </c>
      <c r="L819" s="5" t="n">
        <v>16000</v>
      </c>
      <c r="M819" s="5" t="n">
        <v>664</v>
      </c>
      <c r="N819" s="5" t="n">
        <v>59</v>
      </c>
      <c r="O819" s="5" t="n">
        <v>30</v>
      </c>
      <c r="P819" s="8">
        <f>IF(AND(M947&lt;&gt;"",M947&gt;0),M947+N947+O947,"")</f>
        <v/>
      </c>
      <c r="Q819" s="11">
        <f>IF(AND(L947&lt;&gt;"",L947&gt;0,P947&lt;&gt;""),P947/L947,"")</f>
        <v/>
      </c>
      <c r="R819" s="16">
        <f>IF(AND(P947&lt;&gt;"",P947&gt;0),(I947+J947+K947)/P947,"")</f>
        <v/>
      </c>
    </row>
    <row r="820" ht="27" customHeight="1">
      <c r="A820" s="5" t="inlineStr">
        <is>
          <t>2026-05-17</t>
        </is>
      </c>
      <c r="B820" s="5" t="inlineStr">
        <is>
          <t>20周</t>
        </is>
      </c>
      <c r="C820" s="5" t="inlineStr">
        <is>
          <t>抖音</t>
        </is>
      </c>
      <c r="D820" s="5" t="n"/>
      <c r="E820" s="5" t="n"/>
      <c r="F820" s="5" t="inlineStr">
        <is>
          <t>https://www.douyin.com/note/7640746911004472689</t>
        </is>
      </c>
      <c r="G820" s="5" t="inlineStr">
        <is>
          <t>489</t>
        </is>
      </c>
      <c r="H820" s="5" t="inlineStr">
        <is>
          <t>陈奕恒</t>
        </is>
      </c>
      <c r="I820" s="5" t="n"/>
      <c r="J820" s="5" t="n"/>
      <c r="K820" s="5" t="n">
        <v>53.5</v>
      </c>
      <c r="L820" s="5" t="n">
        <v>2003</v>
      </c>
      <c r="M820" s="5" t="n">
        <v>317</v>
      </c>
      <c r="N820" s="5" t="n">
        <v>16</v>
      </c>
      <c r="O820" s="5" t="n">
        <v>45</v>
      </c>
      <c r="P820" s="8">
        <f>IF(AND(M948&lt;&gt;"",M948&gt;0),M948+N948+O948,"")</f>
        <v/>
      </c>
      <c r="Q820" s="11">
        <f>IF(AND(L948&lt;&gt;"",L948&gt;0,P948&lt;&gt;""),P948/L948,"")</f>
        <v/>
      </c>
      <c r="R820" s="16">
        <f>IF(AND(P948&lt;&gt;"",P948&gt;0),(I948+J948+K948)/P948,"")</f>
        <v/>
      </c>
    </row>
    <row r="821" ht="27" customHeight="1">
      <c r="A821" s="5" t="inlineStr">
        <is>
          <t>2026-05-17</t>
        </is>
      </c>
      <c r="B821" s="5" t="inlineStr">
        <is>
          <t>20周</t>
        </is>
      </c>
      <c r="C821" s="5" t="inlineStr">
        <is>
          <t>抖音</t>
        </is>
      </c>
      <c r="D821" s="5" t="n"/>
      <c r="E821" s="5" t="n"/>
      <c r="F821" s="5" t="inlineStr">
        <is>
          <t>https://v.douyin.com/RcmuFpv16aA/</t>
        </is>
      </c>
      <c r="G821" s="5" t="inlineStr">
        <is>
          <t>459</t>
        </is>
      </c>
      <c r="H821" s="5" t="inlineStr">
        <is>
          <t>口播</t>
        </is>
      </c>
      <c r="I821" s="5" t="n">
        <v>90</v>
      </c>
      <c r="J821" s="5" t="n"/>
      <c r="K821" s="5" t="n">
        <v>46.5</v>
      </c>
      <c r="L821" s="5" t="n">
        <v>8693</v>
      </c>
      <c r="M821" s="5" t="n">
        <v>162</v>
      </c>
      <c r="N821" s="5" t="n">
        <v>120</v>
      </c>
      <c r="O821" s="5" t="n">
        <v>13</v>
      </c>
      <c r="P821" s="8">
        <f>IF(AND(M949&lt;&gt;"",M949&gt;0),M949+N949+O949,"")</f>
        <v/>
      </c>
      <c r="Q821" s="11">
        <f>IF(AND(L949&lt;&gt;"",L949&gt;0,P949&lt;&gt;""),P949/L949,"")</f>
        <v/>
      </c>
      <c r="R821" s="16">
        <f>IF(AND(P949&lt;&gt;"",P949&gt;0),(I949+J949+K949)/P949,"")</f>
        <v/>
      </c>
    </row>
    <row r="822" ht="27" customHeight="1">
      <c r="A822" s="5" t="inlineStr">
        <is>
          <t>2026-05-17</t>
        </is>
      </c>
      <c r="B822" s="5" t="inlineStr">
        <is>
          <t>20周</t>
        </is>
      </c>
      <c r="C822" s="5" t="inlineStr">
        <is>
          <t>抖音</t>
        </is>
      </c>
      <c r="D822" s="5" t="n"/>
      <c r="E822" s="5" t="n"/>
      <c r="F822" s="5" t="inlineStr">
        <is>
          <t>https://v.douyin.com/KfMJYtqrG2A/</t>
        </is>
      </c>
      <c r="G822" s="5" t="inlineStr">
        <is>
          <t>489</t>
        </is>
      </c>
      <c r="H822" s="5" t="inlineStr">
        <is>
          <t>赵露思</t>
        </is>
      </c>
      <c r="I822" s="5" t="n"/>
      <c r="J822" s="5" t="n"/>
      <c r="K822" s="5" t="n">
        <v>53.5</v>
      </c>
      <c r="L822" s="5" t="n">
        <v>2249</v>
      </c>
      <c r="M822" s="5" t="n">
        <v>199</v>
      </c>
      <c r="N822" s="5" t="n">
        <v>7</v>
      </c>
      <c r="O822" s="5" t="n">
        <v>12</v>
      </c>
      <c r="P822" s="8">
        <f>IF(AND(M950&lt;&gt;"",M950&gt;0),M950+N950+O950,"")</f>
        <v/>
      </c>
      <c r="Q822" s="11">
        <f>IF(AND(L950&lt;&gt;"",L950&gt;0,P950&lt;&gt;""),P950/L950,"")</f>
        <v/>
      </c>
      <c r="R822" s="16">
        <f>IF(AND(P950&lt;&gt;"",P950&gt;0),(I950+J950+K950)/P950,"")</f>
        <v/>
      </c>
    </row>
    <row r="823" ht="27" customHeight="1">
      <c r="A823" s="5" t="inlineStr">
        <is>
          <t>2026-05-17</t>
        </is>
      </c>
      <c r="B823" s="5" t="inlineStr">
        <is>
          <t>20周</t>
        </is>
      </c>
      <c r="C823" s="5" t="inlineStr">
        <is>
          <t>抖音</t>
        </is>
      </c>
      <c r="D823" s="5" t="n"/>
      <c r="E823" s="5" t="n"/>
      <c r="F823" s="5" t="inlineStr">
        <is>
          <t>https://v.douyin.com/esKaVAGzzGc/</t>
        </is>
      </c>
      <c r="G823" s="5" t="inlineStr">
        <is>
          <t>459</t>
        </is>
      </c>
      <c r="H823" s="5" t="inlineStr">
        <is>
          <t>口播</t>
        </is>
      </c>
      <c r="I823" s="5" t="n"/>
      <c r="J823" s="5" t="n"/>
      <c r="K823" s="5" t="n">
        <v>46.5</v>
      </c>
      <c r="L823" s="5" t="n">
        <v>34000</v>
      </c>
      <c r="M823" s="5" t="n">
        <v>583</v>
      </c>
      <c r="N823" s="5" t="n">
        <v>289</v>
      </c>
      <c r="O823" s="5" t="n">
        <v>78</v>
      </c>
      <c r="P823" s="8">
        <f>IF(AND(M951&lt;&gt;"",M951&gt;0),M951+N951+O951,"")</f>
        <v/>
      </c>
      <c r="Q823" s="11">
        <f>IF(AND(L951&lt;&gt;"",L951&gt;0,P951&lt;&gt;""),P951/L951,"")</f>
        <v/>
      </c>
      <c r="R823" s="16">
        <f>IF(AND(P951&lt;&gt;"",P951&gt;0),(I951+J951+K951)/P951,"")</f>
        <v/>
      </c>
    </row>
    <row r="824" ht="27" customHeight="1">
      <c r="A824" s="5" t="inlineStr">
        <is>
          <t>2026-05-17</t>
        </is>
      </c>
      <c r="B824" s="5" t="inlineStr">
        <is>
          <t>20周</t>
        </is>
      </c>
      <c r="C824" s="5" t="inlineStr">
        <is>
          <t>快手</t>
        </is>
      </c>
      <c r="D824" s="5" t="n"/>
      <c r="E824" s="5" t="n"/>
      <c r="F824" s="5" t="inlineStr">
        <is>
          <t>https://v.kuaishou.com/ni2XnZvV</t>
        </is>
      </c>
      <c r="G824" s="5" t="inlineStr">
        <is>
          <t>489</t>
        </is>
      </c>
      <c r="H824" s="5" t="inlineStr">
        <is>
          <t>陈奕恒</t>
        </is>
      </c>
      <c r="I824" s="5" t="n"/>
      <c r="J824" s="5" t="n"/>
      <c r="K824" s="5" t="n">
        <v>53.5</v>
      </c>
      <c r="L824" s="5" t="n">
        <v>3010</v>
      </c>
      <c r="M824" s="5" t="n">
        <v>31</v>
      </c>
      <c r="N824" s="5" t="n">
        <v>0</v>
      </c>
      <c r="O824" s="5" t="n">
        <v>6</v>
      </c>
      <c r="P824" s="8">
        <f>IF(AND(M952&lt;&gt;"",M952&gt;0),M952+N952+O952,"")</f>
        <v/>
      </c>
      <c r="Q824" s="11">
        <f>IF(AND(L952&lt;&gt;"",L952&gt;0,P952&lt;&gt;""),P952/L952,"")</f>
        <v/>
      </c>
      <c r="R824" s="16">
        <f>IF(AND(P952&lt;&gt;"",P952&gt;0),(I952+J952+K952)/P952,"")</f>
        <v/>
      </c>
    </row>
    <row r="825" ht="81" customHeight="1">
      <c r="A825" s="5" t="inlineStr">
        <is>
          <t>2026-05-17</t>
        </is>
      </c>
      <c r="B825" s="5" t="inlineStr">
        <is>
          <t>20周</t>
        </is>
      </c>
      <c r="C825" s="5" t="inlineStr">
        <is>
          <t>小红书</t>
        </is>
      </c>
      <c r="D825" s="5" t="n"/>
      <c r="E825" s="5" t="n"/>
      <c r="F825" s="5" t="inlineStr">
        <is>
          <t>https://www.xiaohongshu.com/discovery/item/6a0967d70000000007027b60?xsec_token=CBWk_j1aqDUvtQJVBedGVILLjI16kR31ZR1xeUOXTp7J0=&amp;xsec_source=app_share&amp;type=video</t>
        </is>
      </c>
      <c r="G825" s="5" t="inlineStr">
        <is>
          <t>489</t>
        </is>
      </c>
      <c r="H825" s="5" t="inlineStr">
        <is>
          <t>魏笑</t>
        </is>
      </c>
      <c r="I825" s="5" t="n"/>
      <c r="J825" s="5" t="n"/>
      <c r="K825" s="5" t="n">
        <v>53.5</v>
      </c>
      <c r="L825" s="5" t="n">
        <v>1548</v>
      </c>
      <c r="M825" s="5" t="n">
        <v>89</v>
      </c>
      <c r="N825" s="5" t="n">
        <v>4</v>
      </c>
      <c r="O825" s="5" t="n">
        <v>21</v>
      </c>
      <c r="P825" s="8">
        <f>IF(AND(M953&lt;&gt;"",M953&gt;0),M953+N953+O953,"")</f>
        <v/>
      </c>
      <c r="Q825" s="11">
        <f>IF(AND(L953&lt;&gt;"",L953&gt;0,P953&lt;&gt;""),P953/L953,"")</f>
        <v/>
      </c>
      <c r="R825" s="16">
        <f>IF(AND(P953&lt;&gt;"",P953&gt;0),(I953+J953+K953)/P953,"")</f>
        <v/>
      </c>
    </row>
    <row r="826" ht="27" customHeight="1">
      <c r="A826" s="5" t="inlineStr">
        <is>
          <t>2026-05-17</t>
        </is>
      </c>
      <c r="B826" s="5" t="inlineStr">
        <is>
          <t>20周</t>
        </is>
      </c>
      <c r="C826" s="5" t="inlineStr">
        <is>
          <t>小红书</t>
        </is>
      </c>
      <c r="D826" s="5" t="n"/>
      <c r="E826" s="5" t="n"/>
      <c r="F826" s="5" t="inlineStr">
        <is>
          <t>https://www.xiaohongshu.com/discovery/item/6a097d0a00000000060335cc?xsec_token=CBWk_j1aqDUvtQJVBedGVILHeUvsUKdS231m0KNao1Yuk=&amp;xsec_source=app_share&amp;type=video</t>
        </is>
      </c>
      <c r="G826" s="5" t="inlineStr">
        <is>
          <t>0002A1</t>
        </is>
      </c>
      <c r="H826" s="5" t="inlineStr">
        <is>
          <t>穿搭</t>
        </is>
      </c>
      <c r="I826" s="5" t="n"/>
      <c r="J826" s="5" t="n"/>
      <c r="K826" s="5" t="n">
        <v>25.5</v>
      </c>
      <c r="L826" s="5" t="n">
        <v>944</v>
      </c>
      <c r="M826" s="5" t="n">
        <v>42</v>
      </c>
      <c r="N826" s="5" t="n">
        <v>16</v>
      </c>
      <c r="O826" s="5" t="n">
        <v>12</v>
      </c>
      <c r="P826" s="8">
        <f>IF(AND(M954&lt;&gt;"",M954&gt;0),M954+N954+O954,"")</f>
        <v/>
      </c>
      <c r="Q826" s="11">
        <f>IF(AND(L954&lt;&gt;"",L954&gt;0,P954&lt;&gt;""),P954/L954,"")</f>
        <v/>
      </c>
      <c r="R826" s="16">
        <f>IF(AND(P954&lt;&gt;"",P954&gt;0),(I954+J954+K954)/P954,"")</f>
        <v/>
      </c>
    </row>
    <row r="827" ht="27" customHeight="1">
      <c r="A827" s="5" t="inlineStr">
        <is>
          <t>2026-05-17</t>
        </is>
      </c>
      <c r="B827" s="5" t="inlineStr">
        <is>
          <t>20周</t>
        </is>
      </c>
      <c r="C827" s="5" t="inlineStr">
        <is>
          <t>小红书</t>
        </is>
      </c>
      <c r="D827" s="5" t="n"/>
      <c r="E827" s="5" t="n"/>
      <c r="F827" s="5" t="inlineStr">
        <is>
          <t>https://www.xiaohongshu.com/discovery/item/6a0994ae000000000803f04e?xsec_token=CBakmnCQQGNgdb0-zz_zAa5QEPmP5lk4yc21EU24AZwxI=&amp;xsec_source=app_share</t>
        </is>
      </c>
      <c r="G827" s="5" t="inlineStr">
        <is>
          <t>0003A2</t>
        </is>
      </c>
      <c r="H827" s="5" t="inlineStr">
        <is>
          <t>刘轩丞</t>
        </is>
      </c>
      <c r="I827" s="5" t="n"/>
      <c r="J827" s="5" t="n"/>
      <c r="K827" s="5" t="n">
        <v>49.5</v>
      </c>
      <c r="L827" s="5" t="n">
        <v>687</v>
      </c>
      <c r="M827" s="5" t="n">
        <v>43</v>
      </c>
      <c r="N827" s="5" t="n">
        <v>3</v>
      </c>
      <c r="O827" s="5" t="n">
        <v>4</v>
      </c>
      <c r="P827" s="8">
        <f>IF(AND(M955&lt;&gt;"",M955&gt;0),M955+N955+O955,"")</f>
        <v/>
      </c>
      <c r="Q827" s="11">
        <f>IF(AND(L955&lt;&gt;"",L955&gt;0,P955&lt;&gt;""),P955/L955,"")</f>
        <v/>
      </c>
      <c r="R827" s="16">
        <f>IF(AND(P955&lt;&gt;"",P955&gt;0),(I955+J955+K955)/P955,"")</f>
        <v/>
      </c>
    </row>
    <row r="828" ht="81" customHeight="1">
      <c r="A828" s="5" t="inlineStr">
        <is>
          <t>2026-05-17</t>
        </is>
      </c>
      <c r="B828" s="5" t="inlineStr">
        <is>
          <t>20周</t>
        </is>
      </c>
      <c r="C828" s="5" t="inlineStr">
        <is>
          <t>小红书</t>
        </is>
      </c>
      <c r="D828" s="5" t="n"/>
      <c r="E828" s="5" t="n"/>
      <c r="F828" s="5" t="inlineStr">
        <is>
          <t>https://www.xiaohongshu.com/discovery/item/6a09981d0000000038022187?xsec_token=CBWk_j1aqDUvtQJVBedGVILJdmj9aLZPGOLa3ub36KOSE=&amp;xsec_source=app_share&amp;type=video</t>
        </is>
      </c>
      <c r="G828" s="5" t="inlineStr">
        <is>
          <t>489</t>
        </is>
      </c>
      <c r="H828" s="5" t="inlineStr">
        <is>
          <t>鞋子合集</t>
        </is>
      </c>
      <c r="I828" s="5" t="n"/>
      <c r="J828" s="5" t="n"/>
      <c r="K828" s="5" t="n">
        <v>53.5</v>
      </c>
      <c r="L828" s="5" t="n">
        <v>1460</v>
      </c>
      <c r="M828" s="5" t="n">
        <v>80</v>
      </c>
      <c r="N828" s="5" t="n">
        <v>32</v>
      </c>
      <c r="O828" s="5" t="n">
        <v>5</v>
      </c>
      <c r="P828" s="8">
        <f>IF(AND(M956&lt;&gt;"",M956&gt;0),M956+N956+O956,"")</f>
        <v/>
      </c>
      <c r="Q828" s="11">
        <f>IF(AND(L956&lt;&gt;"",L956&gt;0,P956&lt;&gt;""),P956/L956,"")</f>
        <v/>
      </c>
      <c r="R828" s="16">
        <f>IF(AND(P956&lt;&gt;"",P956&gt;0),(I956+J956+K956)/P956,"")</f>
        <v/>
      </c>
    </row>
    <row r="829" ht="67.5" customHeight="1">
      <c r="A829" s="5" t="inlineStr">
        <is>
          <t>2026-05-17</t>
        </is>
      </c>
      <c r="B829" s="5" t="inlineStr">
        <is>
          <t>20周</t>
        </is>
      </c>
      <c r="C829" s="5" t="inlineStr">
        <is>
          <t>小红书</t>
        </is>
      </c>
      <c r="D829" s="5" t="n"/>
      <c r="E829" s="5" t="n"/>
      <c r="F829" s="5" t="inlineStr">
        <is>
          <t>https://www.xiaohongshu.com/discovery/item/6a09c2330000000035026891?xsec_token=CBakmnCQQGNgdb0-zz_zAa5TOHtFWASIGjtfouVGeWSOk=&amp;xsec_source=app_share&amp;type=video</t>
        </is>
      </c>
      <c r="G829" s="5" t="inlineStr">
        <is>
          <t>459</t>
        </is>
      </c>
      <c r="H829" s="5" t="inlineStr">
        <is>
          <t>口播</t>
        </is>
      </c>
      <c r="I829" s="5" t="n"/>
      <c r="J829" s="5" t="n"/>
      <c r="K829" s="5" t="n">
        <v>46.5</v>
      </c>
      <c r="L829" s="5" t="n">
        <v>1194</v>
      </c>
      <c r="M829" s="5" t="n">
        <v>45</v>
      </c>
      <c r="N829" s="5" t="n">
        <v>13</v>
      </c>
      <c r="O829" s="5" t="n">
        <v>18</v>
      </c>
      <c r="P829" s="8">
        <f>IF(AND(M957&lt;&gt;"",M957&gt;0),M957+N957+O957,"")</f>
        <v/>
      </c>
      <c r="Q829" s="11">
        <f>IF(AND(L957&lt;&gt;"",L957&gt;0,P957&lt;&gt;""),P957/L957,"")</f>
        <v/>
      </c>
      <c r="R829" s="16">
        <f>IF(AND(P957&lt;&gt;"",P957&gt;0),(I957+J957+K957)/P957,"")</f>
        <v/>
      </c>
    </row>
    <row r="830" ht="67.5" customHeight="1">
      <c r="A830" s="5" t="inlineStr">
        <is>
          <t>2026-05-17</t>
        </is>
      </c>
      <c r="B830" s="5" t="inlineStr">
        <is>
          <t>20周</t>
        </is>
      </c>
      <c r="C830" s="5" t="inlineStr">
        <is>
          <t>小红书</t>
        </is>
      </c>
      <c r="D830" s="5" t="n"/>
      <c r="E830" s="5" t="n"/>
      <c r="F830" s="5" t="inlineStr">
        <is>
          <t>https://www.xiaohongshu.com/discovery/item/6a09cb920000000007025906?xsec_token=CBH1OXMlUAHJw0DB2CjjtyDphMK_hmoBoQMRKVgrQjtp4=&amp;xsec_source=app_share&amp;type=video</t>
        </is>
      </c>
      <c r="G830" s="5" t="inlineStr">
        <is>
          <t>0003A2</t>
        </is>
      </c>
      <c r="H830" s="5" t="inlineStr">
        <is>
          <t>刘轩丞</t>
        </is>
      </c>
      <c r="I830" s="5" t="n"/>
      <c r="J830" s="5" t="n"/>
      <c r="K830" s="5" t="n">
        <v>49.5</v>
      </c>
      <c r="L830" s="5" t="n">
        <v>981</v>
      </c>
      <c r="M830" s="5" t="n">
        <v>62</v>
      </c>
      <c r="N830" s="5" t="n">
        <v>2</v>
      </c>
      <c r="O830" s="5" t="n">
        <v>9</v>
      </c>
      <c r="P830" s="8">
        <f>IF(AND(M958&lt;&gt;"",M958&gt;0),M958+N958+O958,"")</f>
        <v/>
      </c>
      <c r="Q830" s="11">
        <f>IF(AND(L958&lt;&gt;"",L958&gt;0,P958&lt;&gt;""),P958/L958,"")</f>
        <v/>
      </c>
      <c r="R830" s="16">
        <f>IF(AND(P958&lt;&gt;"",P958&gt;0),(I958+J958+K958)/P958,"")</f>
        <v/>
      </c>
    </row>
    <row r="831" ht="27" customHeight="1">
      <c r="A831" s="5" t="inlineStr">
        <is>
          <t>2026-05-18</t>
        </is>
      </c>
      <c r="B831" s="5" t="inlineStr">
        <is>
          <t>21周</t>
        </is>
      </c>
      <c r="C831" s="5" t="inlineStr">
        <is>
          <t>小红书</t>
        </is>
      </c>
      <c r="D831" s="5" t="n"/>
      <c r="E831" s="5" t="n"/>
      <c r="F831" s="5" t="inlineStr">
        <is>
          <t>https://www.xiaohongshu.com/discovery/item/6a09cfbe000000000702d4d9?xsec_token=CBWk_j1aqDUvtQJVBedGVILC7M_qk57v0Pp_FpaqwRvuM=&amp;xsec_source=app_share&amp;type=video</t>
        </is>
      </c>
      <c r="G831" s="5" t="inlineStr">
        <is>
          <t>0003A2</t>
        </is>
      </c>
      <c r="H831" s="5" t="inlineStr">
        <is>
          <t>刘轩丞</t>
        </is>
      </c>
      <c r="I831" s="5" t="n"/>
      <c r="J831" s="5" t="n"/>
      <c r="K831" s="5" t="n">
        <v>49.5</v>
      </c>
      <c r="L831" s="5" t="n">
        <v>3457</v>
      </c>
      <c r="M831" s="5" t="n">
        <v>185</v>
      </c>
      <c r="N831" s="5" t="n">
        <v>17</v>
      </c>
      <c r="O831" s="5" t="n">
        <v>42</v>
      </c>
      <c r="P831" s="8">
        <f>IF(AND(M959&lt;&gt;"",M959&gt;0),M959+N959+O959,"")</f>
        <v/>
      </c>
      <c r="Q831" s="11">
        <f>IF(AND(L959&lt;&gt;"",L959&gt;0,P959&lt;&gt;""),P959/L959,"")</f>
        <v/>
      </c>
      <c r="R831" s="16">
        <f>IF(AND(P959&lt;&gt;"",P959&gt;0),(I959+J959+K959)/P959,"")</f>
        <v/>
      </c>
    </row>
    <row r="832" ht="27" customHeight="1">
      <c r="A832" s="5" t="inlineStr">
        <is>
          <t>2026-05-18</t>
        </is>
      </c>
      <c r="B832" s="5" t="inlineStr">
        <is>
          <t>21周</t>
        </is>
      </c>
      <c r="C832" s="5" t="inlineStr">
        <is>
          <t>抖音</t>
        </is>
      </c>
      <c r="D832" s="5" t="n"/>
      <c r="E832" s="5" t="n"/>
      <c r="F832" s="5" t="inlineStr">
        <is>
          <t>https://v.douyin.com/XPsdox0nH1Y/</t>
        </is>
      </c>
      <c r="G832" s="5" t="inlineStr">
        <is>
          <t>495</t>
        </is>
      </c>
      <c r="H832" s="5" t="inlineStr">
        <is>
          <t>穿搭</t>
        </is>
      </c>
      <c r="I832" s="5" t="n"/>
      <c r="J832" s="5" t="n"/>
      <c r="K832" s="5" t="n">
        <v>93</v>
      </c>
      <c r="L832" s="5" t="n">
        <v>11000</v>
      </c>
      <c r="M832" s="5" t="n">
        <v>771</v>
      </c>
      <c r="N832" s="5" t="n">
        <v>86</v>
      </c>
      <c r="O832" s="5" t="n">
        <v>4</v>
      </c>
      <c r="P832" s="8">
        <f>IF(AND(M960&lt;&gt;"",M960&gt;0),M960+N960+O960,"")</f>
        <v/>
      </c>
      <c r="Q832" s="11">
        <f>IF(AND(L960&lt;&gt;"",L960&gt;0,P960&lt;&gt;""),P960/L960,"")</f>
        <v/>
      </c>
      <c r="R832" s="16">
        <f>IF(AND(P960&lt;&gt;"",P960&gt;0),(I960+J960+K960)/P960,"")</f>
        <v/>
      </c>
    </row>
    <row r="833" ht="27" customHeight="1">
      <c r="A833" s="5" t="inlineStr">
        <is>
          <t>2026-05-18</t>
        </is>
      </c>
      <c r="B833" s="5" t="inlineStr">
        <is>
          <t>21周</t>
        </is>
      </c>
      <c r="C833" s="5" t="inlineStr">
        <is>
          <t>抖音</t>
        </is>
      </c>
      <c r="D833" s="5" t="n"/>
      <c r="E833" s="5" t="n"/>
      <c r="F833" s="5" t="inlineStr">
        <is>
          <t>https://v.douyin.com/YD8H0Tdo3UA/</t>
        </is>
      </c>
      <c r="G833" s="5" t="inlineStr">
        <is>
          <t>0003A2</t>
        </is>
      </c>
      <c r="H833" s="5" t="inlineStr">
        <is>
          <t>穿搭</t>
        </is>
      </c>
      <c r="I833" s="5" t="n"/>
      <c r="J833" s="5" t="n"/>
      <c r="K833" s="5" t="n">
        <v>49.5</v>
      </c>
      <c r="L833" s="5" t="n">
        <v>20000</v>
      </c>
      <c r="M833" s="5" t="n">
        <v>1577</v>
      </c>
      <c r="N833" s="5" t="n">
        <v>67</v>
      </c>
      <c r="O833" s="5" t="n">
        <v>11</v>
      </c>
      <c r="P833" s="8">
        <f>IF(AND(M961&lt;&gt;"",M961&gt;0),M961+N961+O961,"")</f>
        <v/>
      </c>
      <c r="Q833" s="11">
        <f>IF(AND(L961&lt;&gt;"",L961&gt;0,P961&lt;&gt;""),P961/L961,"")</f>
        <v/>
      </c>
      <c r="R833" s="16">
        <f>IF(AND(P961&lt;&gt;"",P961&gt;0),(I961+J961+K961)/P961,"")</f>
        <v/>
      </c>
    </row>
    <row r="834" ht="81" customHeight="1">
      <c r="A834" s="5" t="inlineStr">
        <is>
          <t>2026-05-19</t>
        </is>
      </c>
      <c r="B834" s="5" t="inlineStr">
        <is>
          <t>21周</t>
        </is>
      </c>
      <c r="C834" s="5" t="inlineStr">
        <is>
          <t>微博</t>
        </is>
      </c>
      <c r="D834" s="5" t="n"/>
      <c r="E834" s="5" t="n"/>
      <c r="F834" s="5" t="inlineStr">
        <is>
          <t>https://weibo.com/6710965419/5299924850967277</t>
        </is>
      </c>
      <c r="G834" s="5" t="inlineStr">
        <is>
          <t>0003A2</t>
        </is>
      </c>
      <c r="H834" s="5" t="inlineStr">
        <is>
          <t>刘轩丞</t>
        </is>
      </c>
      <c r="I834" s="5" t="n"/>
      <c r="J834" s="5" t="n"/>
      <c r="K834" s="5" t="n">
        <v>49.5</v>
      </c>
      <c r="L834" s="5" t="n">
        <v>22000</v>
      </c>
      <c r="M834" s="5" t="n">
        <v>191</v>
      </c>
      <c r="N834" s="5" t="n">
        <v>76</v>
      </c>
      <c r="O834" s="5" t="n">
        <v>2</v>
      </c>
      <c r="P834" s="8">
        <f>IF(AND(M962&lt;&gt;"",M962&gt;0),M962+N962+O962,"")</f>
        <v/>
      </c>
      <c r="Q834" s="11">
        <f>IF(AND(L962&lt;&gt;"",L962&gt;0,P962&lt;&gt;""),P962/L962,"")</f>
        <v/>
      </c>
      <c r="R834" s="16">
        <f>IF(AND(P962&lt;&gt;"",P962&gt;0),(I962+J962+K962)/P962,"")</f>
        <v/>
      </c>
    </row>
    <row r="835" ht="67.5" customHeight="1">
      <c r="A835" s="5" t="inlineStr">
        <is>
          <t>2026-05-19</t>
        </is>
      </c>
      <c r="B835" s="5" t="inlineStr">
        <is>
          <t>21周</t>
        </is>
      </c>
      <c r="C835" s="5" t="inlineStr">
        <is>
          <t>抖音</t>
        </is>
      </c>
      <c r="D835" s="5" t="n"/>
      <c r="E835" s="5" t="n"/>
      <c r="F835" s="5" t="inlineStr">
        <is>
          <t>https://www.douyin.com/user/MS4wLjABAAAAQJbysiBkHK3rM95HFfYj0SDFnP6yaQuNnb6ntYarbHs?from_tab_name=main</t>
        </is>
      </c>
      <c r="G835" s="5" t="inlineStr">
        <is>
          <t>489</t>
        </is>
      </c>
      <c r="H835" s="5" t="inlineStr">
        <is>
          <t>陈奕恒</t>
        </is>
      </c>
      <c r="I835" s="5" t="n"/>
      <c r="J835" s="5" t="n"/>
      <c r="K835" s="5" t="n">
        <v>53.5</v>
      </c>
      <c r="L835" s="5" t="n">
        <v>1944</v>
      </c>
      <c r="M835" s="5" t="n">
        <v>478</v>
      </c>
      <c r="N835" s="5" t="n">
        <v>7</v>
      </c>
      <c r="O835" s="5" t="n">
        <v>135</v>
      </c>
      <c r="P835" s="8">
        <f>IF(AND(M963&lt;&gt;"",M963&gt;0),M963+N963+O963,"")</f>
        <v/>
      </c>
      <c r="Q835" s="11">
        <f>IF(AND(L963&lt;&gt;"",L963&gt;0,P963&lt;&gt;""),P963/L963,"")</f>
        <v/>
      </c>
      <c r="R835" s="16">
        <f>IF(AND(P963&lt;&gt;"",P963&gt;0),(I963+J963+K963)/P963,"")</f>
        <v/>
      </c>
    </row>
    <row r="836" ht="67.5" customHeight="1">
      <c r="A836" s="5" t="inlineStr">
        <is>
          <t>2026-05-19</t>
        </is>
      </c>
      <c r="B836" s="5" t="inlineStr">
        <is>
          <t>21周</t>
        </is>
      </c>
      <c r="C836" s="5" t="inlineStr">
        <is>
          <t>抖音</t>
        </is>
      </c>
      <c r="D836" s="5" t="n"/>
      <c r="E836" s="5" t="n"/>
      <c r="F836" s="5" t="inlineStr">
        <is>
          <t>https://v.douyin.com/WsCX-HtRCNw/</t>
        </is>
      </c>
      <c r="G836" s="5" t="inlineStr">
        <is>
          <t>0003A2</t>
        </is>
      </c>
      <c r="H836" s="5" t="inlineStr">
        <is>
          <t>刘轩丞</t>
        </is>
      </c>
      <c r="I836" s="5" t="n"/>
      <c r="J836" s="5" t="n"/>
      <c r="K836" s="5" t="n">
        <v>49.5</v>
      </c>
      <c r="L836" s="5" t="n">
        <v>219</v>
      </c>
      <c r="M836" s="5" t="n">
        <v>22</v>
      </c>
      <c r="N836" s="5" t="n">
        <v>0</v>
      </c>
      <c r="O836" s="5" t="n">
        <v>29</v>
      </c>
      <c r="P836" s="8">
        <f>IF(AND(M964&lt;&gt;"",M964&gt;0),M964+N964+O964,"")</f>
        <v/>
      </c>
      <c r="Q836" s="11">
        <f>IF(AND(L964&lt;&gt;"",L964&gt;0,P964&lt;&gt;""),P964/L964,"")</f>
        <v/>
      </c>
      <c r="R836" s="16">
        <f>IF(AND(P964&lt;&gt;"",P964&gt;0),(I964+J964+K964)/P964,"")</f>
        <v/>
      </c>
    </row>
    <row r="837" ht="27" customHeight="1">
      <c r="A837" s="5" t="inlineStr">
        <is>
          <t>2026-05-19</t>
        </is>
      </c>
      <c r="B837" s="5" t="inlineStr">
        <is>
          <t>21周</t>
        </is>
      </c>
      <c r="C837" s="5" t="inlineStr">
        <is>
          <t>抖音</t>
        </is>
      </c>
      <c r="D837" s="5" t="n"/>
      <c r="E837" s="5" t="n"/>
      <c r="F837" s="5" t="inlineStr">
        <is>
          <t>https://v.douyin.com/_58JSNJVu9M</t>
        </is>
      </c>
      <c r="G837" s="5" t="inlineStr">
        <is>
          <t>489</t>
        </is>
      </c>
      <c r="H837" s="5" t="inlineStr">
        <is>
          <t>穿搭</t>
        </is>
      </c>
      <c r="I837" s="5" t="n"/>
      <c r="J837" s="5" t="n"/>
      <c r="K837" s="5" t="n">
        <v>53.5</v>
      </c>
      <c r="L837" s="5" t="n">
        <v>44000</v>
      </c>
      <c r="M837" s="5" t="n">
        <v>1479</v>
      </c>
      <c r="N837" s="5" t="n">
        <v>248</v>
      </c>
      <c r="O837" s="5" t="n">
        <v>26</v>
      </c>
      <c r="P837" s="8">
        <f>IF(AND(M965&lt;&gt;"",M965&gt;0),M965+N965+O965,"")</f>
        <v/>
      </c>
      <c r="Q837" s="11">
        <f>IF(AND(L965&lt;&gt;"",L965&gt;0,P965&lt;&gt;""),P965/L965,"")</f>
        <v/>
      </c>
      <c r="R837" s="16">
        <f>IF(AND(P965&lt;&gt;"",P965&gt;0),(I965+J965+K965)/P965,"")</f>
        <v/>
      </c>
    </row>
    <row r="838" ht="40.5" customHeight="1">
      <c r="A838" s="5" t="inlineStr">
        <is>
          <t>2026-05-19</t>
        </is>
      </c>
      <c r="B838" s="5" t="inlineStr">
        <is>
          <t>21周</t>
        </is>
      </c>
      <c r="C838" s="5" t="inlineStr">
        <is>
          <t>小红书</t>
        </is>
      </c>
      <c r="D838" s="5" t="n"/>
      <c r="E838" s="5" t="n"/>
      <c r="F838" s="5" t="inlineStr">
        <is>
          <t>https://www.xiaohongshu.com/discovery/item/6a0bcf8a00000000080002fd?xsec_token=CBE-f1RlWl6sg4A7nHG1rlX2-Cgr5eYQF36jZJm2U-GqU=&amp;xsec_source=app_share</t>
        </is>
      </c>
      <c r="G838" s="5" t="inlineStr">
        <is>
          <t>489</t>
        </is>
      </c>
      <c r="H838" s="5" t="inlineStr">
        <is>
          <t>魏笑</t>
        </is>
      </c>
      <c r="I838" s="5" t="n"/>
      <c r="J838" s="5" t="n"/>
      <c r="K838" s="5" t="n">
        <v>53.5</v>
      </c>
      <c r="L838" s="5" t="n">
        <v>654</v>
      </c>
      <c r="M838" s="5" t="n">
        <v>87</v>
      </c>
      <c r="N838" s="5" t="n">
        <v>0</v>
      </c>
      <c r="O838" s="5" t="n">
        <v>2</v>
      </c>
      <c r="P838" s="8">
        <f>IF(AND(M966&lt;&gt;"",M966&gt;0),M966+N966+O966,"")</f>
        <v/>
      </c>
      <c r="Q838" s="11">
        <f>IF(AND(L966&lt;&gt;"",L966&gt;0,P966&lt;&gt;""),P966/L966,"")</f>
        <v/>
      </c>
      <c r="R838" s="16">
        <f>IF(AND(P966&lt;&gt;"",P966&gt;0),(I966+J966+K966)/P966,"")</f>
        <v/>
      </c>
    </row>
    <row r="839" ht="40.5" customHeight="1">
      <c r="A839" s="5" t="inlineStr">
        <is>
          <t>2026-05-20</t>
        </is>
      </c>
      <c r="B839" s="5" t="inlineStr">
        <is>
          <t>21周</t>
        </is>
      </c>
      <c r="C839" s="5" t="inlineStr">
        <is>
          <t>小红书</t>
        </is>
      </c>
      <c r="D839" s="5" t="n"/>
      <c r="E839" s="5" t="n"/>
      <c r="F839" s="5" t="inlineStr">
        <is>
          <t>https://www.xiaohongshu.com/discovery/item/6a0c38fc000000000800157d?xsec_token=CBS8Kt6lbFrmnkaQhdt9UsrKuZQ_z6aP_HISA7rHu7jh0=&amp;xsec_source=app_share</t>
        </is>
      </c>
      <c r="G839" s="5" t="inlineStr">
        <is>
          <t>0003A2</t>
        </is>
      </c>
      <c r="H839" s="5" t="inlineStr">
        <is>
          <t>刘轩丞</t>
        </is>
      </c>
      <c r="I839" s="5" t="n"/>
      <c r="J839" s="5" t="n"/>
      <c r="K839" s="5" t="n">
        <v>49.5</v>
      </c>
      <c r="L839" s="5" t="n">
        <v>1529</v>
      </c>
      <c r="M839" s="5" t="n">
        <v>88</v>
      </c>
      <c r="N839" s="5" t="n">
        <v>10</v>
      </c>
      <c r="O839" s="5" t="n">
        <v>14</v>
      </c>
      <c r="P839" s="8">
        <f>IF(AND(M967&lt;&gt;"",M967&gt;0),M967+N967+O967,"")</f>
        <v/>
      </c>
      <c r="Q839" s="11">
        <f>IF(AND(L967&lt;&gt;"",L967&gt;0,P967&lt;&gt;""),P967/L967,"")</f>
        <v/>
      </c>
      <c r="R839" s="16">
        <f>IF(AND(P967&lt;&gt;"",P967&gt;0),(I967+J967+K967)/P967,"")</f>
        <v/>
      </c>
    </row>
    <row r="840" ht="27" customHeight="1">
      <c r="A840" s="5" t="inlineStr">
        <is>
          <t>2026-05-21</t>
        </is>
      </c>
      <c r="B840" s="5" t="inlineStr">
        <is>
          <t>21周</t>
        </is>
      </c>
      <c r="C840" s="5" t="inlineStr">
        <is>
          <t>抖音</t>
        </is>
      </c>
      <c r="D840" s="5" t="n"/>
      <c r="E840" s="5" t="n"/>
      <c r="F840" s="5" t="inlineStr">
        <is>
          <t>https://v.douyin.com/TjUrxJgG7X4/</t>
        </is>
      </c>
      <c r="G840" s="5" t="inlineStr">
        <is>
          <t>0003A2</t>
        </is>
      </c>
      <c r="H840" s="5" t="inlineStr">
        <is>
          <t>健身穿搭</t>
        </is>
      </c>
      <c r="I840" s="5" t="n"/>
      <c r="J840" s="5" t="n"/>
      <c r="K840" s="5" t="n">
        <v>49.5</v>
      </c>
      <c r="L840" s="5" t="n">
        <v>80000</v>
      </c>
      <c r="M840" s="5" t="n">
        <v>2473</v>
      </c>
      <c r="N840" s="5" t="n">
        <v>348</v>
      </c>
      <c r="O840" s="5" t="n">
        <v>9</v>
      </c>
      <c r="P840" s="8">
        <f>IF(AND(M968&lt;&gt;"",M968&gt;0),M968+N968+O968,"")</f>
        <v/>
      </c>
      <c r="Q840" s="11">
        <f>IF(AND(L968&lt;&gt;"",L968&gt;0,P968&lt;&gt;""),P968/L968,"")</f>
        <v/>
      </c>
      <c r="R840" s="16">
        <f>IF(AND(P968&lt;&gt;"",P968&gt;0),(I968+J968+K968)/P968,"")</f>
        <v/>
      </c>
    </row>
    <row r="841" ht="81" customHeight="1">
      <c r="A841" s="5" t="inlineStr">
        <is>
          <t>2026-05-21</t>
        </is>
      </c>
      <c r="B841" s="5" t="inlineStr">
        <is>
          <t>21周</t>
        </is>
      </c>
      <c r="C841" s="5" t="inlineStr">
        <is>
          <t>抖音</t>
        </is>
      </c>
      <c r="D841" s="5" t="n"/>
      <c r="E841" s="5" t="n"/>
      <c r="F841" s="5" t="inlineStr">
        <is>
          <t>https://v.douyin.com/siMAmnyz7X0/</t>
        </is>
      </c>
      <c r="G841" s="5" t="inlineStr">
        <is>
          <t>0003A2</t>
        </is>
      </c>
      <c r="H841" s="5" t="inlineStr">
        <is>
          <t>穿搭</t>
        </is>
      </c>
      <c r="I841" s="5" t="n"/>
      <c r="J841" s="5" t="n"/>
      <c r="K841" s="5" t="n">
        <v>49.5</v>
      </c>
      <c r="L841" s="5" t="n">
        <v>9822</v>
      </c>
      <c r="M841" s="5" t="n">
        <v>190</v>
      </c>
      <c r="N841" s="5" t="n">
        <v>42</v>
      </c>
      <c r="O841" s="5" t="n">
        <v>24</v>
      </c>
      <c r="P841" s="8">
        <f>IF(AND(M969&lt;&gt;"",M969&gt;0),M969+N969+O969,"")</f>
        <v/>
      </c>
      <c r="Q841" s="11">
        <f>IF(AND(L969&lt;&gt;"",L969&gt;0,P969&lt;&gt;""),P969/L969,"")</f>
        <v/>
      </c>
      <c r="R841" s="16">
        <f>IF(AND(P969&lt;&gt;"",P969&gt;0),(I969+J969+K969)/P969,"")</f>
        <v/>
      </c>
    </row>
    <row r="842" ht="81" customHeight="1">
      <c r="A842" s="5" t="inlineStr">
        <is>
          <t>2026-05-21</t>
        </is>
      </c>
      <c r="B842" s="5" t="inlineStr">
        <is>
          <t>21周</t>
        </is>
      </c>
      <c r="C842" s="5" t="inlineStr">
        <is>
          <t>抖音</t>
        </is>
      </c>
      <c r="D842" s="5" t="n"/>
      <c r="E842" s="5" t="n"/>
      <c r="F842" s="5" t="inlineStr">
        <is>
          <t>https://v.douyin.com/4LXwU3CQV6Q/</t>
        </is>
      </c>
      <c r="G842" s="5" t="inlineStr">
        <is>
          <t>489</t>
        </is>
      </c>
      <c r="H842" s="5" t="inlineStr">
        <is>
          <t>口播</t>
        </is>
      </c>
      <c r="I842" s="5" t="n">
        <v>200</v>
      </c>
      <c r="J842" s="5" t="n"/>
      <c r="K842" s="5" t="n">
        <v>53.5</v>
      </c>
      <c r="L842" s="5" t="n">
        <v>6726</v>
      </c>
      <c r="M842" s="5" t="n">
        <v>174</v>
      </c>
      <c r="N842" s="5" t="n">
        <v>64</v>
      </c>
      <c r="O842" s="5" t="n">
        <v>14</v>
      </c>
      <c r="P842" s="8">
        <f>IF(AND(M970&lt;&gt;"",M970&gt;0),M970+N970+O970,"")</f>
        <v/>
      </c>
      <c r="Q842" s="11">
        <f>IF(AND(L970&lt;&gt;"",L970&gt;0,P970&lt;&gt;""),P970/L970,"")</f>
        <v/>
      </c>
      <c r="R842" s="16">
        <f>IF(AND(P970&lt;&gt;"",P970&gt;0),(I970+J970+K970)/P970,"")</f>
        <v/>
      </c>
    </row>
    <row r="843" ht="81" customHeight="1">
      <c r="A843" s="5" t="inlineStr">
        <is>
          <t>2026-05-22</t>
        </is>
      </c>
      <c r="B843" s="5" t="inlineStr">
        <is>
          <t>21周</t>
        </is>
      </c>
      <c r="C843" s="5" t="inlineStr">
        <is>
          <t>小红书</t>
        </is>
      </c>
      <c r="D843" s="5" t="n"/>
      <c r="E843" s="5" t="n"/>
      <c r="F843" s="5" t="inlineStr">
        <is>
          <t>https://www.xiaohongshu.com/discovery/item/6a0f00680000000006030e2c?xsec_token=CBbJW_kSzCJMQbuAV74DeU65SJWJWHeZvW876xMEiWUDc=&amp;xsec_source=app_share&amp;type=video</t>
        </is>
      </c>
      <c r="G843" s="5" t="inlineStr">
        <is>
          <t>489</t>
        </is>
      </c>
      <c r="H843" s="5" t="inlineStr">
        <is>
          <t>口播</t>
        </is>
      </c>
      <c r="I843" s="5" t="n"/>
      <c r="J843" s="5" t="n"/>
      <c r="K843" s="5" t="n">
        <v>53.5</v>
      </c>
      <c r="L843" s="5" t="n">
        <v>2824</v>
      </c>
      <c r="M843" s="5" t="n">
        <v>100</v>
      </c>
      <c r="N843" s="5" t="n">
        <v>46</v>
      </c>
      <c r="O843" s="5" t="n">
        <v>30</v>
      </c>
      <c r="P843" s="8">
        <f>IF(AND(M971&lt;&gt;"",M971&gt;0),M971+N971+O971,"")</f>
        <v/>
      </c>
      <c r="Q843" s="11">
        <f>IF(AND(L971&lt;&gt;"",L971&gt;0,P971&lt;&gt;""),P971/L971,"")</f>
        <v/>
      </c>
      <c r="R843" s="16">
        <f>IF(AND(P971&lt;&gt;"",P971&gt;0),(I971+J971+K971)/P971,"")</f>
        <v/>
      </c>
    </row>
    <row r="844" ht="27" customHeight="1">
      <c r="A844" s="5" t="inlineStr">
        <is>
          <t>2026-05-22</t>
        </is>
      </c>
      <c r="B844" s="5" t="inlineStr">
        <is>
          <t>21周</t>
        </is>
      </c>
      <c r="C844" s="5" t="inlineStr">
        <is>
          <t>抖音</t>
        </is>
      </c>
      <c r="D844" s="5" t="n"/>
      <c r="E844" s="5" t="n"/>
      <c r="F844" s="5" t="inlineStr">
        <is>
          <t>https://v.douyin.com/cZywpLh_9hc/</t>
        </is>
      </c>
      <c r="G844" s="5" t="inlineStr">
        <is>
          <t>489</t>
        </is>
      </c>
      <c r="H844" s="5" t="inlineStr">
        <is>
          <t>陈奕恒</t>
        </is>
      </c>
      <c r="I844" s="5" t="n"/>
      <c r="J844" s="5" t="n"/>
      <c r="K844" s="5" t="n">
        <v>53.5</v>
      </c>
      <c r="L844" s="5" t="n">
        <v>3003</v>
      </c>
      <c r="M844" s="5" t="n">
        <v>568</v>
      </c>
      <c r="N844" s="5" t="n">
        <v>26</v>
      </c>
      <c r="O844" s="5" t="n">
        <v>93</v>
      </c>
      <c r="P844" s="8">
        <f>IF(AND(M972&lt;&gt;"",M972&gt;0),M972+N972+O972,"")</f>
        <v/>
      </c>
      <c r="Q844" s="11">
        <f>IF(AND(L972&lt;&gt;"",L972&gt;0,P972&lt;&gt;""),P972/L972,"")</f>
        <v/>
      </c>
      <c r="R844" s="16">
        <f>IF(AND(P972&lt;&gt;"",P972&gt;0),(I972+J972+K972)/P972,"")</f>
        <v/>
      </c>
    </row>
    <row r="845" ht="81" customHeight="1">
      <c r="A845" s="5" t="inlineStr">
        <is>
          <t>2026-05-22</t>
        </is>
      </c>
      <c r="B845" s="5" t="inlineStr">
        <is>
          <t>21周</t>
        </is>
      </c>
      <c r="C845" s="5" t="inlineStr">
        <is>
          <t>抖音</t>
        </is>
      </c>
      <c r="D845" s="5" t="n"/>
      <c r="E845" s="5" t="n"/>
      <c r="F845" s="5" t="inlineStr">
        <is>
          <t>https://v.douyin.com/QG7HpTGnn3c/</t>
        </is>
      </c>
      <c r="G845" s="5" t="inlineStr">
        <is>
          <t>489</t>
        </is>
      </c>
      <c r="H845" s="5" t="inlineStr">
        <is>
          <t>赵露思</t>
        </is>
      </c>
      <c r="I845" s="5" t="n"/>
      <c r="J845" s="5" t="n"/>
      <c r="K845" s="5" t="n">
        <v>53.5</v>
      </c>
      <c r="L845" s="5" t="n">
        <v>114000</v>
      </c>
      <c r="M845" s="5" t="n">
        <v>4539</v>
      </c>
      <c r="N845" s="5" t="n">
        <v>794</v>
      </c>
      <c r="O845" s="5" t="n">
        <v>150</v>
      </c>
      <c r="P845" s="8">
        <f>IF(AND(M973&lt;&gt;"",M973&gt;0),M973+N973+O973,"")</f>
        <v/>
      </c>
      <c r="Q845" s="11">
        <f>IF(AND(L973&lt;&gt;"",L973&gt;0,P973&lt;&gt;""),P973/L973,"")</f>
        <v/>
      </c>
      <c r="R845" s="16">
        <f>IF(AND(P973&lt;&gt;"",P973&gt;0),(I973+J973+K973)/P973,"")</f>
        <v/>
      </c>
    </row>
    <row r="846" ht="27" customHeight="1">
      <c r="A846" s="5" t="inlineStr">
        <is>
          <t>2026-05-22</t>
        </is>
      </c>
      <c r="B846" s="5" t="inlineStr">
        <is>
          <t>21周</t>
        </is>
      </c>
      <c r="C846" s="5" t="inlineStr">
        <is>
          <t>抖音</t>
        </is>
      </c>
      <c r="D846" s="5" t="n"/>
      <c r="E846" s="5" t="n"/>
      <c r="F846" s="5" t="inlineStr">
        <is>
          <t>https://v.douyin.com/N-fgcTXwu1I/</t>
        </is>
      </c>
      <c r="G846" s="5" t="inlineStr">
        <is>
          <t>489</t>
        </is>
      </c>
      <c r="H846" s="5" t="inlineStr">
        <is>
          <t>赵露思</t>
        </is>
      </c>
      <c r="I846" s="5" t="n"/>
      <c r="J846" s="5" t="n"/>
      <c r="K846" s="5" t="n">
        <v>53.5</v>
      </c>
      <c r="L846" s="5" t="n">
        <v>5502</v>
      </c>
      <c r="M846" s="5" t="n">
        <v>262</v>
      </c>
      <c r="N846" s="5" t="n">
        <v>29</v>
      </c>
      <c r="O846" s="5" t="n">
        <v>5</v>
      </c>
      <c r="P846" s="8">
        <f>IF(AND(M974&lt;&gt;"",M974&gt;0),M974+N974+O974,"")</f>
        <v/>
      </c>
      <c r="Q846" s="11">
        <f>IF(AND(L974&lt;&gt;"",L974&gt;0,P974&lt;&gt;""),P974/L974,"")</f>
        <v/>
      </c>
      <c r="R846" s="16">
        <f>IF(AND(P974&lt;&gt;"",P974&gt;0),(I974+J974+K974)/P974,"")</f>
        <v/>
      </c>
    </row>
    <row r="847" ht="81" customHeight="1">
      <c r="A847" s="5" t="inlineStr">
        <is>
          <t>2026-05-22</t>
        </is>
      </c>
      <c r="B847" s="5" t="inlineStr">
        <is>
          <t>21周</t>
        </is>
      </c>
      <c r="C847" s="5" t="inlineStr">
        <is>
          <t>抖音</t>
        </is>
      </c>
      <c r="D847" s="5" t="n"/>
      <c r="E847" s="5" t="n"/>
      <c r="F847" s="5" t="inlineStr">
        <is>
          <t>https://v.douyin.com/ujsNzI0dY2k/</t>
        </is>
      </c>
      <c r="G847" s="5" t="inlineStr">
        <is>
          <t>459</t>
        </is>
      </c>
      <c r="H847" s="5" t="inlineStr">
        <is>
          <t>口播</t>
        </is>
      </c>
      <c r="I847" s="5" t="n">
        <v>150</v>
      </c>
      <c r="J847" s="5" t="n"/>
      <c r="K847" s="5" t="n">
        <v>46.5</v>
      </c>
      <c r="L847" s="5" t="n">
        <v>7170</v>
      </c>
      <c r="M847" s="5" t="n">
        <v>149</v>
      </c>
      <c r="N847" s="5" t="n">
        <v>98</v>
      </c>
      <c r="O847" s="5" t="n">
        <v>23</v>
      </c>
      <c r="P847" s="8">
        <f>IF(AND(M975&lt;&gt;"",M975&gt;0),M975+N975+O975,"")</f>
        <v/>
      </c>
      <c r="Q847" s="11">
        <f>IF(AND(L975&lt;&gt;"",L975&gt;0,P975&lt;&gt;""),P975/L975,"")</f>
        <v/>
      </c>
      <c r="R847" s="16">
        <f>IF(AND(P975&lt;&gt;"",P975&gt;0),(I975+J975+K975)/P975,"")</f>
        <v/>
      </c>
    </row>
    <row r="848" ht="81" customHeight="1">
      <c r="A848" s="5" t="inlineStr">
        <is>
          <t>2026-05-22</t>
        </is>
      </c>
      <c r="B848" s="5" t="inlineStr">
        <is>
          <t>21周</t>
        </is>
      </c>
      <c r="C848" s="5" t="inlineStr">
        <is>
          <t>抖音</t>
        </is>
      </c>
      <c r="D848" s="5" t="n"/>
      <c r="E848" s="5" t="n"/>
      <c r="F848" s="5" t="inlineStr">
        <is>
          <t>https://v.douyin.com/0AnQK_396T4/</t>
        </is>
      </c>
      <c r="G848" s="5" t="inlineStr">
        <is>
          <t>492</t>
        </is>
      </c>
      <c r="H848" s="5" t="inlineStr">
        <is>
          <t>口播</t>
        </is>
      </c>
      <c r="I848" s="5" t="n">
        <v>160</v>
      </c>
      <c r="J848" s="5" t="n"/>
      <c r="K848" s="5" t="n">
        <v>69.5</v>
      </c>
      <c r="L848" s="5" t="n">
        <v>12000</v>
      </c>
      <c r="M848" s="5" t="n">
        <v>170</v>
      </c>
      <c r="N848" s="5" t="n">
        <v>51</v>
      </c>
      <c r="O848" s="5" t="n">
        <v>11</v>
      </c>
      <c r="P848" s="8">
        <f>IF(AND(M976&lt;&gt;"",M976&gt;0),M976+N976+O976,"")</f>
        <v/>
      </c>
      <c r="Q848" s="11">
        <f>IF(AND(L976&lt;&gt;"",L976&gt;0,P976&lt;&gt;""),P976/L976,"")</f>
        <v/>
      </c>
      <c r="R848" s="16">
        <f>IF(AND(P976&lt;&gt;"",P976&gt;0),(I976+J976+K976)/P976,"")</f>
        <v/>
      </c>
    </row>
    <row r="849" ht="81" customHeight="1">
      <c r="A849" s="5" t="inlineStr">
        <is>
          <t>2026-05-22</t>
        </is>
      </c>
      <c r="B849" s="5" t="inlineStr">
        <is>
          <t>21周</t>
        </is>
      </c>
      <c r="C849" s="5" t="inlineStr">
        <is>
          <t>抖音</t>
        </is>
      </c>
      <c r="D849" s="5" t="n"/>
      <c r="E849" s="5" t="n"/>
      <c r="F849" s="5" t="inlineStr">
        <is>
          <t>https://v.douyin.com/zLFoG6NUIv0/</t>
        </is>
      </c>
      <c r="G849" s="5" t="inlineStr">
        <is>
          <t>0001A1</t>
        </is>
      </c>
      <c r="H849" s="5" t="inlineStr">
        <is>
          <t>穿搭</t>
        </is>
      </c>
      <c r="I849" s="5" t="n"/>
      <c r="J849" s="5" t="n"/>
      <c r="K849" s="5" t="n">
        <v>6.6836</v>
      </c>
      <c r="L849" s="5" t="n">
        <v>16000</v>
      </c>
      <c r="M849" s="5" t="n">
        <v>1094</v>
      </c>
      <c r="N849" s="5" t="n">
        <v>44</v>
      </c>
      <c r="O849" s="5" t="n">
        <v>33</v>
      </c>
      <c r="P849" s="8">
        <f>IF(AND(M977&lt;&gt;"",M977&gt;0),M977+N977+O977,"")</f>
        <v/>
      </c>
      <c r="Q849" s="11">
        <f>IF(AND(L977&lt;&gt;"",L977&gt;0,P977&lt;&gt;""),P977/L977,"")</f>
        <v/>
      </c>
      <c r="R849" s="16">
        <f>IF(AND(P977&lt;&gt;"",P977&gt;0),(I977+J977+K977)/P977,"")</f>
        <v/>
      </c>
    </row>
    <row r="850" ht="27" customHeight="1">
      <c r="A850" s="5" t="inlineStr">
        <is>
          <t>2026-05-22</t>
        </is>
      </c>
      <c r="B850" s="5" t="inlineStr">
        <is>
          <t>21周</t>
        </is>
      </c>
      <c r="C850" s="5" t="inlineStr">
        <is>
          <t>抖音</t>
        </is>
      </c>
      <c r="D850" s="5" t="n"/>
      <c r="E850" s="5" t="n"/>
      <c r="F850" s="5" t="inlineStr">
        <is>
          <t>https://v.douyin.com/zvXHu8LSAFM/</t>
        </is>
      </c>
      <c r="G850" s="5" t="inlineStr">
        <is>
          <t>0001A1</t>
        </is>
      </c>
      <c r="H850" s="5" t="inlineStr">
        <is>
          <t>穿搭</t>
        </is>
      </c>
      <c r="I850" s="5" t="n">
        <v>100</v>
      </c>
      <c r="J850" s="5" t="n"/>
      <c r="K850" s="5" t="n">
        <v>6.6836</v>
      </c>
      <c r="L850" s="5" t="n">
        <v>16000</v>
      </c>
      <c r="M850" s="5" t="n">
        <v>1314</v>
      </c>
      <c r="N850" s="5" t="n">
        <v>54</v>
      </c>
      <c r="O850" s="5" t="n">
        <v>25</v>
      </c>
      <c r="P850" s="8">
        <f>IF(AND(M978&lt;&gt;"",M978&gt;0),M978+N978+O978,"")</f>
        <v/>
      </c>
      <c r="Q850" s="11">
        <f>IF(AND(L978&lt;&gt;"",L978&gt;0,P978&lt;&gt;""),P978/L978,"")</f>
        <v/>
      </c>
      <c r="R850" s="16">
        <f>IF(AND(P978&lt;&gt;"",P978&gt;0),(I978+J978+K978)/P978,"")</f>
        <v/>
      </c>
    </row>
    <row r="851" ht="27" customHeight="1">
      <c r="A851" s="5" t="inlineStr">
        <is>
          <t>2026-05-22</t>
        </is>
      </c>
      <c r="B851" s="5" t="inlineStr">
        <is>
          <t>21周</t>
        </is>
      </c>
      <c r="C851" s="5" t="inlineStr">
        <is>
          <t>抖音</t>
        </is>
      </c>
      <c r="D851" s="5" t="n"/>
      <c r="E851" s="5" t="n"/>
      <c r="F851" s="5" t="inlineStr">
        <is>
          <t>https://www.douyin.com/user/self?from_tab_name=main&amp;modal_id=7642916118889611328&amp;showTab=like</t>
        </is>
      </c>
      <c r="G851" s="5" t="inlineStr">
        <is>
          <t>489</t>
        </is>
      </c>
      <c r="H851" s="5" t="inlineStr">
        <is>
          <t>杨紫</t>
        </is>
      </c>
      <c r="I851" s="5" t="n"/>
      <c r="J851" s="5" t="n"/>
      <c r="K851" s="5" t="n">
        <v>53.5</v>
      </c>
      <c r="L851" s="5" t="n">
        <v>8381</v>
      </c>
      <c r="M851" s="5" t="n">
        <v>763</v>
      </c>
      <c r="N851" s="5" t="n">
        <v>33</v>
      </c>
      <c r="O851" s="5" t="n">
        <v>44</v>
      </c>
      <c r="P851" s="8">
        <f>IF(AND(M979&lt;&gt;"",M979&gt;0),M979+N979+O979,"")</f>
        <v/>
      </c>
      <c r="Q851" s="11">
        <f>IF(AND(L979&lt;&gt;"",L979&gt;0,P979&lt;&gt;""),P979/L979,"")</f>
        <v/>
      </c>
      <c r="R851" s="16">
        <f>IF(AND(P979&lt;&gt;"",P979&gt;0),(I979+J979+K979)/P979,"")</f>
        <v/>
      </c>
    </row>
    <row r="852" ht="81" customHeight="1">
      <c r="A852" s="5" t="inlineStr">
        <is>
          <t>2026-05-22</t>
        </is>
      </c>
      <c r="B852" s="5" t="inlineStr">
        <is>
          <t>21周</t>
        </is>
      </c>
      <c r="C852" s="5" t="inlineStr">
        <is>
          <t>抖音</t>
        </is>
      </c>
      <c r="D852" s="5" t="n"/>
      <c r="E852" s="5" t="n"/>
      <c r="F852" s="5" t="inlineStr">
        <is>
          <t>https://www.douyin.com/user/self?from_tab_name=main&amp;modal_id=7642951829529839461&amp;showTab=like</t>
        </is>
      </c>
      <c r="G852" s="5" t="inlineStr">
        <is>
          <t>489</t>
        </is>
      </c>
      <c r="H852" s="5" t="inlineStr">
        <is>
          <t>马嘉祺</t>
        </is>
      </c>
      <c r="I852" s="5" t="n"/>
      <c r="J852" s="5" t="n"/>
      <c r="K852" s="5" t="n">
        <v>53.5</v>
      </c>
      <c r="L852" s="5" t="n">
        <v>7200</v>
      </c>
      <c r="M852" s="5" t="n">
        <v>219</v>
      </c>
      <c r="N852" s="5" t="n">
        <v>14</v>
      </c>
      <c r="O852" s="5" t="n">
        <v>17</v>
      </c>
      <c r="P852" s="8">
        <f>IF(AND(M980&lt;&gt;"",M980&gt;0),M980+N980+O980,"")</f>
        <v/>
      </c>
      <c r="Q852" s="11">
        <f>IF(AND(L980&lt;&gt;"",L980&gt;0,P980&lt;&gt;""),P980/L980,"")</f>
        <v/>
      </c>
      <c r="R852" s="16">
        <f>IF(AND(P980&lt;&gt;"",P980&gt;0),(I980+J980+K980)/P980,"")</f>
        <v/>
      </c>
    </row>
    <row r="853" ht="81" customHeight="1">
      <c r="A853" s="5" t="inlineStr">
        <is>
          <t>2026-05-22</t>
        </is>
      </c>
      <c r="B853" s="5" t="inlineStr">
        <is>
          <t>21周</t>
        </is>
      </c>
      <c r="C853" s="5" t="inlineStr">
        <is>
          <t>抖音</t>
        </is>
      </c>
      <c r="D853" s="5" t="n"/>
      <c r="E853" s="5" t="n"/>
      <c r="F853" s="5" t="inlineStr">
        <is>
          <t>https://www.douyin.com/user/self?from_tab_name=main&amp;modal_id=7641566360346298353&amp;showTab=like</t>
        </is>
      </c>
      <c r="G853" s="5" t="inlineStr">
        <is>
          <t>0002A1</t>
        </is>
      </c>
      <c r="H853" s="5" t="inlineStr">
        <is>
          <t>穿搭</t>
        </is>
      </c>
      <c r="I853" s="5" t="n"/>
      <c r="J853" s="5" t="n"/>
      <c r="K853" s="5" t="n">
        <v>25.5</v>
      </c>
      <c r="L853" s="5" t="n">
        <v>16000</v>
      </c>
      <c r="M853" s="5" t="n">
        <v>1822</v>
      </c>
      <c r="N853" s="5" t="n">
        <v>356</v>
      </c>
      <c r="O853" s="5" t="n">
        <v>90</v>
      </c>
      <c r="P853" s="8">
        <f>IF(AND(M981&lt;&gt;"",M981&gt;0),M981+N981+O981,"")</f>
        <v/>
      </c>
      <c r="Q853" s="11">
        <f>IF(AND(L981&lt;&gt;"",L981&gt;0,P981&lt;&gt;""),P981/L981,"")</f>
        <v/>
      </c>
      <c r="R853" s="16">
        <f>IF(AND(P981&lt;&gt;"",P981&gt;0),(I981+J981+K981)/P981,"")</f>
        <v/>
      </c>
    </row>
    <row r="854" ht="81" customHeight="1">
      <c r="A854" s="5" t="inlineStr">
        <is>
          <t>2026-05-22</t>
        </is>
      </c>
      <c r="B854" s="5" t="inlineStr">
        <is>
          <t>21周</t>
        </is>
      </c>
      <c r="C854" s="5" t="inlineStr">
        <is>
          <t>小红书</t>
        </is>
      </c>
      <c r="D854" s="5" t="n"/>
      <c r="E854" s="5" t="n"/>
      <c r="F854" s="5" t="inlineStr">
        <is>
          <t>https://www.xiaohongshu.com/discovery/item/6a101b2b000000003502d531?xsec_token=CBMSfl7wYfsm-ZygWPxdqpP4lJzFmSwCVWoqUrnHLFibU=&amp;xsec_source=app_share&amp;type=video</t>
        </is>
      </c>
      <c r="G854" s="5" t="inlineStr">
        <is>
          <t>492</t>
        </is>
      </c>
      <c r="H854" s="5" t="inlineStr">
        <is>
          <t>口播</t>
        </is>
      </c>
      <c r="I854" s="5" t="n"/>
      <c r="J854" s="5" t="n"/>
      <c r="K854" s="5" t="n">
        <v>69.5</v>
      </c>
      <c r="L854" s="5" t="n">
        <v>370</v>
      </c>
      <c r="M854" s="5" t="n">
        <v>16</v>
      </c>
      <c r="N854" s="5" t="n">
        <v>4</v>
      </c>
      <c r="O854" s="5" t="n">
        <v>6</v>
      </c>
      <c r="P854" s="8">
        <f>IF(AND(M982&lt;&gt;"",M982&gt;0),M982+N982+O982,"")</f>
        <v/>
      </c>
      <c r="Q854" s="11">
        <f>IF(AND(L982&lt;&gt;"",L982&gt;0,P982&lt;&gt;""),P982/L982,"")</f>
        <v/>
      </c>
      <c r="R854" s="16">
        <f>IF(AND(P982&lt;&gt;"",P982&gt;0),(I982+J982+K982)/P982,"")</f>
        <v/>
      </c>
    </row>
    <row r="855" ht="40.5" customHeight="1">
      <c r="A855" s="5" t="inlineStr">
        <is>
          <t>2026-05-22</t>
        </is>
      </c>
      <c r="B855" s="5" t="inlineStr">
        <is>
          <t>21周</t>
        </is>
      </c>
      <c r="C855" s="5" t="inlineStr">
        <is>
          <t>小红书</t>
        </is>
      </c>
      <c r="D855" s="5" t="n"/>
      <c r="E855" s="5" t="n"/>
      <c r="F855" s="5" t="inlineStr">
        <is>
          <t>https://www.xiaohongshu.com/discovery/item/6a10245f0000000035031a86?xsec_token=CBUCBlZ8vio9UjMeLFmhagpPWY53JWS04gjrEeUEvr2cE=&amp;xsec_source=app_share&amp;type=video</t>
        </is>
      </c>
      <c r="G855" s="5" t="inlineStr">
        <is>
          <t>489</t>
        </is>
      </c>
      <c r="H855" s="5" t="inlineStr">
        <is>
          <t>马嘉祺</t>
        </is>
      </c>
      <c r="I855" s="5" t="n"/>
      <c r="J855" s="5" t="n"/>
      <c r="K855" s="5" t="n">
        <v>53.5</v>
      </c>
      <c r="L855" s="5" t="n">
        <v>953</v>
      </c>
      <c r="M855" s="5" t="n">
        <v>43</v>
      </c>
      <c r="N855" s="5" t="n">
        <v>9</v>
      </c>
      <c r="O855" s="5" t="n">
        <v>14</v>
      </c>
      <c r="P855" s="8">
        <f>IF(AND(M983&lt;&gt;"",M983&gt;0),M983+N983+O983,"")</f>
        <v/>
      </c>
      <c r="Q855" s="11">
        <f>IF(AND(L983&lt;&gt;"",L983&gt;0,P983&lt;&gt;""),P983/L983,"")</f>
        <v/>
      </c>
      <c r="R855" s="16">
        <f>IF(AND(P983&lt;&gt;"",P983&gt;0),(I983+J983+K983)/P983,"")</f>
        <v/>
      </c>
    </row>
    <row r="856" ht="27" customHeight="1">
      <c r="A856" s="5" t="inlineStr">
        <is>
          <t>2026-05-22</t>
        </is>
      </c>
      <c r="B856" s="5" t="inlineStr">
        <is>
          <t>21周</t>
        </is>
      </c>
      <c r="C856" s="5" t="inlineStr">
        <is>
          <t>小红书</t>
        </is>
      </c>
      <c r="D856" s="5" t="n"/>
      <c r="E856" s="5" t="n"/>
      <c r="F856" s="5" t="inlineStr">
        <is>
          <t>https://www.xiaohongshu.com/discovery/item/6a102b30000000003703538e?xsec_token=CBoNRQjqsjYgXKKnmXDRE3wR-l29VFUrR-UzLVg7H-uzI=&amp;xsec_source=app_share</t>
        </is>
      </c>
      <c r="G856" s="5" t="inlineStr">
        <is>
          <t>489</t>
        </is>
      </c>
      <c r="H856" s="5" t="inlineStr">
        <is>
          <t>赵露思</t>
        </is>
      </c>
      <c r="I856" s="5" t="n"/>
      <c r="J856" s="5" t="n"/>
      <c r="K856" s="5" t="n">
        <v>53.5</v>
      </c>
      <c r="L856" s="5" t="n">
        <v>10</v>
      </c>
      <c r="M856" s="5" t="n">
        <v>1</v>
      </c>
      <c r="N856" s="5" t="n">
        <v>0</v>
      </c>
      <c r="O856" s="5" t="n">
        <v>0</v>
      </c>
      <c r="P856" s="8">
        <f>IF(AND(M984&lt;&gt;"",M984&gt;0),M984+N984+O984,"")</f>
        <v/>
      </c>
      <c r="Q856" s="11">
        <f>IF(AND(L984&lt;&gt;"",L984&gt;0,P984&lt;&gt;""),P984/L984,"")</f>
        <v/>
      </c>
      <c r="R856" s="16">
        <f>IF(AND(P984&lt;&gt;"",P984&gt;0),(I984+J984+K984)/P984,"")</f>
        <v/>
      </c>
    </row>
    <row r="857" ht="40.5" customHeight="1">
      <c r="A857" s="5" t="inlineStr">
        <is>
          <t>2026-05-23</t>
        </is>
      </c>
      <c r="B857" s="5" t="inlineStr">
        <is>
          <t>21周</t>
        </is>
      </c>
      <c r="C857" s="5" t="inlineStr">
        <is>
          <t>小红书</t>
        </is>
      </c>
      <c r="D857" s="5" t="n"/>
      <c r="E857" s="5" t="n"/>
      <c r="F857" s="5" t="inlineStr">
        <is>
          <t>https://www.xiaohongshu.com/discovery/item/6a1030900000000008033ce5?xsec_token=CBUCBlZ8vio9UjMeLFmhagpL_CYaunI4viAQ6ITBL3LPc=&amp;xsec_source=app_share&amp;type=video</t>
        </is>
      </c>
      <c r="G857" s="5" t="inlineStr">
        <is>
          <t>489</t>
        </is>
      </c>
      <c r="H857" s="5" t="inlineStr">
        <is>
          <t>官俊臣</t>
        </is>
      </c>
      <c r="I857" s="5" t="n"/>
      <c r="J857" s="5" t="n"/>
      <c r="K857" s="5" t="n">
        <v>53.5</v>
      </c>
      <c r="L857" s="5" t="n">
        <v>2336</v>
      </c>
      <c r="M857" s="5" t="n">
        <v>168</v>
      </c>
      <c r="N857" s="5" t="n">
        <v>15</v>
      </c>
      <c r="O857" s="5" t="n">
        <v>11</v>
      </c>
      <c r="P857" s="8">
        <f>IF(AND(M985&lt;&gt;"",M985&gt;0),M985+N985+O985,"")</f>
        <v/>
      </c>
      <c r="Q857" s="11">
        <f>IF(AND(L985&lt;&gt;"",L985&gt;0,P985&lt;&gt;""),P985/L985,"")</f>
        <v/>
      </c>
      <c r="R857" s="16">
        <f>IF(AND(P985&lt;&gt;"",P985&gt;0),(I985+J985+K985)/P985,"")</f>
        <v/>
      </c>
    </row>
    <row r="858" ht="108" customHeight="1">
      <c r="A858" s="5" t="inlineStr">
        <is>
          <t>2026-05-23</t>
        </is>
      </c>
      <c r="B858" s="5" t="inlineStr">
        <is>
          <t>21周</t>
        </is>
      </c>
      <c r="C858" s="5" t="inlineStr">
        <is>
          <t>抖音</t>
        </is>
      </c>
      <c r="D858" s="5" t="n"/>
      <c r="E858" s="5" t="n"/>
      <c r="F858" s="5" t="inlineStr">
        <is>
          <t>https://v.douyin.com/JBG8gnu2Y2s/</t>
        </is>
      </c>
      <c r="G858" s="5" t="inlineStr">
        <is>
          <t>459</t>
        </is>
      </c>
      <c r="H858" s="5" t="inlineStr">
        <is>
          <t>穿搭</t>
        </is>
      </c>
      <c r="I858" s="5" t="n"/>
      <c r="J858" s="5" t="n"/>
      <c r="K858" s="5" t="n">
        <v>46.5</v>
      </c>
      <c r="L858" s="5" t="n">
        <v>4403</v>
      </c>
      <c r="M858" s="5" t="n">
        <v>300</v>
      </c>
      <c r="N858" s="5" t="n">
        <v>20</v>
      </c>
      <c r="O858" s="5" t="n">
        <v>12</v>
      </c>
      <c r="P858" s="8">
        <f>IF(AND(M986&lt;&gt;"",M986&gt;0),M986+N986+O986,"")</f>
        <v/>
      </c>
      <c r="Q858" s="11">
        <f>IF(AND(L986&lt;&gt;"",L986&gt;0,P986&lt;&gt;""),P986/L986,"")</f>
        <v/>
      </c>
      <c r="R858" s="16">
        <f>IF(AND(P986&lt;&gt;"",P986&gt;0),(I986+J986+K986)/P986,"")</f>
        <v/>
      </c>
    </row>
    <row r="859" ht="27" customHeight="1">
      <c r="A859" s="5" t="inlineStr">
        <is>
          <t>2026-05-23</t>
        </is>
      </c>
      <c r="B859" s="5" t="inlineStr">
        <is>
          <t>21周</t>
        </is>
      </c>
      <c r="C859" s="5" t="inlineStr">
        <is>
          <t>抖音</t>
        </is>
      </c>
      <c r="D859" s="5" t="n"/>
      <c r="E859" s="5" t="n"/>
      <c r="F859" s="5" t="inlineStr">
        <is>
          <t>https://v.douyin.com/YamyfOQr7BY/</t>
        </is>
      </c>
      <c r="G859" s="5" t="inlineStr">
        <is>
          <t>459</t>
        </is>
      </c>
      <c r="H859" s="5" t="inlineStr">
        <is>
          <t>穿搭</t>
        </is>
      </c>
      <c r="I859" s="5" t="n">
        <v>150</v>
      </c>
      <c r="J859" s="5" t="n"/>
      <c r="K859" s="5" t="n">
        <v>46.5</v>
      </c>
      <c r="L859" s="5" t="n">
        <v>54000</v>
      </c>
      <c r="M859" s="5" t="n">
        <v>716</v>
      </c>
      <c r="N859" s="5" t="n">
        <v>157</v>
      </c>
      <c r="O859" s="5" t="n">
        <v>24</v>
      </c>
      <c r="P859" s="8">
        <f>IF(AND(M987&lt;&gt;"",M987&gt;0),M987+N987+O987,"")</f>
        <v/>
      </c>
      <c r="Q859" s="11">
        <f>IF(AND(L987&lt;&gt;"",L987&gt;0,P987&lt;&gt;""),P987/L987,"")</f>
        <v/>
      </c>
      <c r="R859" s="16">
        <f>IF(AND(P987&lt;&gt;"",P987&gt;0),(I987+J987+K987)/P987,"")</f>
        <v/>
      </c>
    </row>
    <row r="860" ht="27" customHeight="1">
      <c r="A860" s="5" t="inlineStr">
        <is>
          <t>2026-05-23</t>
        </is>
      </c>
      <c r="B860" s="5" t="inlineStr">
        <is>
          <t>21周</t>
        </is>
      </c>
      <c r="C860" s="5" t="inlineStr">
        <is>
          <t>抖音</t>
        </is>
      </c>
      <c r="D860" s="5" t="n"/>
      <c r="E860" s="5" t="n"/>
      <c r="F860" s="5" t="inlineStr">
        <is>
          <t>https://v.douyin.com/_GcZa4ARbJM/</t>
        </is>
      </c>
      <c r="G860" s="5" t="inlineStr">
        <is>
          <t>459</t>
        </is>
      </c>
      <c r="H860" s="5" t="inlineStr">
        <is>
          <t>口播</t>
        </is>
      </c>
      <c r="I860" s="5" t="n"/>
      <c r="J860" s="5" t="n"/>
      <c r="K860" s="5" t="n">
        <v>46.5</v>
      </c>
      <c r="L860" s="5" t="n">
        <v>42000</v>
      </c>
      <c r="M860" s="5" t="n">
        <v>1052</v>
      </c>
      <c r="N860" s="5" t="n">
        <v>163</v>
      </c>
      <c r="O860" s="5" t="n">
        <v>56</v>
      </c>
      <c r="P860" s="8">
        <f>IF(AND(M988&lt;&gt;"",M988&gt;0),M988+N988+O988,"")</f>
        <v/>
      </c>
      <c r="Q860" s="11">
        <f>IF(AND(L988&lt;&gt;"",L988&gt;0,P988&lt;&gt;""),P988/L988,"")</f>
        <v/>
      </c>
      <c r="R860" s="16">
        <f>IF(AND(P988&lt;&gt;"",P988&gt;0),(I988+J988+K988)/P988,"")</f>
        <v/>
      </c>
    </row>
    <row r="861" ht="27" customHeight="1">
      <c r="A861" s="5" t="inlineStr">
        <is>
          <t>2026-05-23</t>
        </is>
      </c>
      <c r="B861" s="5" t="inlineStr">
        <is>
          <t>21周</t>
        </is>
      </c>
      <c r="C861" s="5" t="inlineStr">
        <is>
          <t>抖音</t>
        </is>
      </c>
      <c r="D861" s="5" t="n"/>
      <c r="E861" s="5" t="n"/>
      <c r="F861" s="5" t="inlineStr">
        <is>
          <t>https://v.douyin.com/-MsztwdCXzc/</t>
        </is>
      </c>
      <c r="G861" s="5" t="inlineStr">
        <is>
          <t>489</t>
        </is>
      </c>
      <c r="H861" s="5" t="inlineStr">
        <is>
          <t>官俊臣</t>
        </is>
      </c>
      <c r="I861" s="5" t="n"/>
      <c r="J861" s="5" t="n"/>
      <c r="K861" s="5" t="n">
        <v>53.5</v>
      </c>
      <c r="L861" s="5" t="n">
        <v>3390</v>
      </c>
      <c r="M861" s="5" t="n">
        <v>487</v>
      </c>
      <c r="N861" s="5" t="n">
        <v>19</v>
      </c>
      <c r="O861" s="5" t="n">
        <v>23</v>
      </c>
      <c r="P861" s="8">
        <f>IF(AND(M989&lt;&gt;"",M989&gt;0),M989+N989+O989,"")</f>
        <v/>
      </c>
      <c r="Q861" s="11">
        <f>IF(AND(L989&lt;&gt;"",L989&gt;0,P989&lt;&gt;""),P989/L989,"")</f>
        <v/>
      </c>
      <c r="R861" s="16">
        <f>IF(AND(P989&lt;&gt;"",P989&gt;0),(I989+J989+K989)/P989,"")</f>
        <v/>
      </c>
    </row>
    <row r="862" ht="81" customHeight="1">
      <c r="A862" s="5" t="inlineStr">
        <is>
          <t>2026-05-23</t>
        </is>
      </c>
      <c r="B862" s="5" t="inlineStr">
        <is>
          <t>21周</t>
        </is>
      </c>
      <c r="C862" s="5" t="inlineStr">
        <is>
          <t>抖音</t>
        </is>
      </c>
      <c r="D862" s="5" t="n"/>
      <c r="E862" s="5" t="n"/>
      <c r="F862" s="5" t="inlineStr">
        <is>
          <t>https://v.douyin.com/O5oCzjoDOkQ/</t>
        </is>
      </c>
      <c r="G862" s="5" t="inlineStr">
        <is>
          <t>0003A2</t>
        </is>
      </c>
      <c r="H862" s="5" t="inlineStr">
        <is>
          <t>健身穿搭</t>
        </is>
      </c>
      <c r="I862" s="5" t="n">
        <v>280</v>
      </c>
      <c r="J862" s="5" t="n"/>
      <c r="K862" s="5" t="n">
        <v>49.5</v>
      </c>
      <c r="L862" s="5" t="n">
        <v>140000</v>
      </c>
      <c r="M862" s="5" t="n">
        <v>5134</v>
      </c>
      <c r="N862" s="5" t="n">
        <v>1043</v>
      </c>
      <c r="O862" s="5" t="n">
        <v>198</v>
      </c>
      <c r="P862" s="8">
        <f>IF(AND(M990&lt;&gt;"",M990&gt;0),M990+N990+O990,"")</f>
        <v/>
      </c>
      <c r="Q862" s="11">
        <f>IF(AND(L990&lt;&gt;"",L990&gt;0,P990&lt;&gt;""),P990/L990,"")</f>
        <v/>
      </c>
      <c r="R862" s="16">
        <f>IF(AND(P990&lt;&gt;"",P990&gt;0),(I990+J990+K990)/P990,"")</f>
        <v/>
      </c>
    </row>
    <row r="863" ht="40.5" customHeight="1">
      <c r="A863" s="5" t="inlineStr">
        <is>
          <t>2026-05-23</t>
        </is>
      </c>
      <c r="B863" s="5" t="inlineStr">
        <is>
          <t>21周</t>
        </is>
      </c>
      <c r="C863" s="5" t="inlineStr">
        <is>
          <t>抖音</t>
        </is>
      </c>
      <c r="D863" s="5" t="n"/>
      <c r="E863" s="5" t="n"/>
      <c r="F863" s="5" t="inlineStr">
        <is>
          <t>https://v.douyin.com/8D-S8TIpS6E/</t>
        </is>
      </c>
      <c r="G863" s="5" t="inlineStr">
        <is>
          <t>459</t>
        </is>
      </c>
      <c r="H863" s="5" t="inlineStr">
        <is>
          <t>穿搭</t>
        </is>
      </c>
      <c r="I863" s="5" t="n"/>
      <c r="J863" s="5" t="n"/>
      <c r="K863" s="5" t="n">
        <v>46.5</v>
      </c>
      <c r="L863" s="5" t="n">
        <v>8600</v>
      </c>
      <c r="M863" s="5" t="n">
        <v>832</v>
      </c>
      <c r="N863" s="5" t="n">
        <v>139</v>
      </c>
      <c r="O863" s="5" t="n">
        <v>11</v>
      </c>
      <c r="P863" s="8">
        <f>IF(AND(M991&lt;&gt;"",M991&gt;0),M991+N991+O991,"")</f>
        <v/>
      </c>
      <c r="Q863" s="11">
        <f>IF(AND(L991&lt;&gt;"",L991&gt;0,P991&lt;&gt;""),P991/L991,"")</f>
        <v/>
      </c>
      <c r="R863" s="16">
        <f>IF(AND(P991&lt;&gt;"",P991&gt;0),(I991+J991+K991)/P991,"")</f>
        <v/>
      </c>
    </row>
    <row r="864" ht="27" customHeight="1">
      <c r="A864" s="5" t="inlineStr">
        <is>
          <t>2026-05-23</t>
        </is>
      </c>
      <c r="B864" s="5" t="inlineStr">
        <is>
          <t>21周</t>
        </is>
      </c>
      <c r="C864" s="5" t="inlineStr">
        <is>
          <t>抖音</t>
        </is>
      </c>
      <c r="D864" s="5" t="n"/>
      <c r="E864" s="5" t="n"/>
      <c r="F864" s="5" t="inlineStr">
        <is>
          <t>m/user/MS4wLjABAAAAajMl8PH4dap8H625pQv2zvC902bA2zqlRxLqtq5zhl-unjYBSXpJmxH7tLQeZDJD?from_tab_name=main&amp;modal_id=7643056139055513954</t>
        </is>
      </c>
      <c r="G864" s="5" t="inlineStr">
        <is>
          <t>459</t>
        </is>
      </c>
      <c r="H864" s="5" t="inlineStr">
        <is>
          <t>张子墨</t>
        </is>
      </c>
      <c r="I864" s="5" t="n"/>
      <c r="J864" s="5" t="n"/>
      <c r="K864" s="5" t="n">
        <v>46.5</v>
      </c>
      <c r="L864" s="5" t="n">
        <v>985</v>
      </c>
      <c r="M864" s="5" t="n">
        <v>153</v>
      </c>
      <c r="N864" s="5" t="n">
        <v>5</v>
      </c>
      <c r="O864" s="5" t="n">
        <v>6</v>
      </c>
      <c r="P864" s="8">
        <f>IF(AND(M992&lt;&gt;"",M992&gt;0),M992+N992+O992,"")</f>
        <v/>
      </c>
      <c r="Q864" s="11">
        <f>IF(AND(L992&lt;&gt;"",L992&gt;0,P992&lt;&gt;""),P992/L992,"")</f>
        <v/>
      </c>
      <c r="R864" s="16">
        <f>IF(AND(P992&lt;&gt;"",P992&gt;0),(I992+J992+K992)/P992,"")</f>
        <v/>
      </c>
    </row>
    <row r="865" ht="27" customHeight="1">
      <c r="A865" s="5" t="inlineStr">
        <is>
          <t>2026-05-23</t>
        </is>
      </c>
      <c r="B865" s="5" t="inlineStr">
        <is>
          <t>21周</t>
        </is>
      </c>
      <c r="C865" s="5" t="inlineStr">
        <is>
          <t>抖音</t>
        </is>
      </c>
      <c r="D865" s="5" t="n"/>
      <c r="E865" s="5" t="n"/>
      <c r="F865" s="5" t="inlineStr">
        <is>
          <t>https://www.douyin.com/user/self?from_tab_name=main&amp;modal_id=7643047690201662821&amp;showTab=like</t>
        </is>
      </c>
      <c r="G865" s="5" t="inlineStr">
        <is>
          <t>489</t>
        </is>
      </c>
      <c r="H865" s="5" t="inlineStr">
        <is>
          <t>杨紫</t>
        </is>
      </c>
      <c r="I865" s="5" t="n"/>
      <c r="J865" s="5" t="n"/>
      <c r="K865" s="5" t="n">
        <v>53.5</v>
      </c>
      <c r="L865" s="5" t="n">
        <v>445</v>
      </c>
      <c r="M865" s="5" t="n">
        <v>82</v>
      </c>
      <c r="N865" s="5" t="n">
        <v>3</v>
      </c>
      <c r="O865" s="5" t="n">
        <v>12</v>
      </c>
      <c r="P865" s="8">
        <f>IF(AND(M993&lt;&gt;"",M993&gt;0),M993+N993+O993,"")</f>
        <v/>
      </c>
      <c r="Q865" s="11">
        <f>IF(AND(L993&lt;&gt;"",L993&gt;0,P993&lt;&gt;""),P993/L993,"")</f>
        <v/>
      </c>
      <c r="R865" s="16">
        <f>IF(AND(P993&lt;&gt;"",P993&gt;0),(I993+J993+K993)/P993,"")</f>
        <v/>
      </c>
    </row>
    <row r="866" ht="27" customHeight="1">
      <c r="A866" s="5" t="inlineStr">
        <is>
          <t>2026-05-23</t>
        </is>
      </c>
      <c r="B866" s="5" t="inlineStr">
        <is>
          <t>21周</t>
        </is>
      </c>
      <c r="C866" s="5" t="inlineStr">
        <is>
          <t>小红书</t>
        </is>
      </c>
      <c r="D866" s="5" t="n"/>
      <c r="E866" s="5" t="n"/>
      <c r="F866" s="5" t="inlineStr">
        <is>
          <t>https://www.xiaohongshu.com/discovery/item/6a1130cf000000003601fad2?xsec_token=CBQzfI9f-RyrlZG98DDurDhVG_2pkEPvglfpGF-Vrpqo0=&amp;xsec_source=app_share</t>
        </is>
      </c>
      <c r="G866" s="5" t="inlineStr">
        <is>
          <t>489</t>
        </is>
      </c>
      <c r="H866" s="5" t="inlineStr">
        <is>
          <t>陈奕恒</t>
        </is>
      </c>
      <c r="I866" s="5" t="n"/>
      <c r="J866" s="5" t="n"/>
      <c r="K866" s="5" t="n">
        <v>53.5</v>
      </c>
      <c r="L866" s="5" t="n">
        <v>367</v>
      </c>
      <c r="M866" s="5" t="n">
        <v>21</v>
      </c>
      <c r="N866" s="5" t="n">
        <v>1</v>
      </c>
      <c r="O866" s="5" t="n">
        <v>5</v>
      </c>
      <c r="P866" s="8">
        <f>IF(AND(M994&lt;&gt;"",M994&gt;0),M994+N994+O994,"")</f>
        <v/>
      </c>
      <c r="Q866" s="11">
        <f>IF(AND(L994&lt;&gt;"",L994&gt;0,P994&lt;&gt;""),P994/L994,"")</f>
        <v/>
      </c>
      <c r="R866" s="16">
        <f>IF(AND(P994&lt;&gt;"",P994&gt;0),(I994+J994+K994)/P994,"")</f>
        <v/>
      </c>
    </row>
    <row r="867" ht="27" customHeight="1">
      <c r="A867" s="5" t="inlineStr">
        <is>
          <t>2026-05-23</t>
        </is>
      </c>
      <c r="B867" s="5" t="inlineStr">
        <is>
          <t>21周</t>
        </is>
      </c>
      <c r="C867" s="5" t="inlineStr">
        <is>
          <t>小红书</t>
        </is>
      </c>
      <c r="D867" s="5" t="n"/>
      <c r="E867" s="5" t="n"/>
      <c r="F867" s="5" t="inlineStr">
        <is>
          <t>https://www.xiaohongshu.com/discovery/item/6a11538e0000000006023130?xsec_token=CBQzfI9f-RyrlZG98DDurDhRE36OBcrboMu_X0nuQXoJk=&amp;xsec_source=app_share&amp;type=video</t>
        </is>
      </c>
      <c r="G867" s="5" t="inlineStr">
        <is>
          <t>0003A2</t>
        </is>
      </c>
      <c r="H867" s="5" t="inlineStr">
        <is>
          <t>刘轩丞</t>
        </is>
      </c>
      <c r="I867" s="5" t="n"/>
      <c r="J867" s="5" t="n"/>
      <c r="K867" s="5" t="n">
        <v>49.5</v>
      </c>
      <c r="L867" s="5" t="n">
        <v>2321</v>
      </c>
      <c r="M867" s="5" t="n">
        <v>153</v>
      </c>
      <c r="N867" s="5" t="n">
        <v>22</v>
      </c>
      <c r="O867" s="5" t="n">
        <v>15</v>
      </c>
      <c r="P867" s="8">
        <f>IF(AND(M995&lt;&gt;"",M995&gt;0),M995+N995+O995,"")</f>
        <v/>
      </c>
      <c r="Q867" s="11">
        <f>IF(AND(L995&lt;&gt;"",L995&gt;0,P995&lt;&gt;""),P995/L995,"")</f>
        <v/>
      </c>
      <c r="R867" s="16">
        <f>IF(AND(P995&lt;&gt;"",P995&gt;0),(I995+J995+K995)/P995,"")</f>
        <v/>
      </c>
    </row>
    <row r="868" ht="67.5" customHeight="1">
      <c r="A868" s="5" t="inlineStr">
        <is>
          <t>2026-05-23</t>
        </is>
      </c>
      <c r="B868" s="5" t="inlineStr">
        <is>
          <t>21周</t>
        </is>
      </c>
      <c r="C868" s="5" t="inlineStr">
        <is>
          <t>小红书</t>
        </is>
      </c>
      <c r="D868" s="5" t="n"/>
      <c r="E868" s="5" t="n"/>
      <c r="F868" s="5" t="inlineStr">
        <is>
          <t>https://www.xiaohongshu.com/discovery/item/6a1188db00000000350395a9?xsec_token=CBTXwTwQAtX3QmxUJIrJseY9PQKdHHqvxClp8eqDY2DT0=&amp;xsec_source=app_share</t>
        </is>
      </c>
      <c r="G868" s="5" t="inlineStr">
        <is>
          <t>489</t>
        </is>
      </c>
      <c r="H868" s="5" t="inlineStr">
        <is>
          <t>陈奕恒</t>
        </is>
      </c>
      <c r="I868" s="5" t="n"/>
      <c r="J868" s="5" t="n"/>
      <c r="K868" s="5" t="n">
        <v>53.5</v>
      </c>
      <c r="L868" s="5" t="n">
        <v>336</v>
      </c>
      <c r="M868" s="5" t="n">
        <v>18</v>
      </c>
      <c r="N868" s="5" t="n">
        <v>1</v>
      </c>
      <c r="O868" s="5" t="n">
        <v>5</v>
      </c>
      <c r="P868" s="8">
        <f>IF(AND(M996&lt;&gt;"",M996&gt;0),M996+N996+O996,"")</f>
        <v/>
      </c>
      <c r="Q868" s="11">
        <f>IF(AND(L996&lt;&gt;"",L996&gt;0,P996&lt;&gt;""),P996/L996,"")</f>
        <v/>
      </c>
      <c r="R868" s="16">
        <f>IF(AND(P996&lt;&gt;"",P996&gt;0),(I996+J996+K996)/P996,"")</f>
        <v/>
      </c>
    </row>
    <row r="869" ht="94.5" customHeight="1">
      <c r="A869" s="5" t="inlineStr">
        <is>
          <t>2026-05-23</t>
        </is>
      </c>
      <c r="B869" s="5" t="inlineStr">
        <is>
          <t>21周</t>
        </is>
      </c>
      <c r="C869" s="5" t="inlineStr">
        <is>
          <t>小红书</t>
        </is>
      </c>
      <c r="D869" s="5" t="n"/>
      <c r="E869" s="5" t="n"/>
      <c r="F869" s="5" t="inlineStr">
        <is>
          <t>https://www.xiaohongshu.com/discovery/item/6a11893e0000000007023caf?xsec_token=CBWOWh4p4qzTww-L1z0vXv7GcLIDaYVzocuUaAb2fhdco=&amp;xsec_source=app_share&amp;type=video</t>
        </is>
      </c>
      <c r="G869" s="5" t="inlineStr">
        <is>
          <t>0003A2</t>
        </is>
      </c>
      <c r="H869" s="5" t="inlineStr">
        <is>
          <t>通勤穿搭</t>
        </is>
      </c>
      <c r="I869" s="5" t="n">
        <v>300</v>
      </c>
      <c r="J869" s="5" t="n"/>
      <c r="K869" s="5" t="n">
        <v>49.5</v>
      </c>
      <c r="L869" s="5" t="n">
        <v>13378</v>
      </c>
      <c r="M869" s="5" t="n">
        <v>1086</v>
      </c>
      <c r="N869" s="5" t="n">
        <v>84</v>
      </c>
      <c r="O869" s="5" t="n">
        <v>34</v>
      </c>
      <c r="P869" s="8">
        <f>IF(AND(M997&lt;&gt;"",M997&gt;0),M997+N997+O997,"")</f>
        <v/>
      </c>
      <c r="Q869" s="11">
        <f>IF(AND(L997&lt;&gt;"",L997&gt;0,P997&lt;&gt;""),P997/L997,"")</f>
        <v/>
      </c>
      <c r="R869" s="16">
        <f>IF(AND(P997&lt;&gt;"",P997&gt;0),(I997+J997+K997)/P997,"")</f>
        <v/>
      </c>
    </row>
    <row r="870" ht="81" customHeight="1">
      <c r="A870" s="5" t="inlineStr">
        <is>
          <t>2026-05-23</t>
        </is>
      </c>
      <c r="B870" s="5" t="inlineStr">
        <is>
          <t>21周</t>
        </is>
      </c>
      <c r="C870" s="5" t="inlineStr">
        <is>
          <t>小红书</t>
        </is>
      </c>
      <c r="D870" s="5" t="n"/>
      <c r="E870" s="5" t="n"/>
      <c r="F870" s="5" t="inlineStr">
        <is>
          <t>https://www.xiaohongshu.com/discovery/item/6a1191410000000037037ddb?xsec_token=CBQzfI9f-RyrlZG98DDurDhQ7nzt_MJkAAhtuaPfVtynQ=&amp;xsec_source=app_share</t>
        </is>
      </c>
      <c r="G870" s="5" t="inlineStr">
        <is>
          <t>459</t>
        </is>
      </c>
      <c r="H870" s="5" t="inlineStr">
        <is>
          <t>穿搭</t>
        </is>
      </c>
      <c r="I870" s="5" t="n"/>
      <c r="J870" s="5" t="n"/>
      <c r="K870" s="5" t="n">
        <v>46.5</v>
      </c>
      <c r="L870" s="5" t="n">
        <v>2295</v>
      </c>
      <c r="M870" s="5" t="n">
        <v>160</v>
      </c>
      <c r="N870" s="5" t="n">
        <v>26</v>
      </c>
      <c r="O870" s="5" t="n">
        <v>8</v>
      </c>
      <c r="P870" s="8">
        <f>IF(AND(M998&lt;&gt;"",M998&gt;0),M998+N998+O998,"")</f>
        <v/>
      </c>
      <c r="Q870" s="11">
        <f>IF(AND(L998&lt;&gt;"",L998&gt;0,P998&lt;&gt;""),P998/L998,"")</f>
        <v/>
      </c>
      <c r="R870" s="16">
        <f>IF(AND(P998&lt;&gt;"",P998&gt;0),(I998+J998+K998)/P998,"")</f>
        <v/>
      </c>
    </row>
    <row r="871" ht="40.5" customHeight="1">
      <c r="A871" s="5" t="inlineStr">
        <is>
          <t>2026-05-23</t>
        </is>
      </c>
      <c r="B871" s="5" t="inlineStr">
        <is>
          <t>21周</t>
        </is>
      </c>
      <c r="C871" s="5" t="inlineStr">
        <is>
          <t>小红书</t>
        </is>
      </c>
      <c r="D871" s="5" t="n"/>
      <c r="E871" s="5" t="n"/>
      <c r="F871" s="5" t="inlineStr">
        <is>
          <t>https://www.xiaohongshu.com/discovery/item/6a11987500000000350263ef?xsec_token=CBWOWh4p4qzTww-L1z0vXv7MJSK7KifCBWmpYViCV3deo=&amp;xsec_source=app_share&amp;type=video</t>
        </is>
      </c>
      <c r="G871" s="5" t="inlineStr">
        <is>
          <t>489</t>
        </is>
      </c>
      <c r="H871" s="5" t="inlineStr">
        <is>
          <t>马嘉祺</t>
        </is>
      </c>
      <c r="I871" s="5" t="n"/>
      <c r="J871" s="5" t="n"/>
      <c r="K871" s="5" t="n">
        <v>53.5</v>
      </c>
      <c r="L871" s="5" t="n">
        <v>2306</v>
      </c>
      <c r="M871" s="5" t="n">
        <v>143</v>
      </c>
      <c r="N871" s="5" t="n">
        <v>43</v>
      </c>
      <c r="O871" s="5" t="n">
        <v>12</v>
      </c>
      <c r="P871" s="8">
        <f>IF(AND(M999&lt;&gt;"",M999&gt;0),M999+N999+O999,"")</f>
        <v/>
      </c>
      <c r="Q871" s="11">
        <f>IF(AND(L999&lt;&gt;"",L999&gt;0,P999&lt;&gt;""),P999/L999,"")</f>
        <v/>
      </c>
      <c r="R871" s="16">
        <f>IF(AND(P999&lt;&gt;"",P999&gt;0),(I999+J999+K999)/P999,"")</f>
        <v/>
      </c>
    </row>
    <row r="872" ht="27" customHeight="1">
      <c r="A872" s="5" t="inlineStr">
        <is>
          <t>2026-05-24</t>
        </is>
      </c>
      <c r="B872" s="5" t="inlineStr">
        <is>
          <t>21周</t>
        </is>
      </c>
      <c r="C872" s="5" t="inlineStr">
        <is>
          <t>小红书</t>
        </is>
      </c>
      <c r="D872" s="5" t="n"/>
      <c r="E872" s="5" t="n"/>
      <c r="F872" s="5" t="inlineStr">
        <is>
          <t>https://www.xiaohongshu.com/discovery/item/6a11a2570000000038023ba7?xsec_token=CBTXwTwQAtX3QmxUJIrJseY9KMBuzjOQugbMSCpW3R1TE=&amp;xsec_source=app_share&amp;type=video</t>
        </is>
      </c>
      <c r="G872" s="5" t="inlineStr">
        <is>
          <t>489</t>
        </is>
      </c>
      <c r="H872" s="5" t="inlineStr">
        <is>
          <t>赵露思</t>
        </is>
      </c>
      <c r="I872" s="5" t="n"/>
      <c r="J872" s="5" t="n"/>
      <c r="K872" s="5" t="n">
        <v>53.5</v>
      </c>
      <c r="L872" s="5" t="n">
        <v>7325</v>
      </c>
      <c r="M872" s="5" t="n">
        <v>388</v>
      </c>
      <c r="N872" s="5" t="n">
        <v>29</v>
      </c>
      <c r="O872" s="5" t="n">
        <v>102</v>
      </c>
      <c r="P872" s="8">
        <f>IF(AND(M1000&lt;&gt;"",M1000&gt;0),M1000+N1000+O1000,"")</f>
        <v/>
      </c>
      <c r="Q872" s="11">
        <f>IF(AND(L1000&lt;&gt;"",L1000&gt;0,P1000&lt;&gt;""),P1000/L1000,"")</f>
        <v/>
      </c>
      <c r="R872" s="16">
        <f>IF(AND(P1000&lt;&gt;"",P1000&gt;0),(I1000+J1000+K1000)/P1000,"")</f>
        <v/>
      </c>
    </row>
    <row r="873" ht="27" customHeight="1">
      <c r="A873" s="5" t="inlineStr">
        <is>
          <t>2026-05-24</t>
        </is>
      </c>
      <c r="B873" s="5" t="inlineStr">
        <is>
          <t>21周</t>
        </is>
      </c>
      <c r="C873" s="5" t="inlineStr">
        <is>
          <t>抖音</t>
        </is>
      </c>
      <c r="D873" s="5" t="n"/>
      <c r="E873" s="5" t="n"/>
      <c r="F873" s="5" t="inlineStr">
        <is>
          <t>https://v.douyin.com/pynByEPwhjE/</t>
        </is>
      </c>
      <c r="G873" s="5" t="inlineStr">
        <is>
          <t>489</t>
        </is>
      </c>
      <c r="H873" s="5" t="inlineStr">
        <is>
          <t>陈奕恒</t>
        </is>
      </c>
      <c r="I873" s="5" t="n"/>
      <c r="J873" s="5" t="n"/>
      <c r="K873" s="5" t="n">
        <v>53.5</v>
      </c>
      <c r="L873" s="5" t="n">
        <v>650</v>
      </c>
      <c r="M873" s="5" t="n">
        <v>126</v>
      </c>
      <c r="N873" s="5" t="n">
        <v>3</v>
      </c>
      <c r="O873" s="5" t="n">
        <v>65</v>
      </c>
      <c r="P873" s="8">
        <f>IF(AND(M1001&lt;&gt;"",M1001&gt;0),M1001+N1001+O1001,"")</f>
        <v/>
      </c>
      <c r="Q873" s="11">
        <f>IF(AND(L1001&lt;&gt;"",L1001&gt;0,P1001&lt;&gt;""),P1001/L1001,"")</f>
        <v/>
      </c>
      <c r="R873" s="16">
        <f>IF(AND(P1001&lt;&gt;"",P1001&gt;0),(I1001+J1001+K1001)/P1001,"")</f>
        <v/>
      </c>
    </row>
    <row r="874" ht="27" customHeight="1">
      <c r="A874" s="5" t="inlineStr">
        <is>
          <t>2026-05-24</t>
        </is>
      </c>
      <c r="B874" s="5" t="inlineStr">
        <is>
          <t>21周</t>
        </is>
      </c>
      <c r="C874" s="5" t="inlineStr">
        <is>
          <t>抖音</t>
        </is>
      </c>
      <c r="D874" s="5" t="n"/>
      <c r="E874" s="5" t="n"/>
      <c r="F874" s="5" t="inlineStr">
        <is>
          <t>https://v.douyin.com/FuQGj3pP0T8/</t>
        </is>
      </c>
      <c r="G874" s="5" t="inlineStr">
        <is>
          <t>0003A2</t>
        </is>
      </c>
      <c r="H874" s="5" t="inlineStr">
        <is>
          <t>穿搭</t>
        </is>
      </c>
      <c r="I874" s="5" t="n"/>
      <c r="J874" s="5" t="n"/>
      <c r="K874" s="5" t="n">
        <v>49.5</v>
      </c>
      <c r="L874" s="5" t="n">
        <v>220000</v>
      </c>
      <c r="M874" s="5" t="n">
        <v>13000</v>
      </c>
      <c r="N874" s="5" t="n">
        <v>1839</v>
      </c>
      <c r="O874" s="5" t="n">
        <v>67</v>
      </c>
      <c r="P874" s="8">
        <f>IF(AND(M1002&lt;&gt;"",M1002&gt;0),M1002+N1002+O1002,"")</f>
        <v/>
      </c>
      <c r="Q874" s="11">
        <f>IF(AND(L1002&lt;&gt;"",L1002&gt;0,P1002&lt;&gt;""),P1002/L1002,"")</f>
        <v/>
      </c>
      <c r="R874" s="16">
        <f>IF(AND(P1002&lt;&gt;"",P1002&gt;0),(I1002+J1002+K1002)/P1002,"")</f>
        <v/>
      </c>
    </row>
    <row r="875" ht="27" customHeight="1">
      <c r="A875" s="5" t="inlineStr">
        <is>
          <t>2026-05-24</t>
        </is>
      </c>
      <c r="B875" s="5" t="inlineStr">
        <is>
          <t>21周</t>
        </is>
      </c>
      <c r="C875" s="5" t="inlineStr">
        <is>
          <t>抖音</t>
        </is>
      </c>
      <c r="D875" s="5" t="n"/>
      <c r="E875" s="5" t="n"/>
      <c r="F875" s="5" t="inlineStr">
        <is>
          <t>https://www.douyin.com/user/self?from_tab_name=main&amp;modal_id=7643053597672585142&amp;showTab=like</t>
        </is>
      </c>
      <c r="G875" s="5" t="inlineStr">
        <is>
          <t>492</t>
        </is>
      </c>
      <c r="H875" s="5" t="inlineStr">
        <is>
          <t>穿搭</t>
        </is>
      </c>
      <c r="I875" s="5" t="n">
        <v>100</v>
      </c>
      <c r="J875" s="5" t="n"/>
      <c r="K875" s="5" t="n">
        <v>69.5</v>
      </c>
      <c r="L875" s="5" t="n">
        <v>52000</v>
      </c>
      <c r="M875" s="5" t="n">
        <v>1314</v>
      </c>
      <c r="N875" s="5" t="n">
        <v>33</v>
      </c>
      <c r="O875" s="5" t="n">
        <v>29</v>
      </c>
      <c r="P875" s="8">
        <f>IF(AND(M1003&lt;&gt;"",M1003&gt;0),M1003+N1003+O1003,"")</f>
        <v/>
      </c>
      <c r="Q875" s="11">
        <f>IF(AND(L1003&lt;&gt;"",L1003&gt;0,P1003&lt;&gt;""),P1003/L1003,"")</f>
        <v/>
      </c>
      <c r="R875" s="16">
        <f>IF(AND(P1003&lt;&gt;"",P1003&gt;0),(I1003+J1003+K1003)/P1003,"")</f>
        <v/>
      </c>
    </row>
    <row r="876" ht="27" customHeight="1">
      <c r="A876" s="5" t="inlineStr">
        <is>
          <t>2026-05-24</t>
        </is>
      </c>
      <c r="B876" s="5" t="inlineStr">
        <is>
          <t>21周</t>
        </is>
      </c>
      <c r="C876" s="5" t="inlineStr">
        <is>
          <t>小红书</t>
        </is>
      </c>
      <c r="D876" s="5" t="n"/>
      <c r="E876" s="5" t="n"/>
      <c r="F876" s="5" t="inlineStr">
        <is>
          <t>https://www.xiaohongshu.com/discovery/item/6a12eb940000000035027f0d?xsec_token=CBVnD5uyqCYOOjcZdzjVRDjiCOtnChiquBXs9UyfB-K44=&amp;xsec_source=app_share&amp;type=video</t>
        </is>
      </c>
      <c r="G876" s="5" t="inlineStr">
        <is>
          <t>459</t>
        </is>
      </c>
      <c r="H876" s="5" t="inlineStr">
        <is>
          <t>穿搭</t>
        </is>
      </c>
      <c r="I876" s="5" t="n"/>
      <c r="J876" s="5" t="n"/>
      <c r="K876" s="5" t="n">
        <v>46.5</v>
      </c>
      <c r="L876" s="5" t="n">
        <v>455</v>
      </c>
      <c r="M876" s="5" t="n">
        <v>32</v>
      </c>
      <c r="N876" s="5" t="n">
        <v>5</v>
      </c>
      <c r="O876" s="5" t="n">
        <v>3</v>
      </c>
      <c r="P876" s="8">
        <f>IF(AND(M1004&lt;&gt;"",M1004&gt;0),M1004+N1004+O1004,"")</f>
        <v/>
      </c>
      <c r="Q876" s="11">
        <f>IF(AND(L1004&lt;&gt;"",L1004&gt;0,P1004&lt;&gt;""),P1004/L1004,"")</f>
        <v/>
      </c>
      <c r="R876" s="16">
        <f>IF(AND(P1004&lt;&gt;"",P1004&gt;0),(I1004+J1004+K1004)/P1004,"")</f>
        <v/>
      </c>
    </row>
    <row r="877" ht="27" customHeight="1">
      <c r="A877" s="5" t="inlineStr">
        <is>
          <t>2026-05-25</t>
        </is>
      </c>
      <c r="B877" s="5" t="inlineStr">
        <is>
          <t>22周</t>
        </is>
      </c>
      <c r="C877" s="5" t="inlineStr">
        <is>
          <t>小红书</t>
        </is>
      </c>
      <c r="D877" s="5" t="n"/>
      <c r="E877" s="5" t="n"/>
      <c r="F877" s="5" t="inlineStr">
        <is>
          <t>https://www.xiaohongshu.com/discovery/item/6a1304690000000007028b0d?xsec_token=CBWwFlE8HQYYjOPwhp_zxHd9BfUo160fWO4iMLjp_J6oU=&amp;xsec_source=app_share</t>
        </is>
      </c>
      <c r="G877" s="5" t="inlineStr">
        <is>
          <t>0002A1</t>
        </is>
      </c>
      <c r="H877" s="5" t="inlineStr">
        <is>
          <t>穿搭</t>
        </is>
      </c>
      <c r="I877" s="5" t="n"/>
      <c r="J877" s="5" t="n"/>
      <c r="K877" s="5" t="n">
        <v>25.5</v>
      </c>
      <c r="L877" s="5" t="n">
        <v>318</v>
      </c>
      <c r="M877" s="5" t="n">
        <v>216</v>
      </c>
      <c r="N877" s="5" t="n">
        <v>66</v>
      </c>
      <c r="O877" s="5" t="n">
        <v>16</v>
      </c>
      <c r="P877" s="8">
        <f>IF(AND(M1005&lt;&gt;"",M1005&gt;0),M1005+N1005+O1005,"")</f>
        <v/>
      </c>
      <c r="Q877" s="11">
        <f>IF(AND(L1005&lt;&gt;"",L1005&gt;0,P1005&lt;&gt;""),P1005/L1005,"")</f>
        <v/>
      </c>
      <c r="R877" s="16">
        <f>IF(AND(P1005&lt;&gt;"",P1005&gt;0),(I1005+J1005+K1005)/P1005,"")</f>
        <v/>
      </c>
    </row>
    <row r="878" ht="81" customHeight="1">
      <c r="A878" s="5" t="inlineStr">
        <is>
          <t>2026-05-25</t>
        </is>
      </c>
      <c r="B878" s="5" t="inlineStr">
        <is>
          <t>22周</t>
        </is>
      </c>
      <c r="C878" s="5" t="inlineStr">
        <is>
          <t>抖音</t>
        </is>
      </c>
      <c r="D878" s="5" t="n"/>
      <c r="E878" s="5" t="n"/>
      <c r="F878" s="5" t="inlineStr">
        <is>
          <t>https://v.douyin.com/az5anBiYJII/</t>
        </is>
      </c>
      <c r="G878" s="5" t="inlineStr">
        <is>
          <t>0002A1</t>
        </is>
      </c>
      <c r="H878" s="5" t="inlineStr">
        <is>
          <t>穿搭</t>
        </is>
      </c>
      <c r="I878" s="5" t="n"/>
      <c r="J878" s="5" t="n"/>
      <c r="K878" s="5" t="n">
        <v>25.5</v>
      </c>
      <c r="L878" s="5" t="n">
        <v>4128</v>
      </c>
      <c r="M878" s="5" t="n">
        <v>610</v>
      </c>
      <c r="N878" s="5" t="n">
        <v>75</v>
      </c>
      <c r="O878" s="5" t="n">
        <v>14</v>
      </c>
      <c r="P878" s="8">
        <f>IF(AND(M1006&lt;&gt;"",M1006&gt;0),M1006+N1006+O1006,"")</f>
        <v/>
      </c>
      <c r="Q878" s="11">
        <f>IF(AND(L1006&lt;&gt;"",L1006&gt;0,P1006&lt;&gt;""),P1006/L1006,"")</f>
        <v/>
      </c>
      <c r="R878" s="16">
        <f>IF(AND(P1006&lt;&gt;"",P1006&gt;0),(I1006+J1006+K1006)/P1006,"")</f>
        <v/>
      </c>
    </row>
    <row r="879" ht="81" customHeight="1">
      <c r="A879" s="5" t="inlineStr">
        <is>
          <t>2026-05-25</t>
        </is>
      </c>
      <c r="B879" s="5" t="inlineStr">
        <is>
          <t>22周</t>
        </is>
      </c>
      <c r="C879" s="5" t="inlineStr">
        <is>
          <t>抖音</t>
        </is>
      </c>
      <c r="D879" s="5" t="n"/>
      <c r="E879" s="5" t="n"/>
      <c r="F879" s="5" t="inlineStr">
        <is>
          <t>https://v.douyin.com/HlHGGxsX8Ns/</t>
        </is>
      </c>
      <c r="G879" s="5" t="inlineStr">
        <is>
          <t>0003A2</t>
        </is>
      </c>
      <c r="H879" s="5" t="inlineStr">
        <is>
          <t>口播</t>
        </is>
      </c>
      <c r="I879" s="5" t="n">
        <v>300</v>
      </c>
      <c r="J879" s="5" t="n"/>
      <c r="K879" s="5" t="n">
        <v>49.5</v>
      </c>
      <c r="L879" s="5" t="n">
        <v>42000</v>
      </c>
      <c r="M879" s="5" t="n">
        <v>1362</v>
      </c>
      <c r="N879" s="5" t="n">
        <v>777</v>
      </c>
      <c r="O879" s="5" t="n">
        <v>33</v>
      </c>
      <c r="P879" s="8">
        <f>IF(AND(M1007&lt;&gt;"",M1007&gt;0),M1007+N1007+O1007,"")</f>
        <v/>
      </c>
      <c r="Q879" s="11">
        <f>IF(AND(L1007&lt;&gt;"",L1007&gt;0,P1007&lt;&gt;""),P1007/L1007,"")</f>
        <v/>
      </c>
      <c r="R879" s="16">
        <f>IF(AND(P1007&lt;&gt;"",P1007&gt;0),(I1007+J1007+K1007)/P1007,"")</f>
        <v/>
      </c>
    </row>
    <row r="880" ht="81" customHeight="1">
      <c r="A880" s="5" t="inlineStr">
        <is>
          <t>2026-05-25</t>
        </is>
      </c>
      <c r="B880" s="5" t="inlineStr">
        <is>
          <t>22周</t>
        </is>
      </c>
      <c r="C880" s="5" t="inlineStr">
        <is>
          <t>抖音</t>
        </is>
      </c>
      <c r="D880" s="5" t="n"/>
      <c r="E880" s="5" t="n"/>
      <c r="F880" s="5" t="inlineStr">
        <is>
          <t>https://www.douyin.com/user/MS4wLjABAAAASyou5YQQDn4oeVhWT-rYgsUniyVIE0DbxOL7z9JmEEi3EIbwoXz8v_tAWK-1EMJd?from_tab_name=main&amp;modal_id=7643797946593561275&amp;vid=7643797946593561275</t>
        </is>
      </c>
      <c r="G880" s="5" t="inlineStr">
        <is>
          <t>0003A2</t>
        </is>
      </c>
      <c r="H880" s="5" t="inlineStr">
        <is>
          <t>口播</t>
        </is>
      </c>
      <c r="I880" s="5" t="n">
        <v>100</v>
      </c>
      <c r="J880" s="5" t="n"/>
      <c r="K880" s="5" t="n">
        <v>49.5</v>
      </c>
      <c r="L880" s="5" t="n">
        <v>13000</v>
      </c>
      <c r="M880" s="5" t="n">
        <v>273</v>
      </c>
      <c r="N880" s="5" t="n">
        <v>59</v>
      </c>
      <c r="O880" s="5" t="n">
        <v>39</v>
      </c>
      <c r="P880" s="8">
        <f>IF(AND(M1008&lt;&gt;"",M1008&gt;0),M1008+N1008+O1008,"")</f>
        <v/>
      </c>
      <c r="Q880" s="11">
        <f>IF(AND(L1008&lt;&gt;"",L1008&gt;0,P1008&lt;&gt;""),P1008/L1008,"")</f>
        <v/>
      </c>
      <c r="R880" s="16">
        <f>IF(AND(P1008&lt;&gt;"",P1008&gt;0),(I1008+J1008+K1008)/P1008,"")</f>
        <v/>
      </c>
    </row>
    <row r="881" ht="81" customHeight="1">
      <c r="A881" s="5" t="inlineStr">
        <is>
          <t>2026-05-25</t>
        </is>
      </c>
      <c r="B881" s="5" t="inlineStr">
        <is>
          <t>22周</t>
        </is>
      </c>
      <c r="C881" s="5" t="inlineStr">
        <is>
          <t>快手</t>
        </is>
      </c>
      <c r="D881" s="5" t="n"/>
      <c r="E881" s="5" t="n"/>
      <c r="F881" s="5" t="inlineStr">
        <is>
          <t>https://v.kuaishou.com/nnhWh80R</t>
        </is>
      </c>
      <c r="G881" s="5" t="inlineStr">
        <is>
          <t>459</t>
        </is>
      </c>
      <c r="H881" s="5" t="inlineStr">
        <is>
          <t>张子墨</t>
        </is>
      </c>
      <c r="I881" s="5" t="n"/>
      <c r="J881" s="5" t="n"/>
      <c r="K881" s="5" t="n">
        <v>46.5</v>
      </c>
      <c r="L881" s="5" t="n">
        <v>864</v>
      </c>
      <c r="M881" s="5" t="n">
        <v>208</v>
      </c>
      <c r="N881" s="5" t="n">
        <v>1</v>
      </c>
      <c r="O881" s="5" t="n">
        <v>8</v>
      </c>
      <c r="P881" s="8">
        <f>IF(AND(M1009&lt;&gt;"",M1009&gt;0),M1009+N1009+O1009,"")</f>
        <v/>
      </c>
      <c r="Q881" s="11">
        <f>IF(AND(L1009&lt;&gt;"",L1009&gt;0,P1009&lt;&gt;""),P1009/L1009,"")</f>
        <v/>
      </c>
      <c r="R881" s="16">
        <f>IF(AND(P1009&lt;&gt;"",P1009&gt;0),(I1009+J1009+K1009)/P1009,"")</f>
        <v/>
      </c>
    </row>
    <row r="882">
      <c r="A882" s="5" t="inlineStr">
        <is>
          <t>2026-05-25</t>
        </is>
      </c>
      <c r="B882" s="5" t="inlineStr">
        <is>
          <t>22周</t>
        </is>
      </c>
      <c r="C882" s="5" t="inlineStr">
        <is>
          <t>抖音</t>
        </is>
      </c>
      <c r="D882" s="5" t="n"/>
      <c r="E882" s="5" t="n"/>
      <c r="F882" s="5" t="inlineStr">
        <is>
          <t>https://www.douyin.com/user/MS4wLjABAAAAsfkFRg7BPSeI4cw02ppPlvv9JAhRNFITN-KFIPNDy0w?from_tab_name=main&amp;modal_id=7643761712802214137&amp;vid=7643761712802214137</t>
        </is>
      </c>
      <c r="G882" s="5" t="inlineStr">
        <is>
          <t>0003A2</t>
        </is>
      </c>
      <c r="H882" s="5" t="inlineStr">
        <is>
          <t>健身穿搭</t>
        </is>
      </c>
      <c r="I882" s="5" t="n">
        <v>100</v>
      </c>
      <c r="J882" s="5" t="n"/>
      <c r="K882" s="5" t="n">
        <v>49.5</v>
      </c>
      <c r="L882" s="5" t="n">
        <v>11000</v>
      </c>
      <c r="M882" s="5" t="n">
        <v>275</v>
      </c>
      <c r="N882" s="5" t="n">
        <v>24</v>
      </c>
      <c r="O882" s="5" t="n">
        <v>9</v>
      </c>
      <c r="P882" s="8">
        <f>IF(AND(M1010&lt;&gt;"",M1010&gt;0),M1010+N1010+O1010,"")</f>
        <v/>
      </c>
      <c r="Q882" s="11">
        <f>IF(AND(L1010&lt;&gt;"",L1010&gt;0,P1010&lt;&gt;""),P1010/L1010,"")</f>
        <v/>
      </c>
      <c r="R882" s="16">
        <f>IF(AND(P1010&lt;&gt;"",P1010&gt;0),(I1010+J1010+K1010)/P1010,"")</f>
        <v/>
      </c>
    </row>
    <row r="883" ht="27" customHeight="1">
      <c r="A883" s="5" t="inlineStr">
        <is>
          <t>2026-05-25</t>
        </is>
      </c>
      <c r="B883" s="5" t="inlineStr">
        <is>
          <t>22周</t>
        </is>
      </c>
      <c r="C883" s="5" t="inlineStr">
        <is>
          <t>抖音</t>
        </is>
      </c>
      <c r="D883" s="5" t="n"/>
      <c r="E883" s="5" t="n"/>
      <c r="F883" s="5" t="inlineStr">
        <is>
          <t>https://v.douyin.com/U6CO6BVMckg/</t>
        </is>
      </c>
      <c r="G883" s="5" t="inlineStr">
        <is>
          <t>489</t>
        </is>
      </c>
      <c r="H883" s="5" t="inlineStr">
        <is>
          <t>赵露思</t>
        </is>
      </c>
      <c r="I883" s="5" t="n"/>
      <c r="J883" s="5" t="n"/>
      <c r="K883" s="5" t="n">
        <v>53.5</v>
      </c>
      <c r="L883" s="5" t="n">
        <v>1251</v>
      </c>
      <c r="M883" s="5" t="n">
        <v>109</v>
      </c>
      <c r="N883" s="5" t="n">
        <v>3</v>
      </c>
      <c r="O883" s="5" t="n">
        <v>7</v>
      </c>
      <c r="P883" s="8">
        <f>IF(AND(M1011&lt;&gt;"",M1011&gt;0),M1011+N1011+O1011,"")</f>
        <v/>
      </c>
      <c r="Q883" s="11">
        <f>IF(AND(L1011&lt;&gt;"",L1011&gt;0,P1011&lt;&gt;""),P1011/L1011,"")</f>
        <v/>
      </c>
      <c r="R883" s="16">
        <f>IF(AND(P1011&lt;&gt;"",P1011&gt;0),(I1011+J1011+K1011)/P1011,"")</f>
        <v/>
      </c>
    </row>
    <row r="884" ht="27" customHeight="1">
      <c r="A884" s="5" t="inlineStr">
        <is>
          <t>2026-05-25</t>
        </is>
      </c>
      <c r="B884" s="5" t="inlineStr">
        <is>
          <t>22周</t>
        </is>
      </c>
      <c r="C884" s="5" t="inlineStr">
        <is>
          <t>抖音</t>
        </is>
      </c>
      <c r="D884" s="5" t="n"/>
      <c r="E884" s="5" t="n"/>
      <c r="F884" s="5" t="inlineStr">
        <is>
          <t>https://v.douyin.com/9gNObdlAPxI/</t>
        </is>
      </c>
      <c r="G884" s="5" t="inlineStr">
        <is>
          <t>0002A1</t>
        </is>
      </c>
      <c r="H884" s="5" t="inlineStr">
        <is>
          <t>穿搭</t>
        </is>
      </c>
      <c r="I884" s="5" t="n">
        <v>200</v>
      </c>
      <c r="J884" s="5" t="n"/>
      <c r="K884" s="5" t="n">
        <v>25.5</v>
      </c>
      <c r="L884" s="5" t="n">
        <v>40000</v>
      </c>
      <c r="M884" s="5" t="n">
        <v>2252</v>
      </c>
      <c r="N884" s="5" t="n">
        <v>279</v>
      </c>
      <c r="O884" s="5" t="n">
        <v>17</v>
      </c>
      <c r="P884" s="8">
        <f>IF(AND(M1012&lt;&gt;"",M1012&gt;0),M1012+N1012+O1012,"")</f>
        <v/>
      </c>
      <c r="Q884" s="11">
        <f>IF(AND(L1012&lt;&gt;"",L1012&gt;0,P1012&lt;&gt;""),P1012/L1012,"")</f>
        <v/>
      </c>
      <c r="R884" s="16">
        <f>IF(AND(P1012&lt;&gt;"",P1012&gt;0),(I1012+J1012+K1012)/P1012,"")</f>
        <v/>
      </c>
    </row>
    <row r="885" ht="27" customHeight="1">
      <c r="A885" s="5" t="inlineStr">
        <is>
          <t>2026-05-25</t>
        </is>
      </c>
      <c r="B885" s="5" t="inlineStr">
        <is>
          <t>22周</t>
        </is>
      </c>
      <c r="C885" s="5" t="inlineStr">
        <is>
          <t>抖音</t>
        </is>
      </c>
      <c r="D885" s="5" t="n"/>
      <c r="E885" s="5" t="n"/>
      <c r="F885" s="5" t="inlineStr">
        <is>
          <t>https://v.douyin.com/HrUxw5HcxhE/</t>
        </is>
      </c>
      <c r="G885" s="5" t="inlineStr">
        <is>
          <t>489</t>
        </is>
      </c>
      <c r="H885" s="5" t="inlineStr">
        <is>
          <t>陈奕恒</t>
        </is>
      </c>
      <c r="I885" s="5" t="n"/>
      <c r="J885" s="5" t="n"/>
      <c r="K885" s="5" t="n">
        <v>53.5</v>
      </c>
      <c r="L885" s="5" t="n">
        <v>5540</v>
      </c>
      <c r="M885" s="5" t="n">
        <v>1393</v>
      </c>
      <c r="N885" s="5" t="n">
        <v>28</v>
      </c>
      <c r="O885" s="5" t="n">
        <v>22</v>
      </c>
      <c r="P885" s="8">
        <f>IF(AND(M1013&lt;&gt;"",M1013&gt;0),M1013+N1013+O1013,"")</f>
        <v/>
      </c>
      <c r="Q885" s="11">
        <f>IF(AND(L1013&lt;&gt;"",L1013&gt;0,P1013&lt;&gt;""),P1013/L1013,"")</f>
        <v/>
      </c>
      <c r="R885" s="16">
        <f>IF(AND(P1013&lt;&gt;"",P1013&gt;0),(I1013+J1013+K1013)/P1013,"")</f>
        <v/>
      </c>
    </row>
    <row r="886" ht="81" customHeight="1">
      <c r="A886" s="5" t="inlineStr">
        <is>
          <t>2026-05-25</t>
        </is>
      </c>
      <c r="B886" s="5" t="inlineStr">
        <is>
          <t>22周</t>
        </is>
      </c>
      <c r="C886" s="5" t="inlineStr">
        <is>
          <t>小红书</t>
        </is>
      </c>
      <c r="D886" s="5" t="n"/>
      <c r="E886" s="5" t="n"/>
      <c r="F886" s="5" t="inlineStr">
        <is>
          <t>https://www.xiaohongshu.com/discovery/item/6a1425660000000037036be4?xsec_token=CBnj_aFjSjB64O2kNhCHkyGj3A6GkbqIkQ7VlpUh4hDgI=&amp;xsec_source=app_share&amp;type=video</t>
        </is>
      </c>
      <c r="G886" s="5" t="inlineStr">
        <is>
          <t>0003A2</t>
        </is>
      </c>
      <c r="H886" s="5" t="inlineStr">
        <is>
          <t>跳舞</t>
        </is>
      </c>
      <c r="I886" s="5" t="n"/>
      <c r="J886" s="5" t="n"/>
      <c r="K886" s="5" t="n">
        <v>49.5</v>
      </c>
      <c r="L886" s="5" t="n">
        <v>16773</v>
      </c>
      <c r="M886" s="5" t="n">
        <v>1024</v>
      </c>
      <c r="N886" s="5" t="n">
        <v>554</v>
      </c>
      <c r="O886" s="5" t="n">
        <v>41</v>
      </c>
      <c r="P886" s="8">
        <f>IF(AND(M1014&lt;&gt;"",M1014&gt;0),M1014+N1014+O1014,"")</f>
        <v/>
      </c>
      <c r="Q886" s="11">
        <f>IF(AND(L1014&lt;&gt;"",L1014&gt;0,P1014&lt;&gt;""),P1014/L1014,"")</f>
        <v/>
      </c>
      <c r="R886" s="16">
        <f>IF(AND(P1014&lt;&gt;"",P1014&gt;0),(I1014+J1014+K1014)/P1014,"")</f>
        <v/>
      </c>
    </row>
    <row r="887" ht="81" customHeight="1">
      <c r="A887" s="5" t="inlineStr">
        <is>
          <t>2026-05-26</t>
        </is>
      </c>
      <c r="B887" s="5" t="inlineStr">
        <is>
          <t>22周</t>
        </is>
      </c>
      <c r="C887" s="5" t="inlineStr">
        <is>
          <t>小红书</t>
        </is>
      </c>
      <c r="D887" s="5" t="n"/>
      <c r="E887" s="5" t="n"/>
      <c r="F887" s="5" t="inlineStr">
        <is>
          <t>https://www.xiaohongshu.com/discovery/item/6a143c7e00000000060305dc?xsec_token=CB3yW0QmQQTg9qFzw8Ukxw6GTfOgZV3OLlflqc-APd0g8=&amp;xsec_source=app_share&amp;type=video</t>
        </is>
      </c>
      <c r="G887" s="5" t="inlineStr">
        <is>
          <t>459</t>
        </is>
      </c>
      <c r="H887" s="5" t="inlineStr">
        <is>
          <t>张子墨</t>
        </is>
      </c>
      <c r="I887" s="5" t="n"/>
      <c r="J887" s="5" t="n"/>
      <c r="K887" s="5" t="n">
        <v>46.5</v>
      </c>
      <c r="L887" s="5" t="n">
        <v>457</v>
      </c>
      <c r="M887" s="5" t="n">
        <v>32</v>
      </c>
      <c r="N887" s="5" t="n">
        <v>1</v>
      </c>
      <c r="O887" s="5" t="n">
        <v>3</v>
      </c>
      <c r="P887" s="8">
        <f>IF(AND(M1015&lt;&gt;"",M1015&gt;0),M1015+N1015+O1015,"")</f>
        <v/>
      </c>
      <c r="Q887" s="11">
        <f>IF(AND(L1015&lt;&gt;"",L1015&gt;0,P1015&lt;&gt;""),P1015/L1015,"")</f>
        <v/>
      </c>
      <c r="R887" s="16">
        <f>IF(AND(P1015&lt;&gt;"",P1015&gt;0),(I1015+J1015+K1015)/P1015,"")</f>
        <v/>
      </c>
    </row>
    <row r="888" ht="81" customHeight="1">
      <c r="A888" s="5" t="inlineStr">
        <is>
          <t>2026-05-26</t>
        </is>
      </c>
      <c r="B888" s="5" t="inlineStr">
        <is>
          <t>22周</t>
        </is>
      </c>
      <c r="C888" s="5" t="inlineStr">
        <is>
          <t>抖音</t>
        </is>
      </c>
      <c r="D888" s="5" t="n"/>
      <c r="E888" s="5" t="n"/>
      <c r="F888" s="5" t="inlineStr">
        <is>
          <t>https://www.douyin.com/user/MS4wLjABAAAAaPV3E4hIekU104fbKMLhem6nbGdZDeahMRPdPa_vnsI?from_tab_name=main&amp;modal_id=7644046163889569657</t>
        </is>
      </c>
      <c r="G888" s="5" t="inlineStr">
        <is>
          <t>459</t>
        </is>
      </c>
      <c r="H888" s="5" t="inlineStr">
        <is>
          <t>穿搭</t>
        </is>
      </c>
      <c r="I888" s="5" t="n"/>
      <c r="J888" s="5" t="n"/>
      <c r="K888" s="5" t="n">
        <v>46.5</v>
      </c>
      <c r="L888" s="5" t="n">
        <v>4200</v>
      </c>
      <c r="M888" s="5" t="n">
        <v>475</v>
      </c>
      <c r="N888" s="5" t="n">
        <v>27</v>
      </c>
      <c r="O888" s="5" t="n">
        <v>16</v>
      </c>
      <c r="P888" s="8">
        <f>IF(AND(M1016&lt;&gt;"",M1016&gt;0),M1016+N1016+O1016,"")</f>
        <v/>
      </c>
      <c r="Q888" s="11">
        <f>IF(AND(L1016&lt;&gt;"",L1016&gt;0,P1016&lt;&gt;""),P1016/L1016,"")</f>
        <v/>
      </c>
      <c r="R888" s="16">
        <f>IF(AND(P1016&lt;&gt;"",P1016&gt;0),(I1016+J1016+K1016)/P1016,"")</f>
        <v/>
      </c>
    </row>
    <row r="889" ht="67.5" customHeight="1">
      <c r="A889" s="5" t="inlineStr">
        <is>
          <t>2026-05-27</t>
        </is>
      </c>
      <c r="B889" s="5" t="inlineStr">
        <is>
          <t>22周</t>
        </is>
      </c>
      <c r="C889" s="5" t="inlineStr">
        <is>
          <t>小红书</t>
        </is>
      </c>
      <c r="D889" s="5" t="n"/>
      <c r="E889" s="5" t="n"/>
      <c r="F889" s="5" t="inlineStr">
        <is>
          <t>https://www.xiaohongshu.com/discovery/item/6a151b860000000036033923?xsec_token=CB_AU0YX4Y5oL8oiZjVBvzWwtXU_hYPCZe-9L_PPBTY1w=&amp;xsec_source=app_share&amp;type=video</t>
        </is>
      </c>
      <c r="G889" s="5" t="inlineStr">
        <is>
          <t>459</t>
        </is>
      </c>
      <c r="H889" s="5" t="inlineStr">
        <is>
          <t>穿搭</t>
        </is>
      </c>
      <c r="I889" s="5" t="n"/>
      <c r="J889" s="5" t="n"/>
      <c r="K889" s="5" t="n">
        <v>46.5</v>
      </c>
      <c r="L889" s="5" t="n">
        <v>895</v>
      </c>
      <c r="M889" s="5" t="n">
        <v>108</v>
      </c>
      <c r="N889" s="5" t="n">
        <v>17</v>
      </c>
      <c r="O889" s="5" t="n">
        <v>14</v>
      </c>
      <c r="P889" s="8">
        <f>IF(AND(M1017&lt;&gt;"",M1017&gt;0),M1017+N1017+O1017,"")</f>
        <v/>
      </c>
      <c r="Q889" s="11">
        <f>IF(AND(L1017&lt;&gt;"",L1017&gt;0,P1017&lt;&gt;""),P1017/L1017,"")</f>
        <v/>
      </c>
      <c r="R889" s="16">
        <f>IF(AND(P1017&lt;&gt;"",P1017&gt;0),(I1017+J1017+K1017)/P1017,"")</f>
        <v/>
      </c>
    </row>
    <row r="890" ht="81" customHeight="1">
      <c r="A890" s="5" t="inlineStr">
        <is>
          <t>2026-05-27</t>
        </is>
      </c>
      <c r="B890" s="5" t="inlineStr">
        <is>
          <t>22周</t>
        </is>
      </c>
      <c r="C890" s="5" t="inlineStr">
        <is>
          <t>抖音</t>
        </is>
      </c>
      <c r="D890" s="5" t="n"/>
      <c r="E890" s="5" t="n"/>
      <c r="F890" s="5" t="inlineStr">
        <is>
          <t>https://www.douyin.com/user/MS4wLjABAAAALH81nwEAVfEKGCiAMsxP3BGI4dP-PFNw0_w_2YHYbwkL-YWHbwLtT75yF7ElUpTj?from_tab_name=main&amp;modal_id=7644412846792791141</t>
        </is>
      </c>
      <c r="G890" s="5" t="inlineStr">
        <is>
          <t>489</t>
        </is>
      </c>
      <c r="H890" s="5" t="inlineStr">
        <is>
          <t>陈奕恒</t>
        </is>
      </c>
      <c r="I890" s="5" t="n"/>
      <c r="J890" s="5" t="n"/>
      <c r="K890" s="5" t="n">
        <v>53.5</v>
      </c>
      <c r="L890" s="5" t="n">
        <v>1458</v>
      </c>
      <c r="M890" s="5" t="n">
        <v>280</v>
      </c>
      <c r="N890" s="5" t="n">
        <v>14</v>
      </c>
      <c r="O890" s="5" t="n">
        <v>89</v>
      </c>
      <c r="P890" s="8">
        <f>IF(AND(M1018&lt;&gt;"",M1018&gt;0),M1018+N1018+O1018,"")</f>
        <v/>
      </c>
      <c r="Q890" s="11">
        <f>IF(AND(L1018&lt;&gt;"",L1018&gt;0,P1018&lt;&gt;""),P1018/L1018,"")</f>
        <v/>
      </c>
      <c r="R890" s="16">
        <f>IF(AND(P1018&lt;&gt;"",P1018&gt;0),(I1018+J1018+K1018)/P1018,"")</f>
        <v/>
      </c>
    </row>
    <row r="891" ht="81" customHeight="1">
      <c r="A891" s="5" t="inlineStr">
        <is>
          <t>2026-05-27</t>
        </is>
      </c>
      <c r="B891" s="5" t="inlineStr">
        <is>
          <t>22周</t>
        </is>
      </c>
      <c r="C891" s="5" t="inlineStr">
        <is>
          <t>抖音</t>
        </is>
      </c>
      <c r="D891" s="5" t="n"/>
      <c r="E891" s="5" t="n"/>
      <c r="F891" s="5" t="inlineStr">
        <is>
          <t>https://www.douyin.com/user/MS4wLjABAAAAtZ_lBeqYQtXVTBhZt3GUcaeF4Lny4pK0yJMcuoTkHxk?from_tab_name=main&amp;modal_id=7644557235695478501&amp;vid=7644211647200341177</t>
        </is>
      </c>
      <c r="G891" s="5" t="inlineStr">
        <is>
          <t>495</t>
        </is>
      </c>
      <c r="H891" s="5" t="inlineStr">
        <is>
          <t>口播</t>
        </is>
      </c>
      <c r="I891" s="5" t="n"/>
      <c r="J891" s="5" t="n"/>
      <c r="K891" s="5" t="n">
        <v>93</v>
      </c>
      <c r="L891" s="5" t="n">
        <v>4500</v>
      </c>
      <c r="M891" s="5" t="n">
        <v>283</v>
      </c>
      <c r="N891" s="5" t="n">
        <v>120</v>
      </c>
      <c r="O891" s="5" t="n">
        <v>22</v>
      </c>
      <c r="P891" s="8">
        <f>IF(AND(M1019&lt;&gt;"",M1019&gt;0),M1019+N1019+O1019,"")</f>
        <v/>
      </c>
      <c r="Q891" s="11">
        <f>IF(AND(L1019&lt;&gt;"",L1019&gt;0,P1019&lt;&gt;""),P1019/L1019,"")</f>
        <v/>
      </c>
      <c r="R891" s="16">
        <f>IF(AND(P1019&lt;&gt;"",P1019&gt;0),(I1019+J1019+K1019)/P1019,"")</f>
        <v/>
      </c>
    </row>
    <row r="892" ht="27" customHeight="1">
      <c r="A892" s="5" t="inlineStr">
        <is>
          <t>2026-05-27</t>
        </is>
      </c>
      <c r="B892" s="5" t="inlineStr">
        <is>
          <t>22周</t>
        </is>
      </c>
      <c r="C892" s="5" t="inlineStr">
        <is>
          <t>抖音</t>
        </is>
      </c>
      <c r="D892" s="5" t="n"/>
      <c r="E892" s="5" t="n"/>
      <c r="F892" s="5" t="inlineStr">
        <is>
          <t>https://v.douyin.com/QEYL1d74DfU/</t>
        </is>
      </c>
      <c r="G892" s="5" t="inlineStr">
        <is>
          <t>0003A2</t>
        </is>
      </c>
      <c r="H892" s="5" t="inlineStr">
        <is>
          <t>穿搭</t>
        </is>
      </c>
      <c r="I892" s="5" t="n"/>
      <c r="J892" s="5" t="n"/>
      <c r="K892" s="5" t="n">
        <v>49.5</v>
      </c>
      <c r="L892" s="5" t="n">
        <v>9118</v>
      </c>
      <c r="M892" s="5" t="n">
        <v>417</v>
      </c>
      <c r="N892" s="5" t="n">
        <v>34</v>
      </c>
      <c r="O892" s="5" t="n">
        <v>7</v>
      </c>
      <c r="P892" s="8">
        <f>IF(AND(M1020&lt;&gt;"",M1020&gt;0),M1020+N1020+O1020,"")</f>
        <v/>
      </c>
      <c r="Q892" s="11">
        <f>IF(AND(L1020&lt;&gt;"",L1020&gt;0,P1020&lt;&gt;""),P1020/L1020,"")</f>
        <v/>
      </c>
      <c r="R892" s="16">
        <f>IF(AND(P1020&lt;&gt;"",P1020&gt;0),(I1020+J1020+K1020)/P1020,"")</f>
        <v/>
      </c>
    </row>
    <row r="893" ht="81" customHeight="1">
      <c r="A893" s="5" t="inlineStr">
        <is>
          <t>2026-05-27</t>
        </is>
      </c>
      <c r="B893" s="5" t="inlineStr">
        <is>
          <t>22周</t>
        </is>
      </c>
      <c r="C893" s="5" t="inlineStr">
        <is>
          <t>抖音</t>
        </is>
      </c>
      <c r="D893" s="5" t="n"/>
      <c r="E893" s="5" t="n"/>
      <c r="F893" s="5" t="inlineStr">
        <is>
          <t>https://www.douyin.com/user/MS4wLjABAAAAacupupPvQjuzuaSF9T2yShO9WiAq45ZLQ8IAOO7B1eehVm3-OnYV2PYaAR2aPXCg?from_tab_name=main&amp;modal_id=7644452646468478342</t>
        </is>
      </c>
      <c r="G893" s="5" t="inlineStr">
        <is>
          <t>495</t>
        </is>
      </c>
      <c r="H893" s="5" t="inlineStr">
        <is>
          <t>口播</t>
        </is>
      </c>
      <c r="I893" s="5" t="n"/>
      <c r="J893" s="5" t="n"/>
      <c r="K893" s="5" t="n">
        <v>93</v>
      </c>
      <c r="L893" s="5" t="n">
        <v>3568</v>
      </c>
      <c r="M893" s="5" t="n">
        <v>256</v>
      </c>
      <c r="N893" s="5" t="n">
        <v>110</v>
      </c>
      <c r="O893" s="5" t="n">
        <v>4</v>
      </c>
      <c r="P893" s="8">
        <f>IF(AND(M1021&lt;&gt;"",M1021&gt;0),M1021+N1021+O1021,"")</f>
        <v/>
      </c>
      <c r="Q893" s="11">
        <f>IF(AND(L1021&lt;&gt;"",L1021&gt;0,P1021&lt;&gt;""),P1021/L1021,"")</f>
        <v/>
      </c>
      <c r="R893" s="16">
        <f>IF(AND(P1021&lt;&gt;"",P1021&gt;0),(I1021+J1021+K1021)/P1021,"")</f>
        <v/>
      </c>
    </row>
    <row r="894" ht="27" customHeight="1">
      <c r="A894" s="5" t="inlineStr">
        <is>
          <t>2026-05-27</t>
        </is>
      </c>
      <c r="B894" s="5" t="inlineStr">
        <is>
          <t>22周</t>
        </is>
      </c>
      <c r="C894" s="5" t="inlineStr">
        <is>
          <t>小红书</t>
        </is>
      </c>
      <c r="D894" s="5" t="n"/>
      <c r="E894" s="5" t="n"/>
      <c r="F894" s="5" t="inlineStr">
        <is>
          <t>https://www.xiaohongshu.com/discovery/item/6a168cdd000000003502ee3f?xsec_token=CB4eY-iFNPco2l-9pCsm10esnVaXk4wgEycKsFwVolvlo=&amp;xsec_source=app_share&amp;type=video</t>
        </is>
      </c>
      <c r="G894" s="5" t="inlineStr">
        <is>
          <t>495</t>
        </is>
      </c>
      <c r="H894" s="5" t="inlineStr">
        <is>
          <t>口播</t>
        </is>
      </c>
      <c r="I894" s="5" t="n"/>
      <c r="J894" s="5" t="n"/>
      <c r="K894" s="5" t="n">
        <v>93</v>
      </c>
      <c r="L894" s="5" t="n">
        <v>30362</v>
      </c>
      <c r="M894" s="5" t="n">
        <v>2072</v>
      </c>
      <c r="N894" s="5" t="n">
        <v>806</v>
      </c>
      <c r="O894" s="5" t="n">
        <v>45</v>
      </c>
      <c r="P894" s="8">
        <f>IF(AND(M1022&lt;&gt;"",M1022&gt;0),M1022+N1022+O1022,"")</f>
        <v/>
      </c>
      <c r="Q894" s="11">
        <f>IF(AND(L1022&lt;&gt;"",L1022&gt;0,P1022&lt;&gt;""),P1022/L1022,"")</f>
        <v/>
      </c>
      <c r="R894" s="16">
        <f>IF(AND(P1022&lt;&gt;"",P1022&gt;0),(I1022+J1022+K1022)/P1022,"")</f>
        <v/>
      </c>
    </row>
    <row r="895" ht="27" customHeight="1">
      <c r="A895" s="5" t="inlineStr">
        <is>
          <t>2026-05-27</t>
        </is>
      </c>
      <c r="B895" s="5" t="inlineStr">
        <is>
          <t>22周</t>
        </is>
      </c>
      <c r="C895" s="5" t="inlineStr">
        <is>
          <t>小红书</t>
        </is>
      </c>
      <c r="D895" s="5" t="n"/>
      <c r="E895" s="5" t="n"/>
      <c r="F895" s="5" t="inlineStr">
        <is>
          <t>https://www.xiaohongshu.com/discovery/item/6a16c8790000000037035cfd?xsec_token=CB4eY-iFNPco2l-9pCsm10eiiqIYH69Rmq4nvUEg_nQfc=&amp;xsec_source=app_share&amp;type=video</t>
        </is>
      </c>
      <c r="G895" s="5" t="inlineStr">
        <is>
          <t>0003A2</t>
        </is>
      </c>
      <c r="H895" s="5" t="inlineStr">
        <is>
          <t>刘轩丞</t>
        </is>
      </c>
      <c r="I895" s="5" t="n"/>
      <c r="J895" s="5" t="n"/>
      <c r="K895" s="5" t="n">
        <v>49.5</v>
      </c>
      <c r="L895" s="5" t="n">
        <v>817</v>
      </c>
      <c r="M895" s="5" t="n">
        <v>36</v>
      </c>
      <c r="N895" s="5" t="n">
        <v>9</v>
      </c>
      <c r="O895" s="5" t="n">
        <v>13</v>
      </c>
      <c r="P895" s="8">
        <f>IF(AND(M1023&lt;&gt;"",M1023&gt;0),M1023+N1023+O1023,"")</f>
        <v/>
      </c>
      <c r="Q895" s="11">
        <f>IF(AND(L1023&lt;&gt;"",L1023&gt;0,P1023&lt;&gt;""),P1023/L1023,"")</f>
        <v/>
      </c>
      <c r="R895" s="16">
        <f>IF(AND(P1023&lt;&gt;"",P1023&gt;0),(I1023+J1023+K1023)/P1023,"")</f>
        <v/>
      </c>
    </row>
    <row r="896" ht="27" customHeight="1">
      <c r="A896" s="5" t="inlineStr">
        <is>
          <t>2026-05-27</t>
        </is>
      </c>
      <c r="B896" s="5" t="inlineStr">
        <is>
          <t>22周</t>
        </is>
      </c>
      <c r="C896" s="5" t="inlineStr">
        <is>
          <t>小红书</t>
        </is>
      </c>
      <c r="D896" s="5" t="n"/>
      <c r="E896" s="5" t="n"/>
      <c r="F896" s="5" t="inlineStr">
        <is>
          <t>https://www.xiaohongshu.com/discovery/item/6a16d26d000000003503b1b1?xsec_token=CB4eY-iFNPco2l-9pCsm10evC6NjjKxCFCDIh5FmTpnhk=&amp;xsec_source=app_share&amp;type=video</t>
        </is>
      </c>
      <c r="G896" s="5" t="inlineStr">
        <is>
          <t>492</t>
        </is>
      </c>
      <c r="H896" s="5" t="inlineStr">
        <is>
          <t>口播</t>
        </is>
      </c>
      <c r="I896" s="5" t="n">
        <v>230</v>
      </c>
      <c r="J896" s="5" t="n"/>
      <c r="K896" s="5" t="n">
        <v>69.5</v>
      </c>
      <c r="L896" s="5" t="n">
        <v>2621</v>
      </c>
      <c r="M896" s="5" t="n">
        <v>103</v>
      </c>
      <c r="N896" s="5" t="n">
        <v>53</v>
      </c>
      <c r="O896" s="5" t="n">
        <v>28</v>
      </c>
      <c r="P896" s="8">
        <f>IF(AND(M1024&lt;&gt;"",M1024&gt;0),M1024+N1024+O1024,"")</f>
        <v/>
      </c>
      <c r="Q896" s="11">
        <f>IF(AND(L1024&lt;&gt;"",L1024&gt;0,P1024&lt;&gt;""),P1024/L1024,"")</f>
        <v/>
      </c>
      <c r="R896" s="16">
        <f>IF(AND(P1024&lt;&gt;"",P1024&gt;0),(I1024+J1024+K1024)/P1024,"")</f>
        <v/>
      </c>
    </row>
    <row r="897" ht="81" customHeight="1">
      <c r="A897" s="5" t="inlineStr">
        <is>
          <t>2026-05-28</t>
        </is>
      </c>
      <c r="B897" s="5" t="inlineStr">
        <is>
          <t>22周</t>
        </is>
      </c>
      <c r="C897" s="5" t="inlineStr">
        <is>
          <t>小红书</t>
        </is>
      </c>
      <c r="D897" s="5" t="n"/>
      <c r="E897" s="5" t="n"/>
      <c r="F897" s="5" t="inlineStr">
        <is>
          <t>https://www.xiaohongshu.com/discovery/item/6a16ebaa0000000035038457?xsec_token=CB4eY-iFNPco2l-9pCsm10euEYTa-3j12o6US_zxc1lEY=&amp;xsec_source=app_share&amp;type=video</t>
        </is>
      </c>
      <c r="G897" s="5" t="inlineStr">
        <is>
          <t>495</t>
        </is>
      </c>
      <c r="H897" s="5" t="inlineStr">
        <is>
          <t>口播</t>
        </is>
      </c>
      <c r="I897" s="5" t="n">
        <v>400</v>
      </c>
      <c r="J897" s="5" t="n"/>
      <c r="K897" s="5" t="n">
        <v>93</v>
      </c>
      <c r="L897" s="5" t="n">
        <v>13367</v>
      </c>
      <c r="M897" s="5" t="n">
        <v>861</v>
      </c>
      <c r="N897" s="5" t="n">
        <v>299</v>
      </c>
      <c r="O897" s="5" t="n">
        <v>49</v>
      </c>
      <c r="P897" s="8">
        <f>IF(AND(M1025&lt;&gt;"",M1025&gt;0),M1025+N1025+O1025,"")</f>
        <v/>
      </c>
      <c r="Q897" s="11">
        <f>IF(AND(L1025&lt;&gt;"",L1025&gt;0,P1025&lt;&gt;""),P1025/L1025,"")</f>
        <v/>
      </c>
      <c r="R897" s="16">
        <f>IF(AND(P1025&lt;&gt;"",P1025&gt;0),(I1025+J1025+K1025)/P1025,"")</f>
        <v/>
      </c>
    </row>
    <row r="898" ht="27" customHeight="1">
      <c r="A898" s="5" t="inlineStr">
        <is>
          <t>2026-05-29</t>
        </is>
      </c>
      <c r="B898" s="5" t="inlineStr">
        <is>
          <t>22周</t>
        </is>
      </c>
      <c r="C898" s="5" t="inlineStr">
        <is>
          <t>抖音</t>
        </is>
      </c>
      <c r="D898" s="5" t="n"/>
      <c r="E898" s="5" t="n"/>
      <c r="F898" s="5" t="inlineStr">
        <is>
          <t>https://v.douyin.com/fpi8zsyKYpg/</t>
        </is>
      </c>
      <c r="G898" s="5" t="inlineStr">
        <is>
          <t>459</t>
        </is>
      </c>
      <c r="H898" s="5" t="inlineStr">
        <is>
          <t>穿搭</t>
        </is>
      </c>
      <c r="I898" s="5" t="n">
        <v>120</v>
      </c>
      <c r="J898" s="5" t="n"/>
      <c r="K898" s="5" t="n">
        <v>46.5</v>
      </c>
      <c r="L898" s="5" t="n">
        <v>8424</v>
      </c>
      <c r="M898" s="5" t="n">
        <v>882</v>
      </c>
      <c r="N898" s="5" t="n">
        <v>54</v>
      </c>
      <c r="O898" s="5" t="n">
        <v>26</v>
      </c>
      <c r="P898" s="8">
        <f>IF(AND(M1026&lt;&gt;"",M1026&gt;0),M1026+N1026+O1026,"")</f>
        <v/>
      </c>
      <c r="Q898" s="11">
        <f>IF(AND(L1026&lt;&gt;"",L1026&gt;0,P1026&lt;&gt;""),P1026/L1026,"")</f>
        <v/>
      </c>
      <c r="R898" s="16">
        <f>IF(AND(P1026&lt;&gt;"",P1026&gt;0),(I1026+J1026+K1026)/P1026,"")</f>
        <v/>
      </c>
    </row>
    <row r="899" ht="27" customHeight="1">
      <c r="A899" s="5" t="inlineStr">
        <is>
          <t>2026-05-29</t>
        </is>
      </c>
      <c r="B899" s="5" t="inlineStr">
        <is>
          <t>22周</t>
        </is>
      </c>
      <c r="C899" s="5" t="inlineStr">
        <is>
          <t>抖音</t>
        </is>
      </c>
      <c r="D899" s="5" t="n"/>
      <c r="E899" s="5" t="n"/>
      <c r="F899" s="5" t="inlineStr">
        <is>
          <t>https://v.douyin.com/f3QwaAYTNPs/</t>
        </is>
      </c>
      <c r="G899" s="5" t="inlineStr">
        <is>
          <t>0003A2</t>
        </is>
      </c>
      <c r="H899" s="5" t="inlineStr">
        <is>
          <t>穿搭</t>
        </is>
      </c>
      <c r="I899" s="5" t="n">
        <v>200</v>
      </c>
      <c r="J899" s="5" t="n"/>
      <c r="K899" s="5" t="n">
        <v>49.5</v>
      </c>
      <c r="L899" s="5" t="n">
        <v>19000</v>
      </c>
      <c r="M899" s="5" t="n">
        <v>893</v>
      </c>
      <c r="N899" s="5" t="n">
        <v>74</v>
      </c>
      <c r="O899" s="5" t="n">
        <v>39</v>
      </c>
      <c r="P899" s="8">
        <f>IF(AND(M1027&lt;&gt;"",M1027&gt;0),M1027+N1027+O1027,"")</f>
        <v/>
      </c>
      <c r="Q899" s="11">
        <f>IF(AND(L1027&lt;&gt;"",L1027&gt;0,P1027&lt;&gt;""),P1027/L1027,"")</f>
        <v/>
      </c>
      <c r="R899" s="16">
        <f>IF(AND(P1027&lt;&gt;"",P1027&gt;0),(I1027+J1027+K1027)/P1027,"")</f>
        <v/>
      </c>
    </row>
    <row r="900" ht="27" customHeight="1">
      <c r="A900" s="5" t="inlineStr">
        <is>
          <t>2026-05-29</t>
        </is>
      </c>
      <c r="B900" s="5" t="inlineStr">
        <is>
          <t>22周</t>
        </is>
      </c>
      <c r="C900" s="5" t="inlineStr">
        <is>
          <t>抖音</t>
        </is>
      </c>
      <c r="D900" s="5" t="n"/>
      <c r="E900" s="5" t="n"/>
      <c r="F900" s="5" t="inlineStr">
        <is>
          <t>https://v.douyin.com/WO9MI_8jR34/</t>
        </is>
      </c>
      <c r="G900" s="5" t="inlineStr">
        <is>
          <t>492</t>
        </is>
      </c>
      <c r="H900" s="5" t="inlineStr">
        <is>
          <t>口播</t>
        </is>
      </c>
      <c r="I900" s="5" t="n"/>
      <c r="J900" s="5" t="n"/>
      <c r="K900" s="5" t="n">
        <v>69.5</v>
      </c>
      <c r="L900" s="5" t="n">
        <v>2000</v>
      </c>
      <c r="M900" s="5" t="n">
        <v>79</v>
      </c>
      <c r="N900" s="5" t="n">
        <v>8</v>
      </c>
      <c r="O900" s="5" t="n">
        <v>3</v>
      </c>
      <c r="P900" s="8">
        <f>IF(AND(M1028&lt;&gt;"",M1028&gt;0),M1028+N1028+O1028,"")</f>
        <v/>
      </c>
      <c r="Q900" s="11">
        <f>IF(AND(L1028&lt;&gt;"",L1028&gt;0,P1028&lt;&gt;""),P1028/L1028,"")</f>
        <v/>
      </c>
      <c r="R900" s="16">
        <f>IF(AND(P1028&lt;&gt;"",P1028&gt;0),(I1028+J1028+K1028)/P1028,"")</f>
        <v/>
      </c>
    </row>
    <row r="901" ht="81" customHeight="1">
      <c r="A901" s="5" t="inlineStr">
        <is>
          <t>2026-05-29</t>
        </is>
      </c>
      <c r="B901" s="5" t="inlineStr">
        <is>
          <t>22周</t>
        </is>
      </c>
      <c r="C901" s="5" t="inlineStr">
        <is>
          <t>抖音</t>
        </is>
      </c>
      <c r="D901" s="5" t="n"/>
      <c r="E901" s="5" t="n"/>
      <c r="F901" s="5" t="inlineStr">
        <is>
          <t>https://www.douyin.com/user/MS4wLjABAAAAjUXfTnY3gaJpm9U5ag9uNjQrtIWX6GgNEymmev7KWbUSbJhFnSsHyaGgyOCj2zXX?from_tab_name=main&amp;modal_id=7645299506779990181</t>
        </is>
      </c>
      <c r="G901" s="5" t="inlineStr">
        <is>
          <t>489</t>
        </is>
      </c>
      <c r="H901" s="5" t="inlineStr">
        <is>
          <t>陈奕恒</t>
        </is>
      </c>
      <c r="I901" s="5" t="n"/>
      <c r="J901" s="5" t="n"/>
      <c r="K901" s="5" t="n">
        <v>53.5</v>
      </c>
      <c r="L901" s="5" t="n">
        <v>7154</v>
      </c>
      <c r="M901" s="5" t="n">
        <v>1012</v>
      </c>
      <c r="N901" s="5" t="n">
        <v>30</v>
      </c>
      <c r="O901" s="5" t="n">
        <v>77</v>
      </c>
      <c r="P901" s="8">
        <f>IF(AND(M1029&lt;&gt;"",M1029&gt;0),M1029+N1029+O1029,"")</f>
        <v/>
      </c>
      <c r="Q901" s="11">
        <f>IF(AND(L1029&lt;&gt;"",L1029&gt;0,P1029&lt;&gt;""),P1029/L1029,"")</f>
        <v/>
      </c>
      <c r="R901" s="16">
        <f>IF(AND(P1029&lt;&gt;"",P1029&gt;0),(I1029+J1029+K1029)/P1029,"")</f>
        <v/>
      </c>
    </row>
    <row r="902" ht="81" customHeight="1">
      <c r="A902" s="5" t="inlineStr">
        <is>
          <t>2026-05-29</t>
        </is>
      </c>
      <c r="B902" s="5" t="inlineStr">
        <is>
          <t>22周</t>
        </is>
      </c>
      <c r="C902" s="5" t="inlineStr">
        <is>
          <t>抖音</t>
        </is>
      </c>
      <c r="D902" s="5" t="n"/>
      <c r="E902" s="5" t="n"/>
      <c r="F902" s="5" t="inlineStr">
        <is>
          <t>https://www.douyin.com/user/self?from_tab_name=main&amp;modal_id=7644940243359807336&amp;showTab=like</t>
        </is>
      </c>
      <c r="G902" s="5" t="inlineStr">
        <is>
          <t>459</t>
        </is>
      </c>
      <c r="H902" s="5" t="inlineStr">
        <is>
          <t>穿搭</t>
        </is>
      </c>
      <c r="I902" s="5" t="n"/>
      <c r="J902" s="5" t="n"/>
      <c r="K902" s="5" t="n">
        <v>46.5</v>
      </c>
      <c r="L902" s="5" t="n">
        <v>118000</v>
      </c>
      <c r="M902" s="5" t="n">
        <v>2628</v>
      </c>
      <c r="N902" s="5" t="n">
        <v>820</v>
      </c>
      <c r="O902" s="5" t="n">
        <v>112</v>
      </c>
      <c r="P902" s="8">
        <f>IF(AND(M1030&lt;&gt;"",M1030&gt;0),M1030+N1030+O1030,"")</f>
        <v/>
      </c>
      <c r="Q902" s="11">
        <f>IF(AND(L1030&lt;&gt;"",L1030&gt;0,P1030&lt;&gt;""),P1030/L1030,"")</f>
        <v/>
      </c>
      <c r="R902" s="16">
        <f>IF(AND(P1030&lt;&gt;"",P1030&gt;0),(I1030+J1030+K1030)/P1030,"")</f>
        <v/>
      </c>
    </row>
    <row r="903" ht="27" customHeight="1">
      <c r="A903" s="5" t="inlineStr">
        <is>
          <t>2026-05-30</t>
        </is>
      </c>
      <c r="B903" s="5" t="inlineStr">
        <is>
          <t>22周</t>
        </is>
      </c>
      <c r="C903" s="5" t="inlineStr">
        <is>
          <t>抖音</t>
        </is>
      </c>
      <c r="D903" s="5" t="n"/>
      <c r="E903" s="5" t="n"/>
      <c r="F903" s="5" t="inlineStr">
        <is>
          <t>https://v.douyin.com/EY7j0dbtiTE/</t>
        </is>
      </c>
      <c r="G903" s="5" t="inlineStr">
        <is>
          <t>459</t>
        </is>
      </c>
      <c r="H903" s="5" t="inlineStr">
        <is>
          <t>穿搭</t>
        </is>
      </c>
      <c r="I903" s="5" t="n">
        <v>120</v>
      </c>
      <c r="J903" s="5" t="n"/>
      <c r="K903" s="5" t="n">
        <v>46.5</v>
      </c>
      <c r="L903" s="5" t="n">
        <v>207000</v>
      </c>
      <c r="M903" s="5" t="n">
        <v>5193</v>
      </c>
      <c r="N903" s="5" t="n">
        <v>1174</v>
      </c>
      <c r="O903" s="5" t="n">
        <v>821</v>
      </c>
      <c r="P903" s="8">
        <f>IF(AND(M1031&lt;&gt;"",M1031&gt;0),M1031+N1031+O1031,"")</f>
        <v/>
      </c>
      <c r="Q903" s="11">
        <f>IF(AND(L1031&lt;&gt;"",L1031&gt;0,P1031&lt;&gt;""),P1031/L1031,"")</f>
        <v/>
      </c>
      <c r="R903" s="16">
        <f>IF(AND(P1031&lt;&gt;"",P1031&gt;0),(I1031+J1031+K1031)/P1031,"")</f>
        <v/>
      </c>
    </row>
    <row r="904" ht="27" customHeight="1">
      <c r="A904" s="5" t="inlineStr">
        <is>
          <t>2026-05-30</t>
        </is>
      </c>
      <c r="B904" s="5" t="inlineStr">
        <is>
          <t>22周</t>
        </is>
      </c>
      <c r="C904" s="5" t="inlineStr">
        <is>
          <t>抖音</t>
        </is>
      </c>
      <c r="D904" s="5" t="n"/>
      <c r="E904" s="5" t="n"/>
      <c r="F904" s="5" t="inlineStr">
        <is>
          <t>https://www.douyin.com/user/MS4wLjABAAAAbtrarvY20gGK6vUVCQvb2bZLKLqd4eKEgdRuEF4uMHc?from_tab_name=main&amp;modal_id=7645653235839558257</t>
        </is>
      </c>
      <c r="G904" s="5" t="inlineStr">
        <is>
          <t>495</t>
        </is>
      </c>
      <c r="H904" s="5" t="inlineStr">
        <is>
          <t>口播</t>
        </is>
      </c>
      <c r="I904" s="5" t="n"/>
      <c r="J904" s="5" t="n"/>
      <c r="K904" s="5" t="n">
        <v>93</v>
      </c>
      <c r="L904" s="5" t="n">
        <v>52000</v>
      </c>
      <c r="M904" s="5" t="n">
        <v>14000</v>
      </c>
      <c r="N904" s="5" t="n">
        <v>4190</v>
      </c>
      <c r="O904" s="5" t="n">
        <v>237</v>
      </c>
      <c r="P904" s="8">
        <f>IF(AND(M1032&lt;&gt;"",M1032&gt;0),M1032+N1032+O1032,"")</f>
        <v/>
      </c>
      <c r="Q904" s="11">
        <f>IF(AND(L1032&lt;&gt;"",L1032&gt;0,P1032&lt;&gt;""),P1032/L1032,"")</f>
        <v/>
      </c>
      <c r="R904" s="16">
        <f>IF(AND(P1032&lt;&gt;"",P1032&gt;0),(I1032+J1032+K1032)/P1032,"")</f>
        <v/>
      </c>
    </row>
    <row r="905" ht="27" customHeight="1">
      <c r="A905" s="5" t="inlineStr">
        <is>
          <t>2026-05-30</t>
        </is>
      </c>
      <c r="B905" s="5" t="inlineStr">
        <is>
          <t>22周</t>
        </is>
      </c>
      <c r="C905" s="5" t="inlineStr">
        <is>
          <t>小红书</t>
        </is>
      </c>
      <c r="D905" s="5" t="n"/>
      <c r="E905" s="5" t="n"/>
      <c r="F905" s="5" t="inlineStr">
        <is>
          <t>https://www.xiaohongshu.com/discovery/item/6a1ac3370000000035029b5d?xsec_token=CBahIzKQVfYmjv3B_OjlYypmvKwBs2vECd_UjFIrJd4qY=&amp;xsec_source=app_share</t>
        </is>
      </c>
      <c r="G905" s="5" t="inlineStr">
        <is>
          <t>0003A2</t>
        </is>
      </c>
      <c r="H905" s="5" t="inlineStr">
        <is>
          <t>刘轩丞</t>
        </is>
      </c>
      <c r="I905" s="5" t="n"/>
      <c r="J905" s="5" t="n"/>
      <c r="K905" s="5" t="n">
        <v>49.5</v>
      </c>
      <c r="L905" s="5" t="n">
        <v>481</v>
      </c>
      <c r="M905" s="5" t="n">
        <v>28</v>
      </c>
      <c r="N905" s="5" t="n">
        <v>1</v>
      </c>
      <c r="O905" s="5" t="n">
        <v>4</v>
      </c>
      <c r="P905" s="8">
        <f>IF(AND(M1033&lt;&gt;"",M1033&gt;0),M1033+N1033+O1033,"")</f>
        <v/>
      </c>
      <c r="Q905" s="11">
        <f>IF(AND(L1033&lt;&gt;"",L1033&gt;0,P1033&lt;&gt;""),P1033/L1033,"")</f>
        <v/>
      </c>
      <c r="R905" s="16">
        <f>IF(AND(P1033&lt;&gt;"",P1033&gt;0),(I1033+J1033+K1033)/P1033,"")</f>
        <v/>
      </c>
    </row>
    <row r="906" ht="27" customHeight="1">
      <c r="A906" s="5" t="inlineStr">
        <is>
          <t>2026-05-30</t>
        </is>
      </c>
      <c r="B906" s="5" t="inlineStr">
        <is>
          <t>22周</t>
        </is>
      </c>
      <c r="C906" s="5" t="inlineStr">
        <is>
          <t>小红书</t>
        </is>
      </c>
      <c r="D906" s="5" t="n"/>
      <c r="E906" s="5" t="n"/>
      <c r="F906" s="5" t="inlineStr">
        <is>
          <t>https://www.xiaohongshu.com/discovery/item/6a1ac482000000003502a30a?xsec_token=CBahIzKQVfYmjv3B_OjlYypuZ6fe_Wso4A99kGtACHb9Y=&amp;xsec_source=app_share</t>
        </is>
      </c>
      <c r="G906" s="5" t="inlineStr">
        <is>
          <t>489</t>
        </is>
      </c>
      <c r="H906" s="5" t="inlineStr">
        <is>
          <t>赵露思</t>
        </is>
      </c>
      <c r="I906" s="5" t="n"/>
      <c r="J906" s="5" t="n"/>
      <c r="K906" s="5" t="n">
        <v>53.5</v>
      </c>
      <c r="L906" s="5" t="n">
        <v>7505</v>
      </c>
      <c r="M906" s="5" t="n">
        <v>233</v>
      </c>
      <c r="N906" s="5" t="n">
        <v>30</v>
      </c>
      <c r="O906" s="5" t="n">
        <v>143</v>
      </c>
      <c r="P906" s="8">
        <f>IF(AND(M1034&lt;&gt;"",M1034&gt;0),M1034+N1034+O1034,"")</f>
        <v/>
      </c>
      <c r="Q906" s="11">
        <f>IF(AND(L1034&lt;&gt;"",L1034&gt;0,P1034&lt;&gt;""),P1034/L1034,"")</f>
        <v/>
      </c>
      <c r="R906" s="16">
        <f>IF(AND(P1034&lt;&gt;"",P1034&gt;0),(I1034+J1034+K1034)/P1034,"")</f>
        <v/>
      </c>
    </row>
    <row r="907" ht="67.5" customHeight="1">
      <c r="A907" s="5" t="inlineStr">
        <is>
          <t>2026-05-31</t>
        </is>
      </c>
      <c r="B907" s="5" t="inlineStr">
        <is>
          <t>22周</t>
        </is>
      </c>
      <c r="C907" s="5" t="inlineStr">
        <is>
          <t>小红书</t>
        </is>
      </c>
      <c r="D907" s="5" t="n"/>
      <c r="E907" s="5" t="n"/>
      <c r="F907" s="5" t="inlineStr">
        <is>
          <t>https://www.xiaohongshu.com/discovery/item/6a1ade5e000000003701fecd?xsec_token=CBQWU9I2v6qxkcRYzCLmFPU7lG4qleDtzhycV-5iaFSC4=&amp;xsec_source=app_share&amp;type=video</t>
        </is>
      </c>
      <c r="G907" s="5" t="inlineStr">
        <is>
          <t>459</t>
        </is>
      </c>
      <c r="H907" s="5" t="inlineStr">
        <is>
          <t>穿搭</t>
        </is>
      </c>
      <c r="I907" s="5" t="n"/>
      <c r="J907" s="5" t="n"/>
      <c r="K907" s="5" t="n">
        <v>46.5</v>
      </c>
      <c r="L907" s="5" t="n">
        <v>7572</v>
      </c>
      <c r="M907" s="5" t="n">
        <v>421</v>
      </c>
      <c r="N907" s="5" t="n">
        <v>158</v>
      </c>
      <c r="O907" s="5" t="n">
        <v>37</v>
      </c>
      <c r="P907" s="8">
        <f>IF(AND(M1035&lt;&gt;"",M1035&gt;0),M1035+N1035+O1035,"")</f>
        <v/>
      </c>
      <c r="Q907" s="11">
        <f>IF(AND(L1035&lt;&gt;"",L1035&gt;0,P1035&lt;&gt;""),P1035/L1035,"")</f>
        <v/>
      </c>
      <c r="R907" s="16">
        <f>IF(AND(P1035&lt;&gt;"",P1035&gt;0),(I1035+J1035+K1035)/P1035,"")</f>
        <v/>
      </c>
    </row>
    <row r="908" ht="27" customHeight="1">
      <c r="A908" s="5" t="inlineStr">
        <is>
          <t>2026-05-31</t>
        </is>
      </c>
      <c r="B908" s="5" t="inlineStr">
        <is>
          <t>22周</t>
        </is>
      </c>
      <c r="C908" s="5" t="inlineStr">
        <is>
          <t>抖音</t>
        </is>
      </c>
      <c r="D908" s="5" t="n"/>
      <c r="E908" s="5" t="n"/>
      <c r="F908" s="5" t="inlineStr">
        <is>
          <t>https://v.douyin.com/j8QWKbjZGPM/</t>
        </is>
      </c>
      <c r="G908" s="5" t="inlineStr">
        <is>
          <t>0003A2</t>
        </is>
      </c>
      <c r="H908" s="5" t="inlineStr">
        <is>
          <t>刘轩丞</t>
        </is>
      </c>
      <c r="I908" s="5" t="n"/>
      <c r="J908" s="5" t="n"/>
      <c r="K908" s="5" t="n">
        <v>49.5</v>
      </c>
      <c r="L908" s="5" t="n">
        <v>7360</v>
      </c>
      <c r="M908" s="5" t="n">
        <v>316</v>
      </c>
      <c r="N908" s="5" t="n">
        <v>23</v>
      </c>
      <c r="O908" s="5" t="n">
        <v>28</v>
      </c>
      <c r="P908" s="8">
        <f>IF(AND(M1036&lt;&gt;"",M1036&gt;0),M1036+N1036+O1036,"")</f>
        <v/>
      </c>
      <c r="Q908" s="11">
        <f>IF(AND(L1036&lt;&gt;"",L1036&gt;0,P1036&lt;&gt;""),P1036/L1036,"")</f>
        <v/>
      </c>
      <c r="R908" s="16">
        <f>IF(AND(P1036&lt;&gt;"",P1036&gt;0),(I1036+J1036+K1036)/P1036,"")</f>
        <v/>
      </c>
    </row>
    <row r="909" ht="81" customHeight="1">
      <c r="A909" s="5" t="inlineStr">
        <is>
          <t>2026-05-31</t>
        </is>
      </c>
      <c r="B909" s="5" t="inlineStr">
        <is>
          <t>22周</t>
        </is>
      </c>
      <c r="C909" s="5" t="inlineStr">
        <is>
          <t>抖音</t>
        </is>
      </c>
      <c r="D909" s="5" t="n"/>
      <c r="E909" s="5" t="n"/>
      <c r="F909" s="5" t="inlineStr">
        <is>
          <t>https://www.douyin.com/user/MS4wLjABAAAAhh2NeW40Xy3GzqaW-BIquCKJCATytl7wqIhVtVm06j4?from_tab_name=main&amp;modal_id=7645959390479041103</t>
        </is>
      </c>
      <c r="G909" s="5" t="inlineStr">
        <is>
          <t>0003A2</t>
        </is>
      </c>
      <c r="H909" s="5" t="inlineStr">
        <is>
          <t>口播</t>
        </is>
      </c>
      <c r="I909" s="5" t="n">
        <v>200</v>
      </c>
      <c r="J909" s="5" t="n"/>
      <c r="K909" s="5" t="n">
        <v>49.5</v>
      </c>
      <c r="L909" s="5" t="n">
        <v>64000</v>
      </c>
      <c r="M909" s="5" t="n">
        <v>1309</v>
      </c>
      <c r="N909" s="5" t="n">
        <v>158</v>
      </c>
      <c r="O909" s="5" t="n">
        <v>1255</v>
      </c>
      <c r="P909" s="8">
        <f>IF(AND(M1037&lt;&gt;"",M1037&gt;0),M1037+N1037+O1037,"")</f>
        <v/>
      </c>
      <c r="Q909" s="11">
        <f>IF(AND(L1037&lt;&gt;"",L1037&gt;0,P1037&lt;&gt;""),P1037/L1037,"")</f>
        <v/>
      </c>
      <c r="R909" s="16">
        <f>IF(AND(P1037&lt;&gt;"",P1037&gt;0),(I1037+J1037+K1037)/P1037,"")</f>
        <v/>
      </c>
    </row>
    <row r="910" ht="81" customHeight="1">
      <c r="A910" s="5" t="inlineStr">
        <is>
          <t>2026-05-31</t>
        </is>
      </c>
      <c r="B910" s="5" t="inlineStr">
        <is>
          <t>22周</t>
        </is>
      </c>
      <c r="C910" s="5" t="inlineStr">
        <is>
          <t>抖音</t>
        </is>
      </c>
      <c r="D910" s="5" t="n"/>
      <c r="E910" s="5" t="n"/>
      <c r="F910" s="5" t="inlineStr">
        <is>
          <t>https://www.douyin.com/user/MS4wLjABAAAAktyUs7_22TlGJP72JQruDPT-rZeKht3oulSllMLV_nOpeWZg7HaVSoKvCzIOT9D4?from_tab_name=main</t>
        </is>
      </c>
      <c r="G910" s="5" t="inlineStr">
        <is>
          <t>489</t>
        </is>
      </c>
      <c r="H910" s="5" t="inlineStr">
        <is>
          <t>赵露思</t>
        </is>
      </c>
      <c r="I910" s="5" t="n"/>
      <c r="J910" s="5" t="n"/>
      <c r="K910" s="5" t="n">
        <v>53.5</v>
      </c>
      <c r="L910" s="5" t="n">
        <v>915</v>
      </c>
      <c r="M910" s="5" t="n">
        <v>104</v>
      </c>
      <c r="N910" s="5" t="n">
        <v>2</v>
      </c>
      <c r="O910" s="5" t="n">
        <v>0</v>
      </c>
      <c r="P910" s="8">
        <f>IF(AND(M1038&lt;&gt;"",M1038&gt;0),M1038+N1038+O1038,"")</f>
        <v/>
      </c>
      <c r="Q910" s="11">
        <f>IF(AND(L1038&lt;&gt;"",L1038&gt;0,P1038&lt;&gt;""),P1038/L1038,"")</f>
        <v/>
      </c>
      <c r="R910" s="16">
        <f>IF(AND(P1038&lt;&gt;"",P1038&gt;0),(I1038+J1038+K1038)/P1038,"")</f>
        <v/>
      </c>
    </row>
    <row r="911" ht="27" customHeight="1">
      <c r="A911" s="5" t="inlineStr">
        <is>
          <t>2026-06-01</t>
        </is>
      </c>
      <c r="B911" s="5" t="inlineStr">
        <is>
          <t>23周</t>
        </is>
      </c>
      <c r="C911" s="5" t="inlineStr">
        <is>
          <t>抖音</t>
        </is>
      </c>
      <c r="D911" s="5" t="n"/>
      <c r="E911" s="5" t="n"/>
      <c r="F911" s="5" t="inlineStr">
        <is>
          <t>https://v.douyin.com/5tomkJU5jag/</t>
        </is>
      </c>
      <c r="G911" s="5" t="inlineStr">
        <is>
          <t>489</t>
        </is>
      </c>
      <c r="H911" s="5" t="inlineStr">
        <is>
          <t>赵露思</t>
        </is>
      </c>
      <c r="I911" s="5" t="n">
        <v>49.25</v>
      </c>
      <c r="J911" s="5" t="n"/>
      <c r="K911" s="5" t="n"/>
      <c r="L911" s="5" t="n">
        <v>2886</v>
      </c>
      <c r="M911" s="5" t="n">
        <v>147</v>
      </c>
      <c r="N911" s="5" t="n">
        <v>1</v>
      </c>
      <c r="O911" s="5" t="n">
        <v>25</v>
      </c>
      <c r="P911" s="8">
        <f>IF(AND(M1039&lt;&gt;"",M1039&gt;0),M1039+N1039+O1039,"")</f>
        <v/>
      </c>
      <c r="Q911" s="11">
        <f>IF(AND(L1039&lt;&gt;"",L1039&gt;0,P1039&lt;&gt;""),P1039/L1039,"")</f>
        <v/>
      </c>
      <c r="R911" s="16">
        <f>IF(AND(P1039&lt;&gt;"",P1039&gt;0),(I1039+J1039+K1039)/P1039,"")</f>
        <v/>
      </c>
    </row>
    <row r="912">
      <c r="A912" s="5" t="inlineStr">
        <is>
          <t>2026-06-01</t>
        </is>
      </c>
      <c r="B912" s="5" t="inlineStr">
        <is>
          <t>23周</t>
        </is>
      </c>
      <c r="C912" s="5" t="inlineStr">
        <is>
          <t>抖音</t>
        </is>
      </c>
      <c r="D912" s="5" t="n"/>
      <c r="E912" s="5" t="n"/>
      <c r="F912" s="5" t="inlineStr">
        <is>
          <t>https://v.douyin.com/Npf2h_vLctc/</t>
        </is>
      </c>
      <c r="G912" s="5" t="inlineStr">
        <is>
          <t>0003A2</t>
        </is>
      </c>
      <c r="H912" s="5" t="inlineStr">
        <is>
          <t>穿搭</t>
        </is>
      </c>
      <c r="I912" s="5" t="n">
        <v>98.75</v>
      </c>
      <c r="J912" s="5" t="n"/>
      <c r="K912" s="5" t="n"/>
      <c r="L912" s="5" t="n">
        <v>6022</v>
      </c>
      <c r="M912" s="5" t="n">
        <v>382</v>
      </c>
      <c r="N912" s="5" t="n">
        <v>24</v>
      </c>
      <c r="O912" s="5" t="n">
        <v>47</v>
      </c>
      <c r="P912" s="8">
        <f>IF(AND(M1040&lt;&gt;"",M1040&gt;0),M1040+N1040+O1040,"")</f>
        <v/>
      </c>
      <c r="Q912" s="11">
        <f>IF(AND(L1040&lt;&gt;"",L1040&gt;0,P1040&lt;&gt;""),P1040/L1040,"")</f>
        <v/>
      </c>
      <c r="R912" s="16">
        <f>IF(AND(P1040&lt;&gt;"",P1040&gt;0),(I1040+J1040+K1040)/P1040,"")</f>
        <v/>
      </c>
    </row>
    <row r="913" ht="27" customHeight="1">
      <c r="A913" s="5" t="inlineStr">
        <is>
          <t>2026-06-01</t>
        </is>
      </c>
      <c r="B913" s="5" t="inlineStr">
        <is>
          <t>23周</t>
        </is>
      </c>
      <c r="C913" s="5" t="inlineStr">
        <is>
          <t>抖音</t>
        </is>
      </c>
      <c r="D913" s="5" t="n"/>
      <c r="E913" s="5" t="n"/>
      <c r="F913" s="5" t="inlineStr">
        <is>
          <t>https://v.douyin.com/x34nc8hm6A0/</t>
        </is>
      </c>
      <c r="G913" s="5" t="inlineStr">
        <is>
          <t>459</t>
        </is>
      </c>
      <c r="H913" s="5" t="inlineStr">
        <is>
          <t>穿搭</t>
        </is>
      </c>
      <c r="I913" s="5" t="n">
        <v>40.09</v>
      </c>
      <c r="J913" s="5" t="n"/>
      <c r="K913" s="5" t="n"/>
      <c r="L913" s="5" t="n">
        <v>7882</v>
      </c>
      <c r="M913" s="5" t="n">
        <v>420</v>
      </c>
      <c r="N913" s="5" t="n">
        <v>77</v>
      </c>
      <c r="O913" s="5" t="n">
        <v>23</v>
      </c>
      <c r="P913" s="8">
        <f>IF(AND(M1041&lt;&gt;"",M1041&gt;0),M1041+N1041+O1041,"")</f>
        <v/>
      </c>
      <c r="Q913" s="11">
        <f>IF(AND(L1041&lt;&gt;"",L1041&gt;0,P1041&lt;&gt;""),P1041/L1041,"")</f>
        <v/>
      </c>
      <c r="R913" s="16">
        <f>IF(AND(P1041&lt;&gt;"",P1041&gt;0),(I1041+J1041+K1041)/P1041,"")</f>
        <v/>
      </c>
    </row>
    <row r="914" ht="67.5" customHeight="1">
      <c r="A914" s="5" t="inlineStr">
        <is>
          <t>2026-06-01</t>
        </is>
      </c>
      <c r="B914" s="5" t="inlineStr">
        <is>
          <t>23周</t>
        </is>
      </c>
      <c r="C914" s="5" t="inlineStr">
        <is>
          <t>抖音</t>
        </is>
      </c>
      <c r="D914" s="5" t="n"/>
      <c r="E914" s="5" t="n"/>
      <c r="F914" s="5" t="inlineStr">
        <is>
          <t>https://www.douyin.com/user/self?from_tab_name=main&amp;modal_id=7646299804783447296&amp;showTab=like</t>
        </is>
      </c>
      <c r="G914" s="5" t="inlineStr">
        <is>
          <t>0003A2</t>
        </is>
      </c>
      <c r="H914" s="5" t="inlineStr">
        <is>
          <t>刘轩丞</t>
        </is>
      </c>
      <c r="I914" s="5" t="n">
        <v>76.2</v>
      </c>
      <c r="J914" s="5" t="n"/>
      <c r="K914" s="5" t="n"/>
      <c r="L914" s="5" t="n">
        <v>120000</v>
      </c>
      <c r="M914" s="5" t="n">
        <v>6633</v>
      </c>
      <c r="N914" s="5" t="n">
        <v>371</v>
      </c>
      <c r="O914" s="5" t="n">
        <v>359</v>
      </c>
      <c r="P914" s="8">
        <f>IF(AND(M1042&lt;&gt;"",M1042&gt;0),M1042+N1042+O1042,"")</f>
        <v/>
      </c>
      <c r="Q914" s="11">
        <f>IF(AND(L1042&lt;&gt;"",L1042&gt;0,P1042&lt;&gt;""),P1042/L1042,"")</f>
        <v/>
      </c>
      <c r="R914" s="16">
        <f>IF(AND(P1042&lt;&gt;"",P1042&gt;0),(I1042+J1042+K1042)/P1042,"")</f>
        <v/>
      </c>
    </row>
    <row r="915" ht="27" customHeight="1">
      <c r="A915" s="5" t="inlineStr">
        <is>
          <t>2026-06-01</t>
        </is>
      </c>
      <c r="B915" s="5" t="inlineStr">
        <is>
          <t>23周</t>
        </is>
      </c>
      <c r="C915" s="5" t="inlineStr">
        <is>
          <t>抖音</t>
        </is>
      </c>
      <c r="D915" s="5" t="n"/>
      <c r="E915" s="5" t="n"/>
      <c r="F915" s="5" t="inlineStr">
        <is>
          <t>https://v.douyin.com/ui2jibOaRsI/</t>
        </is>
      </c>
      <c r="G915" s="5" t="inlineStr">
        <is>
          <t>489</t>
        </is>
      </c>
      <c r="H915" s="5" t="inlineStr">
        <is>
          <t>马嘉祺</t>
        </is>
      </c>
      <c r="I915" s="5" t="n">
        <v>100</v>
      </c>
      <c r="J915" s="5" t="n"/>
      <c r="K915" s="5" t="n"/>
      <c r="L915" s="5" t="n">
        <v>8100</v>
      </c>
      <c r="M915" s="5" t="n">
        <v>462</v>
      </c>
      <c r="N915" s="5" t="n">
        <v>20</v>
      </c>
      <c r="O915" s="5" t="n">
        <v>59</v>
      </c>
      <c r="P915" s="8">
        <f>IF(AND(M1043&lt;&gt;"",M1043&gt;0),M1043+N1043+O1043,"")</f>
        <v/>
      </c>
      <c r="Q915" s="11">
        <f>IF(AND(L1043&lt;&gt;"",L1043&gt;0,P1043&lt;&gt;""),P1043/L1043,"")</f>
        <v/>
      </c>
      <c r="R915" s="16">
        <f>IF(AND(P1043&lt;&gt;"",P1043&gt;0),(I1043+J1043+K1043)/P1043,"")</f>
        <v/>
      </c>
    </row>
    <row r="916" ht="27" customHeight="1">
      <c r="A916" s="5" t="inlineStr">
        <is>
          <t>2026-06-01</t>
        </is>
      </c>
      <c r="B916" s="5" t="inlineStr">
        <is>
          <t>23周</t>
        </is>
      </c>
      <c r="C916" s="5" t="inlineStr">
        <is>
          <t>抖音</t>
        </is>
      </c>
      <c r="D916" s="5" t="n"/>
      <c r="E916" s="5" t="n"/>
      <c r="F916" s="5" t="inlineStr">
        <is>
          <t>https://www.douyin.com/user/MS4wLjABAAAAJQyHv5VVMJbaFZes-kBsWv1pFKm5G6Mmm43J3d1owTvpQ9esMfQbUaXazZbx--aO?from_tab_name=main&amp;modal_id=7646338501549600192&amp;vid=7646338501549600192</t>
        </is>
      </c>
      <c r="G916" s="5" t="inlineStr">
        <is>
          <t>0003A2</t>
        </is>
      </c>
      <c r="H916" s="5" t="inlineStr">
        <is>
          <t>口播</t>
        </is>
      </c>
      <c r="I916" s="5" t="n">
        <v>418.75</v>
      </c>
      <c r="J916" s="5" t="n"/>
      <c r="K916" s="5" t="n"/>
      <c r="L916" s="5" t="n">
        <v>5800</v>
      </c>
      <c r="M916" s="5" t="n">
        <v>120</v>
      </c>
      <c r="N916" s="5" t="n">
        <v>28</v>
      </c>
      <c r="O916" s="5" t="n">
        <v>8</v>
      </c>
      <c r="P916" s="8">
        <f>IF(AND(M1044&lt;&gt;"",M1044&gt;0),M1044+N1044+O1044,"")</f>
        <v/>
      </c>
      <c r="Q916" s="11">
        <f>IF(AND(L1044&lt;&gt;"",L1044&gt;0,P1044&lt;&gt;""),P1044/L1044,"")</f>
        <v/>
      </c>
      <c r="R916" s="16">
        <f>IF(AND(P1044&lt;&gt;"",P1044&gt;0),(I1044+J1044+K1044)/P1044,"")</f>
        <v/>
      </c>
    </row>
    <row r="917" ht="27" customHeight="1">
      <c r="A917" s="5" t="inlineStr">
        <is>
          <t>2026-06-01</t>
        </is>
      </c>
      <c r="B917" s="5" t="inlineStr">
        <is>
          <t>23周</t>
        </is>
      </c>
      <c r="C917" s="5" t="inlineStr">
        <is>
          <t>小红书</t>
        </is>
      </c>
      <c r="D917" s="5" t="n"/>
      <c r="E917" s="5" t="n"/>
      <c r="F917" s="5" t="inlineStr">
        <is>
          <t>https://www.xiaohongshu.com/discovery/item/6a1d182b0000000035031c2e?xsec_token=CBwISLRYtBHnC1kuMdON6DMIsBFXOxcBQSSdkhKCi1-qY=&amp;xsec_source=app_share</t>
        </is>
      </c>
      <c r="G917" s="5" t="inlineStr">
        <is>
          <t>459</t>
        </is>
      </c>
      <c r="H917" s="5" t="inlineStr">
        <is>
          <t>穿搭</t>
        </is>
      </c>
      <c r="I917" s="5" t="n">
        <v>50.2</v>
      </c>
      <c r="J917" s="5" t="n"/>
      <c r="K917" s="5" t="n"/>
      <c r="L917" s="5" t="n">
        <v>1202</v>
      </c>
      <c r="M917" s="5" t="n">
        <v>83</v>
      </c>
      <c r="N917" s="5" t="n">
        <v>21</v>
      </c>
      <c r="O917" s="5" t="n">
        <v>5</v>
      </c>
      <c r="P917" s="8">
        <f>IF(AND(M1045&lt;&gt;"",M1045&gt;0),M1045+N1045+O1045,"")</f>
        <v/>
      </c>
      <c r="Q917" s="11">
        <f>IF(AND(L1045&lt;&gt;"",L1045&gt;0,P1045&lt;&gt;""),P1045/L1045,"")</f>
        <v/>
      </c>
      <c r="R917" s="16">
        <f>IF(AND(P1045&lt;&gt;"",P1045&gt;0),(I1045+J1045+K1045)/P1045,"")</f>
        <v/>
      </c>
    </row>
    <row r="918" ht="27" customHeight="1">
      <c r="A918" s="5" t="inlineStr">
        <is>
          <t>2026-06-01</t>
        </is>
      </c>
      <c r="B918" s="5" t="inlineStr">
        <is>
          <t>23周</t>
        </is>
      </c>
      <c r="C918" s="5" t="inlineStr">
        <is>
          <t>小红书</t>
        </is>
      </c>
      <c r="D918" s="5" t="n"/>
      <c r="E918" s="5" t="n"/>
      <c r="F918" s="5" t="inlineStr">
        <is>
          <t>https://www.xiaohongshu.com/discovery/item/6a1d1ddc000000003501d080?xsec_token=CBwISLRYtBHnC1kuMdON6DMMqOcV16--yZfg1DVGnAKhM=&amp;xsec_source=app_share&amp;type=video</t>
        </is>
      </c>
      <c r="G918" s="5" t="inlineStr">
        <is>
          <t>0003A2</t>
        </is>
      </c>
      <c r="H918" s="5" t="inlineStr">
        <is>
          <t>刘轩丞</t>
        </is>
      </c>
      <c r="I918" s="5" t="n">
        <v>76.2</v>
      </c>
      <c r="J918" s="5" t="n"/>
      <c r="K918" s="5" t="n"/>
      <c r="L918" s="5" t="n">
        <v>8987</v>
      </c>
      <c r="M918" s="5" t="n">
        <v>362</v>
      </c>
      <c r="N918" s="5" t="n">
        <v>38</v>
      </c>
      <c r="O918" s="5" t="n">
        <v>134</v>
      </c>
      <c r="P918" s="8">
        <f>IF(AND(M1046&lt;&gt;"",M1046&gt;0),M1046+N1046+O1046,"")</f>
        <v/>
      </c>
      <c r="Q918" s="11">
        <f>IF(AND(L1046&lt;&gt;"",L1046&gt;0,P1046&lt;&gt;""),P1046/L1046,"")</f>
        <v/>
      </c>
      <c r="R918" s="16">
        <f>IF(AND(P1046&lt;&gt;"",P1046&gt;0),(I1046+J1046+K1046)/P1046,"")</f>
        <v/>
      </c>
    </row>
    <row r="919" ht="81" customHeight="1">
      <c r="A919" s="5" t="inlineStr">
        <is>
          <t>2026-06-01</t>
        </is>
      </c>
      <c r="B919" s="5" t="inlineStr">
        <is>
          <t>23周</t>
        </is>
      </c>
      <c r="C919" s="5" t="inlineStr">
        <is>
          <t>小红书</t>
        </is>
      </c>
      <c r="D919" s="5" t="n"/>
      <c r="E919" s="5" t="n"/>
      <c r="F919" s="5" t="inlineStr">
        <is>
          <t>https://www.xiaohongshu.com/discovery/item/6a1d6774000000000702b978?xsec_token=CBwISLRYtBHnC1kuMdON6DMOBXSWR88MnS5FoKpkte_xA=&amp;xsec_source=app_share&amp;type=video</t>
        </is>
      </c>
      <c r="G919" s="5" t="inlineStr">
        <is>
          <t>489</t>
        </is>
      </c>
      <c r="H919" s="5" t="inlineStr">
        <is>
          <t>陈奕恒</t>
        </is>
      </c>
      <c r="I919" s="5" t="n">
        <v>27.4</v>
      </c>
      <c r="J919" s="5" t="n"/>
      <c r="K919" s="5" t="n"/>
      <c r="L919" s="5" t="n">
        <v>2061</v>
      </c>
      <c r="M919" s="5" t="n">
        <v>155</v>
      </c>
      <c r="N919" s="5" t="n">
        <v>22</v>
      </c>
      <c r="O919" s="5" t="n">
        <v>9</v>
      </c>
      <c r="P919" s="8">
        <f>IF(AND(M1047&lt;&gt;"",M1047&gt;0),M1047+N1047+O1047,"")</f>
        <v/>
      </c>
      <c r="Q919" s="11">
        <f>IF(AND(L1047&lt;&gt;"",L1047&gt;0,P1047&lt;&gt;""),P1047/L1047,"")</f>
        <v/>
      </c>
      <c r="R919" s="16">
        <f>IF(AND(P1047&lt;&gt;"",P1047&gt;0),(I1047+J1047+K1047)/P1047,"")</f>
        <v/>
      </c>
    </row>
    <row r="920" ht="81" customHeight="1">
      <c r="A920" s="5" t="inlineStr">
        <is>
          <t>2026-06-02</t>
        </is>
      </c>
      <c r="B920" s="5" t="inlineStr">
        <is>
          <t>23周</t>
        </is>
      </c>
      <c r="C920" s="5" t="inlineStr">
        <is>
          <t>抖音</t>
        </is>
      </c>
      <c r="D920" s="5" t="n"/>
      <c r="E920" s="5" t="n"/>
      <c r="F920" s="5" t="inlineStr">
        <is>
          <t>https://www.douyin.com/user/MS4wLjABAAAA2i4YDyHx_Np0ajZrYu6U-eyPa38hclxx7sE_UTuM7tzJq4ZcdYIYOcvRgrC0QmU5?from_tab_name=main&amp;modal_id=7646676094415279333</t>
        </is>
      </c>
      <c r="G920" s="5" t="inlineStr">
        <is>
          <t>459</t>
        </is>
      </c>
      <c r="H920" s="5" t="inlineStr">
        <is>
          <t>穿搭</t>
        </is>
      </c>
      <c r="I920" s="5" t="n">
        <v>45.1</v>
      </c>
      <c r="J920" s="5" t="n"/>
      <c r="K920" s="5" t="n"/>
      <c r="L920" s="5" t="n">
        <v>856</v>
      </c>
      <c r="M920" s="5" t="n">
        <v>60</v>
      </c>
      <c r="N920" s="5" t="n">
        <v>6</v>
      </c>
      <c r="O920" s="5" t="n">
        <v>1</v>
      </c>
      <c r="P920" s="8">
        <f>IF(AND(M1048&lt;&gt;"",M1048&gt;0),M1048+N1048+O1048,"")</f>
        <v/>
      </c>
      <c r="Q920" s="11">
        <f>IF(AND(L1048&lt;&gt;"",L1048&gt;0,P1048&lt;&gt;""),P1048/L1048,"")</f>
        <v/>
      </c>
      <c r="R920" s="16">
        <f>IF(AND(P1048&lt;&gt;"",P1048&gt;0),(I1048+J1048+K1048)/P1048,"")</f>
        <v/>
      </c>
    </row>
    <row r="921" ht="27" customHeight="1">
      <c r="A921" s="5" t="inlineStr">
        <is>
          <t>2026-06-02</t>
        </is>
      </c>
      <c r="B921" s="5" t="inlineStr">
        <is>
          <t>23周</t>
        </is>
      </c>
      <c r="C921" s="5" t="inlineStr">
        <is>
          <t>抖音</t>
        </is>
      </c>
      <c r="D921" s="5" t="n"/>
      <c r="E921" s="5" t="n"/>
      <c r="F921" s="5" t="inlineStr">
        <is>
          <t>https://www.douyin.com/user/MS4wLjABAAAA-mMUDoiyRhOmxxyywY9AspygjYus1_HiY2g0g0IMXxg?from_tab_name=main&amp;modal_id=7646694861403668850</t>
        </is>
      </c>
      <c r="G921" s="5" t="inlineStr">
        <is>
          <t>489</t>
        </is>
      </c>
      <c r="H921" s="5" t="inlineStr">
        <is>
          <t>邓紫棋</t>
        </is>
      </c>
      <c r="I921" s="5" t="n">
        <v>49.25</v>
      </c>
      <c r="J921" s="5" t="n"/>
      <c r="K921" s="5" t="n"/>
      <c r="L921" s="5" t="n">
        <v>28000</v>
      </c>
      <c r="M921" s="5" t="n">
        <v>3069</v>
      </c>
      <c r="N921" s="5" t="n">
        <v>97</v>
      </c>
      <c r="O921" s="5" t="n">
        <v>109</v>
      </c>
      <c r="P921" s="8">
        <f>IF(AND(M1049&lt;&gt;"",M1049&gt;0),M1049+N1049+O1049,"")</f>
        <v/>
      </c>
      <c r="Q921" s="11">
        <f>IF(AND(L1049&lt;&gt;"",L1049&gt;0,P1049&lt;&gt;""),P1049/L1049,"")</f>
        <v/>
      </c>
      <c r="R921" s="16">
        <f>IF(AND(P1049&lt;&gt;"",P1049&gt;0),(I1049+J1049+K1049)/P1049,"")</f>
        <v/>
      </c>
    </row>
    <row r="922" ht="27" customHeight="1">
      <c r="A922" s="5" t="inlineStr">
        <is>
          <t>2026-06-02</t>
        </is>
      </c>
      <c r="B922" s="5" t="inlineStr">
        <is>
          <t>23周</t>
        </is>
      </c>
      <c r="C922" s="5" t="inlineStr">
        <is>
          <t>抖音</t>
        </is>
      </c>
      <c r="D922" s="5" t="n"/>
      <c r="E922" s="5" t="n"/>
      <c r="F922" s="5" t="inlineStr">
        <is>
          <t>https://v.douyin.com/s3WvLANk9WI/ O@K.JI :4pm Syt:/ 04/30</t>
        </is>
      </c>
      <c r="G922" s="5" t="inlineStr">
        <is>
          <t>0003A2</t>
        </is>
      </c>
      <c r="H922" s="5" t="inlineStr">
        <is>
          <t>健身穿搭</t>
        </is>
      </c>
      <c r="I922" s="5" t="n">
        <v>248.75</v>
      </c>
      <c r="J922" s="5" t="n"/>
      <c r="K922" s="5" t="n"/>
      <c r="L922" s="5" t="n">
        <v>11000</v>
      </c>
      <c r="M922" s="5" t="n">
        <v>615</v>
      </c>
      <c r="N922" s="5" t="n">
        <v>64</v>
      </c>
      <c r="O922" s="5" t="n">
        <v>5</v>
      </c>
      <c r="P922" s="8">
        <f>IF(AND(M1050&lt;&gt;"",M1050&gt;0),M1050+N1050+O1050,"")</f>
        <v/>
      </c>
      <c r="Q922" s="11">
        <f>IF(AND(L1050&lt;&gt;"",L1050&gt;0,P1050&lt;&gt;""),P1050/L1050,"")</f>
        <v/>
      </c>
      <c r="R922" s="16">
        <f>IF(AND(P1050&lt;&gt;"",P1050&gt;0),(I1050+J1050+K1050)/P1050,"")</f>
        <v/>
      </c>
    </row>
    <row r="923" ht="67.5" customHeight="1">
      <c r="A923" s="5" t="inlineStr">
        <is>
          <t>2026-06-02</t>
        </is>
      </c>
      <c r="B923" s="5" t="inlineStr">
        <is>
          <t>23周</t>
        </is>
      </c>
      <c r="C923" s="5" t="inlineStr">
        <is>
          <t>抖音</t>
        </is>
      </c>
      <c r="D923" s="5" t="n"/>
      <c r="E923" s="5" t="n"/>
      <c r="F923" s="5" t="inlineStr">
        <is>
          <t>https://v.douyin.com/dlFwmnz6fcs/</t>
        </is>
      </c>
      <c r="G923" s="5" t="inlineStr">
        <is>
          <t>0003A2</t>
        </is>
      </c>
      <c r="H923" s="5" t="inlineStr">
        <is>
          <t>健身穿搭</t>
        </is>
      </c>
      <c r="I923" s="5" t="n">
        <v>98.75</v>
      </c>
      <c r="J923" s="5" t="n"/>
      <c r="K923" s="5" t="n"/>
      <c r="L923" s="5" t="n">
        <v>95000</v>
      </c>
      <c r="M923" s="5" t="n">
        <v>1929</v>
      </c>
      <c r="N923" s="5" t="n">
        <v>755</v>
      </c>
      <c r="O923" s="5" t="n">
        <v>14</v>
      </c>
      <c r="P923" s="8">
        <f>IF(AND(M1051&lt;&gt;"",M1051&gt;0),M1051+N1051+O1051,"")</f>
        <v/>
      </c>
      <c r="Q923" s="11">
        <f>IF(AND(L1051&lt;&gt;"",L1051&gt;0,P1051&lt;&gt;""),P1051/L1051,"")</f>
        <v/>
      </c>
      <c r="R923" s="16">
        <f>IF(AND(P1051&lt;&gt;"",P1051&gt;0),(I1051+J1051+K1051)/P1051,"")</f>
        <v/>
      </c>
    </row>
    <row r="924" ht="27" customHeight="1">
      <c r="A924" s="5" t="inlineStr">
        <is>
          <t>2026-06-02</t>
        </is>
      </c>
      <c r="B924" s="5" t="inlineStr">
        <is>
          <t>23周</t>
        </is>
      </c>
      <c r="C924" s="5" t="inlineStr">
        <is>
          <t>抖音</t>
        </is>
      </c>
      <c r="D924" s="5" t="n"/>
      <c r="E924" s="5" t="n"/>
      <c r="F924" s="5" t="inlineStr">
        <is>
          <t>https://www.douyin.com/user/self?from_tab_name=main&amp;modal_id=7646771282008092409&amp;showTab=like</t>
        </is>
      </c>
      <c r="G924" s="5" t="inlineStr">
        <is>
          <t>489</t>
        </is>
      </c>
      <c r="H924" s="5" t="inlineStr">
        <is>
          <t>陈奕恒</t>
        </is>
      </c>
      <c r="I924" s="5" t="n">
        <v>27.4</v>
      </c>
      <c r="J924" s="5" t="n"/>
      <c r="K924" s="5" t="n"/>
      <c r="L924" s="5" t="n">
        <v>4400</v>
      </c>
      <c r="M924" s="5" t="n">
        <v>248</v>
      </c>
      <c r="N924" s="5" t="n">
        <v>21</v>
      </c>
      <c r="O924" s="5" t="n">
        <v>14</v>
      </c>
      <c r="P924" s="8">
        <f>IF(AND(M1052&lt;&gt;"",M1052&gt;0),M1052+N1052+O1052,"")</f>
        <v/>
      </c>
      <c r="Q924" s="11">
        <f>IF(AND(L1052&lt;&gt;"",L1052&gt;0,P1052&lt;&gt;""),P1052/L1052,"")</f>
        <v/>
      </c>
      <c r="R924" s="16">
        <f>IF(AND(P1052&lt;&gt;"",P1052&gt;0),(I1052+J1052+K1052)/P1052,"")</f>
        <v/>
      </c>
    </row>
    <row r="925" ht="81" customHeight="1">
      <c r="A925" s="5" t="inlineStr">
        <is>
          <t>2026-06-03</t>
        </is>
      </c>
      <c r="B925" s="5" t="inlineStr">
        <is>
          <t>23周</t>
        </is>
      </c>
      <c r="C925" s="5" t="inlineStr">
        <is>
          <t>抖音</t>
        </is>
      </c>
      <c r="D925" s="5" t="n"/>
      <c r="E925" s="5" t="n"/>
      <c r="F925" s="5" t="inlineStr">
        <is>
          <t>https://v.douyin.com/bklQ5Takjj4/</t>
        </is>
      </c>
      <c r="G925" s="5" t="inlineStr">
        <is>
          <t>0003A2</t>
        </is>
      </c>
      <c r="H925" s="5" t="inlineStr">
        <is>
          <t>健身穿搭</t>
        </is>
      </c>
      <c r="I925" s="5" t="n">
        <v>98.75</v>
      </c>
      <c r="J925" s="5" t="n"/>
      <c r="K925" s="5" t="n"/>
      <c r="L925" s="5" t="n">
        <v>65000</v>
      </c>
      <c r="M925" s="5" t="n">
        <v>1997</v>
      </c>
      <c r="N925" s="5" t="n">
        <v>660</v>
      </c>
      <c r="O925" s="5" t="n">
        <v>15</v>
      </c>
      <c r="P925" s="8">
        <f>IF(AND(M1053&lt;&gt;"",M1053&gt;0),M1053+N1053+O1053,"")</f>
        <v/>
      </c>
      <c r="Q925" s="11">
        <f>IF(AND(L1053&lt;&gt;"",L1053&gt;0,P1053&lt;&gt;""),P1053/L1053,"")</f>
        <v/>
      </c>
      <c r="R925" s="16">
        <f>IF(AND(P1053&lt;&gt;"",P1053&gt;0),(I1053+J1053+K1053)/P1053,"")</f>
        <v/>
      </c>
    </row>
    <row r="926" ht="81" customHeight="1">
      <c r="A926" s="5" t="inlineStr">
        <is>
          <t>2026-06-03</t>
        </is>
      </c>
      <c r="B926" s="5" t="inlineStr">
        <is>
          <t>23周</t>
        </is>
      </c>
      <c r="C926" s="5" t="inlineStr">
        <is>
          <t>抖音</t>
        </is>
      </c>
      <c r="D926" s="5" t="n"/>
      <c r="E926" s="5" t="n"/>
      <c r="F926" s="5" t="inlineStr">
        <is>
          <t>https://www.douyin.com/user/self?from_tab_name=main&amp;modal_id=7647116881783203712&amp;showTab=like</t>
        </is>
      </c>
      <c r="G926" s="5" t="inlineStr">
        <is>
          <t>495</t>
        </is>
      </c>
      <c r="H926" s="5" t="inlineStr">
        <is>
          <t>口播</t>
        </is>
      </c>
      <c r="I926" s="5" t="n"/>
      <c r="J926" s="5" t="n"/>
      <c r="K926" s="5" t="n"/>
      <c r="L926" s="5" t="n">
        <v>300000</v>
      </c>
      <c r="M926" s="5" t="n">
        <v>6663</v>
      </c>
      <c r="N926" s="5" t="n">
        <v>4446</v>
      </c>
      <c r="O926" s="5" t="n">
        <v>311</v>
      </c>
      <c r="P926" s="8">
        <f>IF(AND(M1054&lt;&gt;"",M1054&gt;0),M1054+N1054+O1054,"")</f>
        <v/>
      </c>
      <c r="Q926" s="11">
        <f>IF(AND(L1054&lt;&gt;"",L1054&gt;0,P1054&lt;&gt;""),P1054/L1054,"")</f>
        <v/>
      </c>
      <c r="R926" s="16">
        <f>IF(AND(P1054&lt;&gt;"",P1054&gt;0),(I1054+J1054+K1054)/P1054,"")</f>
        <v/>
      </c>
    </row>
    <row r="927" ht="27" customHeight="1">
      <c r="A927" s="5" t="inlineStr">
        <is>
          <t>2026-06-03</t>
        </is>
      </c>
      <c r="B927" s="5" t="inlineStr">
        <is>
          <t>23周</t>
        </is>
      </c>
      <c r="C927" s="5" t="inlineStr">
        <is>
          <t>抖音</t>
        </is>
      </c>
      <c r="D927" s="5" t="n"/>
      <c r="E927" s="5" t="n"/>
      <c r="F927" s="5" t="inlineStr">
        <is>
          <t>https://v.douyin.com/j2FmG0iJ7Vo/ tRx:/ z@G.vf 05/08 :3pm</t>
        </is>
      </c>
      <c r="G927" s="5" t="inlineStr">
        <is>
          <t>489</t>
        </is>
      </c>
      <c r="H927" s="5" t="inlineStr">
        <is>
          <t>赵露思</t>
        </is>
      </c>
      <c r="I927" s="5" t="n">
        <v>49.25</v>
      </c>
      <c r="J927" s="5" t="n"/>
      <c r="K927" s="5" t="n"/>
      <c r="L927" s="5" t="n">
        <v>15000</v>
      </c>
      <c r="M927" s="5" t="n">
        <v>397</v>
      </c>
      <c r="N927" s="5" t="n">
        <v>32</v>
      </c>
      <c r="O927" s="5" t="n">
        <v>31</v>
      </c>
      <c r="P927" s="8">
        <f>IF(AND(M1055&lt;&gt;"",M1055&gt;0),M1055+N1055+O1055,"")</f>
        <v/>
      </c>
      <c r="Q927" s="11">
        <f>IF(AND(L1055&lt;&gt;"",L1055&gt;0,P1055&lt;&gt;""),P1055/L1055,"")</f>
        <v/>
      </c>
      <c r="R927" s="16">
        <f>IF(AND(P1055&lt;&gt;"",P1055&gt;0),(I1055+J1055+K1055)/P1055,"")</f>
        <v/>
      </c>
    </row>
    <row r="928" ht="27" customHeight="1">
      <c r="A928" s="5" t="inlineStr">
        <is>
          <t>2026-06-04</t>
        </is>
      </c>
      <c r="B928" s="5" t="inlineStr">
        <is>
          <t>23周</t>
        </is>
      </c>
      <c r="C928" s="5" t="inlineStr">
        <is>
          <t>抖音</t>
        </is>
      </c>
      <c r="D928" s="5" t="n"/>
      <c r="E928" s="5" t="n"/>
      <c r="F928" s="5" t="inlineStr">
        <is>
          <t>https://www.douyin.com/user/MS4wLjABAAAA_tsAZ06bVSLqAeglXNgiDGJruN8XP-_qwts2t6CEtoI/search/%E5%B1%81%E5%B1%81%E8%8B%B9?aid=3007bb76-d99a-46b6-beac-dc75491da07a&amp;modal_id=7647396465518798777&amp;type=general</t>
        </is>
      </c>
      <c r="G928" s="5" t="inlineStr">
        <is>
          <t>459</t>
        </is>
      </c>
      <c r="H928" s="5" t="inlineStr">
        <is>
          <t>穿搭</t>
        </is>
      </c>
      <c r="I928" s="5" t="n">
        <v>20.1</v>
      </c>
      <c r="J928" s="5" t="n"/>
      <c r="K928" s="5" t="n"/>
      <c r="L928" s="5" t="n">
        <v>67000</v>
      </c>
      <c r="M928" s="5" t="n">
        <v>3530</v>
      </c>
      <c r="N928" s="5" t="n">
        <v>1827</v>
      </c>
      <c r="O928" s="5" t="n">
        <v>22</v>
      </c>
      <c r="P928" s="8">
        <f>IF(AND(M1056&lt;&gt;"",M1056&gt;0),M1056+N1056+O1056,"")</f>
        <v/>
      </c>
      <c r="Q928" s="11">
        <f>IF(AND(L1056&lt;&gt;"",L1056&gt;0,P1056&lt;&gt;""),P1056/L1056,"")</f>
        <v/>
      </c>
      <c r="R928" s="16">
        <f>IF(AND(P1056&lt;&gt;"",P1056&gt;0),(I1056+J1056+K1056)/P1056,"")</f>
        <v/>
      </c>
    </row>
    <row r="929">
      <c r="A929" s="5" t="inlineStr">
        <is>
          <t>2026-06-04</t>
        </is>
      </c>
      <c r="B929" s="5" t="inlineStr">
        <is>
          <t>23周</t>
        </is>
      </c>
      <c r="C929" s="5" t="inlineStr">
        <is>
          <t>抖音</t>
        </is>
      </c>
      <c r="D929" s="5" t="n"/>
      <c r="E929" s="5" t="n"/>
      <c r="F929" s="5" t="inlineStr">
        <is>
          <t>https://www.douyin.com/user/MS4wLjABAAAADKyFnWbiSiJFWYdukC3NK5l9u88sx4qgZT0Nm982cMo?from_tab_name=main&amp;modal_id=7647453936022921107</t>
        </is>
      </c>
      <c r="G929" s="5" t="inlineStr">
        <is>
          <t>489</t>
        </is>
      </c>
      <c r="H929" s="5" t="inlineStr">
        <is>
          <t>邓紫棋</t>
        </is>
      </c>
      <c r="I929" s="5" t="n">
        <v>49.25</v>
      </c>
      <c r="J929" s="5" t="n"/>
      <c r="K929" s="5" t="n"/>
      <c r="L929" s="5" t="n">
        <v>30000</v>
      </c>
      <c r="M929" s="5" t="n">
        <v>2077</v>
      </c>
      <c r="N929" s="5" t="n">
        <v>198</v>
      </c>
      <c r="O929" s="5" t="n">
        <v>127</v>
      </c>
      <c r="P929" s="8">
        <f>IF(AND(M1057&lt;&gt;"",M1057&gt;0),M1057+N1057+O1057,"")</f>
        <v/>
      </c>
      <c r="Q929" s="11">
        <f>IF(AND(L1057&lt;&gt;"",L1057&gt;0,P1057&lt;&gt;""),P1057/L1057,"")</f>
        <v/>
      </c>
      <c r="R929" s="16">
        <f>IF(AND(P1057&lt;&gt;"",P1057&gt;0),(I1057+J1057+K1057)/P1057,"")</f>
        <v/>
      </c>
    </row>
    <row r="930" ht="27" customHeight="1">
      <c r="A930" s="5" t="inlineStr">
        <is>
          <t>2026-06-04</t>
        </is>
      </c>
      <c r="B930" s="5" t="inlineStr">
        <is>
          <t>23周</t>
        </is>
      </c>
      <c r="C930" s="5" t="inlineStr">
        <is>
          <t>小红书</t>
        </is>
      </c>
      <c r="D930" s="5" t="n"/>
      <c r="E930" s="5" t="n"/>
      <c r="F930" s="5" t="inlineStr">
        <is>
          <t>https://www.xiaohongshu.com/discovery/item/6a20fb340000000021015500?xsec_token=CBnh6Tn6XHAP2eMpBVg_UkFsiIbn2ZVKJpViyHU9kShF4=&amp;xsec_source=app_share&amp;type=video</t>
        </is>
      </c>
      <c r="G930" s="5" t="inlineStr">
        <is>
          <t>459</t>
        </is>
      </c>
      <c r="H930" s="5" t="inlineStr">
        <is>
          <t>口播</t>
        </is>
      </c>
      <c r="I930" s="5" t="n">
        <v>25.5</v>
      </c>
      <c r="J930" s="5" t="n"/>
      <c r="K930" s="5" t="n"/>
      <c r="L930" s="5" t="n">
        <v>41342</v>
      </c>
      <c r="M930" s="5" t="n">
        <v>3258</v>
      </c>
      <c r="N930" s="5" t="n">
        <v>2271</v>
      </c>
      <c r="O930" s="5" t="n">
        <v>34</v>
      </c>
      <c r="P930" s="8">
        <f>IF(AND(M1058&lt;&gt;"",M1058&gt;0),M1058+N1058+O1058,"")</f>
        <v/>
      </c>
      <c r="Q930" s="11">
        <f>IF(AND(L1058&lt;&gt;"",L1058&gt;0,P1058&lt;&gt;""),P1058/L1058,"")</f>
        <v/>
      </c>
      <c r="R930" s="16">
        <f>IF(AND(P1058&lt;&gt;"",P1058&gt;0),(I1058+J1058+K1058)/P1058,"")</f>
        <v/>
      </c>
    </row>
    <row r="931">
      <c r="A931" s="5" t="inlineStr">
        <is>
          <t>2026-06-04</t>
        </is>
      </c>
      <c r="B931" s="5" t="inlineStr">
        <is>
          <t>23周</t>
        </is>
      </c>
      <c r="C931" s="5" t="inlineStr">
        <is>
          <t>小红书</t>
        </is>
      </c>
      <c r="D931" s="5" t="n"/>
      <c r="E931" s="5" t="n"/>
      <c r="F931" s="5" t="inlineStr">
        <is>
          <t>https://www.xiaohongshu.com/discovery/item/6a2168020000000022022b6f?xsec_token=CBlR7xAyEb21HHcD3KQHEbgUWLAHGGIhQB7VGB6MruGOI=&amp;xsec_source=app_share&amp;type=video</t>
        </is>
      </c>
      <c r="G931" s="5" t="inlineStr">
        <is>
          <t>459</t>
        </is>
      </c>
      <c r="H931" s="5" t="inlineStr">
        <is>
          <t>口播</t>
        </is>
      </c>
      <c r="I931" s="5" t="n">
        <v>170.1</v>
      </c>
      <c r="J931" s="5" t="n"/>
      <c r="K931" s="5" t="n"/>
      <c r="L931" s="5" t="n">
        <v>76337</v>
      </c>
      <c r="M931" s="5" t="n">
        <v>684</v>
      </c>
      <c r="N931" s="5" t="n">
        <v>155</v>
      </c>
      <c r="O931" s="5" t="n">
        <v>51</v>
      </c>
      <c r="P931" s="8">
        <f>IF(AND(M1059&lt;&gt;"",M1059&gt;0),M1059+N1059+O1059,"")</f>
        <v/>
      </c>
      <c r="Q931" s="11">
        <f>IF(AND(L1059&lt;&gt;"",L1059&gt;0,P1059&lt;&gt;""),P1059/L1059,"")</f>
        <v/>
      </c>
      <c r="R931" s="16">
        <f>IF(AND(P1059&lt;&gt;"",P1059&gt;0),(I1059+J1059+K1059)/P1059,"")</f>
        <v/>
      </c>
    </row>
    <row r="932" ht="27" customHeight="1">
      <c r="A932" s="5" t="inlineStr">
        <is>
          <t>2026-06-04</t>
        </is>
      </c>
      <c r="B932" s="5" t="inlineStr">
        <is>
          <t>23周</t>
        </is>
      </c>
      <c r="C932" s="5" t="inlineStr">
        <is>
          <t>小红书</t>
        </is>
      </c>
      <c r="D932" s="5" t="n"/>
      <c r="E932" s="5" t="n"/>
      <c r="F932" s="5" t="inlineStr">
        <is>
          <t>https://www.xiaohongshu.com/discovery/item/6a217be0000000002202fa65?xsec_token=CBlR7xAyEb21HHcD3KQHEbgewcZULtCQIf2DaONj8wgLw=&amp;xsec_source=app_share&amp;type=video</t>
        </is>
      </c>
      <c r="G932" s="5" t="inlineStr">
        <is>
          <t>459</t>
        </is>
      </c>
      <c r="H932" s="5" t="inlineStr">
        <is>
          <t>口播</t>
        </is>
      </c>
      <c r="I932" s="5" t="n">
        <v>40.09</v>
      </c>
      <c r="J932" s="5" t="n"/>
      <c r="K932" s="5" t="n"/>
      <c r="L932" s="5" t="n">
        <v>8542</v>
      </c>
      <c r="M932" s="5" t="n">
        <v>214</v>
      </c>
      <c r="N932" s="5" t="n">
        <v>146</v>
      </c>
      <c r="O932" s="5" t="n">
        <v>161</v>
      </c>
      <c r="P932" s="8">
        <f>IF(AND(M1060&lt;&gt;"",M1060&gt;0),M1060+N1060+O1060,"")</f>
        <v/>
      </c>
      <c r="Q932" s="11">
        <f>IF(AND(L1060&lt;&gt;"",L1060&gt;0,P1060&lt;&gt;""),P1060/L1060,"")</f>
        <v/>
      </c>
      <c r="R932" s="16">
        <f>IF(AND(P1060&lt;&gt;"",P1060&gt;0),(I1060+J1060+K1060)/P1060,"")</f>
        <v/>
      </c>
    </row>
    <row r="933" ht="27" customHeight="1">
      <c r="A933" s="5" t="inlineStr">
        <is>
          <t>2026-06-05</t>
        </is>
      </c>
      <c r="B933" s="5" t="inlineStr">
        <is>
          <t>23周</t>
        </is>
      </c>
      <c r="C933" s="5" t="inlineStr">
        <is>
          <t>抖音</t>
        </is>
      </c>
      <c r="D933" s="5" t="n"/>
      <c r="E933" s="5" t="n"/>
      <c r="F933" s="5" t="inlineStr">
        <is>
          <t>https://v.douyin.com/C1_fE5_VqAY/</t>
        </is>
      </c>
      <c r="G933" s="5" t="inlineStr">
        <is>
          <t>489</t>
        </is>
      </c>
      <c r="H933" s="5" t="inlineStr">
        <is>
          <t>陈奕恒</t>
        </is>
      </c>
      <c r="I933" s="5" t="n">
        <v>16.4166</v>
      </c>
      <c r="J933" s="5" t="n"/>
      <c r="K933" s="5" t="n"/>
      <c r="L933" s="5" t="n">
        <v>4278</v>
      </c>
      <c r="M933" s="5" t="n">
        <v>845</v>
      </c>
      <c r="N933" s="5" t="n">
        <v>41</v>
      </c>
      <c r="O933" s="5" t="n">
        <v>32</v>
      </c>
      <c r="P933" s="8">
        <f>IF(AND(M1061&lt;&gt;"",M1061&gt;0),M1061+N1061+O1061,"")</f>
        <v/>
      </c>
      <c r="Q933" s="11">
        <f>IF(AND(L1061&lt;&gt;"",L1061&gt;0,P1061&lt;&gt;""),P1061/L1061,"")</f>
        <v/>
      </c>
      <c r="R933" s="16">
        <f>IF(AND(P1061&lt;&gt;"",P1061&gt;0),(I1061+J1061+K1061)/P1061,"")</f>
        <v/>
      </c>
    </row>
    <row r="934" ht="27" customHeight="1">
      <c r="A934" s="5" t="inlineStr">
        <is>
          <t>2026-06-05</t>
        </is>
      </c>
      <c r="B934" s="5" t="inlineStr">
        <is>
          <t>23周</t>
        </is>
      </c>
      <c r="C934" s="5" t="inlineStr">
        <is>
          <t>快手</t>
        </is>
      </c>
      <c r="D934" s="5" t="n"/>
      <c r="E934" s="5" t="n"/>
      <c r="F934" s="5" t="inlineStr">
        <is>
          <t>https://v.kuaishou.com/KJDcNuVy</t>
        </is>
      </c>
      <c r="G934" s="5" t="inlineStr">
        <is>
          <t>489</t>
        </is>
      </c>
      <c r="H934" s="5" t="inlineStr">
        <is>
          <t>陈奕恒</t>
        </is>
      </c>
      <c r="I934" s="5" t="n">
        <v>16.4166</v>
      </c>
      <c r="J934" s="5" t="n"/>
      <c r="K934" s="5" t="n"/>
      <c r="L934" s="5" t="n">
        <v>28000</v>
      </c>
      <c r="M934" s="5" t="n">
        <v>5461</v>
      </c>
      <c r="N934" s="5" t="n">
        <v>341</v>
      </c>
      <c r="O934" s="5" t="n">
        <v>76</v>
      </c>
      <c r="P934" s="8">
        <f>IF(AND(M1062&lt;&gt;"",M1062&gt;0),M1062+N1062+O1062,"")</f>
        <v/>
      </c>
      <c r="Q934" s="11">
        <f>IF(AND(L1062&lt;&gt;"",L1062&gt;0,P1062&lt;&gt;""),P1062/L1062,"")</f>
        <v/>
      </c>
      <c r="R934" s="16">
        <f>IF(AND(P1062&lt;&gt;"",P1062&gt;0),(I1062+J1062+K1062)/P1062,"")</f>
        <v/>
      </c>
    </row>
    <row r="935" ht="94.5" customHeight="1">
      <c r="A935" s="5" t="inlineStr">
        <is>
          <t>2026-06-05</t>
        </is>
      </c>
      <c r="B935" s="5" t="inlineStr">
        <is>
          <t>23周</t>
        </is>
      </c>
      <c r="C935" s="5" t="inlineStr">
        <is>
          <t>抖音</t>
        </is>
      </c>
      <c r="D935" s="5" t="n"/>
      <c r="E935" s="5" t="n"/>
      <c r="F935" s="5" t="inlineStr">
        <is>
          <t>https://v.douyin.com/XwBcRQ0OZbs/</t>
        </is>
      </c>
      <c r="G935" s="5" t="inlineStr">
        <is>
          <t>0003A2</t>
        </is>
      </c>
      <c r="H935" s="5" t="inlineStr">
        <is>
          <t>健身穿搭</t>
        </is>
      </c>
      <c r="I935" s="5" t="n">
        <v>98.75</v>
      </c>
      <c r="J935" s="5" t="n"/>
      <c r="K935" s="5" t="n"/>
      <c r="L935" s="5" t="n">
        <v>24000</v>
      </c>
      <c r="M935" s="5" t="n">
        <v>835</v>
      </c>
      <c r="N935" s="5" t="n">
        <v>53</v>
      </c>
      <c r="O935" s="5" t="n">
        <v>28</v>
      </c>
      <c r="P935" s="8">
        <f>IF(AND(M1063&lt;&gt;"",M1063&gt;0),M1063+N1063+O1063,"")</f>
        <v/>
      </c>
      <c r="Q935" s="11">
        <f>IF(AND(L1063&lt;&gt;"",L1063&gt;0,P1063&lt;&gt;""),P1063/L1063,"")</f>
        <v/>
      </c>
      <c r="R935" s="16">
        <f>IF(AND(P1063&lt;&gt;"",P1063&gt;0),(I1063+J1063+K1063)/P1063,"")</f>
        <v/>
      </c>
    </row>
    <row r="936" ht="27" customHeight="1">
      <c r="A936" s="5" t="inlineStr">
        <is>
          <t>2026-06-05</t>
        </is>
      </c>
      <c r="B936" s="5" t="inlineStr">
        <is>
          <t>23周</t>
        </is>
      </c>
      <c r="C936" s="5" t="inlineStr">
        <is>
          <t>抖音</t>
        </is>
      </c>
      <c r="D936" s="5" t="n"/>
      <c r="E936" s="5" t="n"/>
      <c r="F936" s="5" t="inlineStr">
        <is>
          <t>https://v.douyin.com/t9DOW_t5QOc/ 12/15 k@P.xf :5pm kPK:/</t>
        </is>
      </c>
      <c r="G936" s="5" t="inlineStr">
        <is>
          <t>489</t>
        </is>
      </c>
      <c r="H936" s="5" t="inlineStr">
        <is>
          <t>赵露思</t>
        </is>
      </c>
      <c r="I936" s="5" t="n">
        <v>49.25</v>
      </c>
      <c r="J936" s="5" t="n"/>
      <c r="K936" s="5" t="n"/>
      <c r="L936" s="5" t="n">
        <v>3452</v>
      </c>
      <c r="M936" s="5" t="n">
        <v>164</v>
      </c>
      <c r="N936" s="5" t="n">
        <v>8</v>
      </c>
      <c r="O936" s="5" t="n">
        <v>8</v>
      </c>
      <c r="P936" s="8">
        <f>IF(AND(M1064&lt;&gt;"",M1064&gt;0),M1064+N1064+O1064,"")</f>
        <v/>
      </c>
      <c r="Q936" s="11">
        <f>IF(AND(L1064&lt;&gt;"",L1064&gt;0,P1064&lt;&gt;""),P1064/L1064,"")</f>
        <v/>
      </c>
      <c r="R936" s="16">
        <f>IF(AND(P1064&lt;&gt;"",P1064&gt;0),(I1064+J1064+K1064)/P1064,"")</f>
        <v/>
      </c>
    </row>
    <row r="937">
      <c r="A937" s="5" t="inlineStr">
        <is>
          <t>2026-06-05</t>
        </is>
      </c>
      <c r="B937" s="5" t="inlineStr">
        <is>
          <t>23周</t>
        </is>
      </c>
      <c r="C937" s="5" t="inlineStr">
        <is>
          <t>抖音</t>
        </is>
      </c>
      <c r="D937" s="5" t="n"/>
      <c r="E937" s="5" t="n"/>
      <c r="F937" s="5" t="inlineStr">
        <is>
          <t>https://v.douyin.com/_7uogwd93W4/</t>
        </is>
      </c>
      <c r="G937" s="5" t="inlineStr">
        <is>
          <t>489</t>
        </is>
      </c>
      <c r="H937" s="5" t="inlineStr">
        <is>
          <t>马嘉祺</t>
        </is>
      </c>
      <c r="I937" s="5" t="n">
        <v>24.625</v>
      </c>
      <c r="J937" s="5" t="n"/>
      <c r="K937" s="5" t="n"/>
      <c r="L937" s="5" t="n">
        <v>4667</v>
      </c>
      <c r="M937" s="5" t="n">
        <v>460</v>
      </c>
      <c r="N937" s="5" t="n">
        <v>17</v>
      </c>
      <c r="O937" s="5" t="n">
        <v>37</v>
      </c>
      <c r="P937" s="8">
        <f>IF(AND(M1065&lt;&gt;"",M1065&gt;0),M1065+N1065+O1065,"")</f>
        <v/>
      </c>
      <c r="Q937" s="11">
        <f>IF(AND(L1065&lt;&gt;"",L1065&gt;0,P1065&lt;&gt;""),P1065/L1065,"")</f>
        <v/>
      </c>
      <c r="R937" s="16">
        <f>IF(AND(P1065&lt;&gt;"",P1065&gt;0),(I1065+J1065+K1065)/P1065,"")</f>
        <v/>
      </c>
    </row>
    <row r="938" ht="27" customHeight="1">
      <c r="A938" s="5" t="inlineStr">
        <is>
          <t>2026-06-05</t>
        </is>
      </c>
      <c r="B938" s="5" t="inlineStr">
        <is>
          <t>23周</t>
        </is>
      </c>
      <c r="C938" s="5" t="inlineStr">
        <is>
          <t>抖音</t>
        </is>
      </c>
      <c r="D938" s="5" t="n"/>
      <c r="E938" s="5" t="n"/>
      <c r="F938" s="5" t="inlineStr">
        <is>
          <t>https://v.douyin.com/R-YmUUS9X08/</t>
        </is>
      </c>
      <c r="G938" s="5" t="inlineStr">
        <is>
          <t>459</t>
        </is>
      </c>
      <c r="H938" s="5" t="inlineStr">
        <is>
          <t>穿搭</t>
        </is>
      </c>
      <c r="I938" s="5" t="n">
        <v>90.09</v>
      </c>
      <c r="J938" s="5" t="n"/>
      <c r="K938" s="5" t="n"/>
      <c r="L938" s="5" t="n">
        <v>14000</v>
      </c>
      <c r="M938" s="5" t="n">
        <v>1252</v>
      </c>
      <c r="N938" s="5" t="n">
        <v>26</v>
      </c>
      <c r="O938" s="5" t="n">
        <v>124</v>
      </c>
      <c r="P938" s="8">
        <f>IF(AND(M1066&lt;&gt;"",M1066&gt;0),M1066+N1066+O1066,"")</f>
        <v/>
      </c>
      <c r="Q938" s="11">
        <f>IF(AND(L1066&lt;&gt;"",L1066&gt;0,P1066&lt;&gt;""),P1066/L1066,"")</f>
        <v/>
      </c>
      <c r="R938" s="16">
        <f>IF(AND(P1066&lt;&gt;"",P1066&gt;0),(I1066+J1066+K1066)/P1066,"")</f>
        <v/>
      </c>
    </row>
    <row r="939" ht="81" customHeight="1">
      <c r="A939" s="5" t="inlineStr">
        <is>
          <t>2026-06-05</t>
        </is>
      </c>
      <c r="B939" s="5" t="inlineStr">
        <is>
          <t>23周</t>
        </is>
      </c>
      <c r="C939" s="5" t="inlineStr">
        <is>
          <t>抖音</t>
        </is>
      </c>
      <c r="D939" s="5" t="n"/>
      <c r="E939" s="5" t="n"/>
      <c r="F939" s="5" t="inlineStr">
        <is>
          <t>https://v.douyin.com/SIzTuO0wgz0/</t>
        </is>
      </c>
      <c r="G939" s="5" t="inlineStr">
        <is>
          <t>0003A2</t>
        </is>
      </c>
      <c r="H939" s="5" t="inlineStr">
        <is>
          <t>健身穿搭</t>
        </is>
      </c>
      <c r="I939" s="5" t="n">
        <v>176.75</v>
      </c>
      <c r="J939" s="5" t="n"/>
      <c r="K939" s="5" t="n"/>
      <c r="L939" s="5" t="n">
        <v>8900</v>
      </c>
      <c r="M939" s="5" t="n">
        <v>541</v>
      </c>
      <c r="N939" s="5" t="n">
        <v>76</v>
      </c>
      <c r="O939" s="5" t="n">
        <v>6</v>
      </c>
      <c r="P939" s="8">
        <f>IF(AND(M1067&lt;&gt;"",M1067&gt;0),M1067+N1067+O1067,"")</f>
        <v/>
      </c>
      <c r="Q939" s="11">
        <f>IF(AND(L1067&lt;&gt;"",L1067&gt;0,P1067&lt;&gt;""),P1067/L1067,"")</f>
        <v/>
      </c>
      <c r="R939" s="16">
        <f>IF(AND(P1067&lt;&gt;"",P1067&gt;0),(I1067+J1067+K1067)/P1067,"")</f>
        <v/>
      </c>
    </row>
    <row r="940" ht="27" customHeight="1">
      <c r="A940" s="5" t="inlineStr">
        <is>
          <t>2026-06-05</t>
        </is>
      </c>
      <c r="B940" s="5" t="inlineStr">
        <is>
          <t>23周</t>
        </is>
      </c>
      <c r="C940" s="5" t="inlineStr">
        <is>
          <t>抖音</t>
        </is>
      </c>
      <c r="D940" s="5" t="n"/>
      <c r="E940" s="5" t="n"/>
      <c r="F940" s="5" t="inlineStr">
        <is>
          <t>https://v.douyin.com/Cqdo42VTfA4/</t>
        </is>
      </c>
      <c r="G940" s="5" t="inlineStr">
        <is>
          <t>489</t>
        </is>
      </c>
      <c r="H940" s="5" t="inlineStr">
        <is>
          <t>陈奕恒</t>
        </is>
      </c>
      <c r="I940" s="5" t="n">
        <v>49.25</v>
      </c>
      <c r="J940" s="5" t="n"/>
      <c r="K940" s="5" t="n"/>
      <c r="L940" s="5" t="n">
        <v>27000</v>
      </c>
      <c r="M940" s="5" t="n">
        <v>3091</v>
      </c>
      <c r="N940" s="5" t="n">
        <v>139</v>
      </c>
      <c r="O940" s="5" t="n">
        <v>72</v>
      </c>
      <c r="P940" s="8">
        <f>IF(AND(M1068&lt;&gt;"",M1068&gt;0),M1068+N1068+O1068,"")</f>
        <v/>
      </c>
      <c r="Q940" s="11">
        <f>IF(AND(L1068&lt;&gt;"",L1068&gt;0,P1068&lt;&gt;""),P1068/L1068,"")</f>
        <v/>
      </c>
      <c r="R940" s="16">
        <f>IF(AND(P1068&lt;&gt;"",P1068&gt;0),(I1068+J1068+K1068)/P1068,"")</f>
        <v/>
      </c>
    </row>
    <row r="941" ht="27" customHeight="1">
      <c r="A941" s="5" t="inlineStr">
        <is>
          <t>2026-06-05</t>
        </is>
      </c>
      <c r="B941" s="5" t="inlineStr">
        <is>
          <t>23周</t>
        </is>
      </c>
      <c r="C941" s="5" t="inlineStr">
        <is>
          <t>抖音</t>
        </is>
      </c>
      <c r="D941" s="5" t="n"/>
      <c r="E941" s="5" t="n"/>
      <c r="F941" s="5" t="inlineStr">
        <is>
          <t>https://v.douyin.com/VTHLzZqNVEE/ :</t>
        </is>
      </c>
      <c r="G941" s="5" t="inlineStr">
        <is>
          <t>489</t>
        </is>
      </c>
      <c r="H941" s="5" t="inlineStr">
        <is>
          <t>马嘉祺</t>
        </is>
      </c>
      <c r="I941" s="5" t="n">
        <v>49.25</v>
      </c>
      <c r="J941" s="5" t="n"/>
      <c r="K941" s="5" t="n"/>
      <c r="L941" s="5" t="n">
        <v>3564</v>
      </c>
      <c r="M941" s="5" t="n">
        <v>481</v>
      </c>
      <c r="N941" s="5" t="n">
        <v>12</v>
      </c>
      <c r="O941" s="5" t="n">
        <v>30</v>
      </c>
      <c r="P941" s="8">
        <f>IF(AND(M1069&lt;&gt;"",M1069&gt;0),M1069+N1069+O1069,"")</f>
        <v/>
      </c>
      <c r="Q941" s="11">
        <f>IF(AND(L1069&lt;&gt;"",L1069&gt;0,P1069&lt;&gt;""),P1069/L1069,"")</f>
        <v/>
      </c>
      <c r="R941" s="16">
        <f>IF(AND(P1069&lt;&gt;"",P1069&gt;0),(I1069+J1069+K1069)/P1069,"")</f>
        <v/>
      </c>
    </row>
    <row r="942" ht="27" customHeight="1">
      <c r="A942" s="5" t="inlineStr">
        <is>
          <t>2026-06-05</t>
        </is>
      </c>
      <c r="B942" s="5" t="inlineStr">
        <is>
          <t>23周</t>
        </is>
      </c>
      <c r="C942" s="5" t="inlineStr">
        <is>
          <t>抖音</t>
        </is>
      </c>
      <c r="D942" s="5" t="n"/>
      <c r="E942" s="5" t="n"/>
      <c r="F942" s="5" t="inlineStr">
        <is>
          <t>https://v.douyin.com/4PYChREnInM/</t>
        </is>
      </c>
      <c r="G942" s="5" t="inlineStr">
        <is>
          <t>489</t>
        </is>
      </c>
      <c r="H942" s="5" t="inlineStr">
        <is>
          <t>马嘉祺</t>
        </is>
      </c>
      <c r="I942" s="5" t="n">
        <v>49.25</v>
      </c>
      <c r="J942" s="5" t="n"/>
      <c r="K942" s="5" t="n"/>
      <c r="L942" s="5" t="n">
        <v>3348</v>
      </c>
      <c r="M942" s="5" t="n">
        <v>346</v>
      </c>
      <c r="N942" s="5" t="n">
        <v>15</v>
      </c>
      <c r="O942" s="5" t="n">
        <v>10</v>
      </c>
      <c r="P942" s="8">
        <f>IF(AND(M1070&lt;&gt;"",M1070&gt;0),M1070+N1070+O1070,"")</f>
        <v/>
      </c>
      <c r="Q942" s="11">
        <f>IF(AND(L1070&lt;&gt;"",L1070&gt;0,P1070&lt;&gt;""),P1070/L1070,"")</f>
        <v/>
      </c>
      <c r="R942" s="16">
        <f>IF(AND(P1070&lt;&gt;"",P1070&gt;0),(I1070+J1070+K1070)/P1070,"")</f>
        <v/>
      </c>
    </row>
    <row r="943" ht="81" customHeight="1">
      <c r="A943" s="5" t="inlineStr">
        <is>
          <t>2026-06-05</t>
        </is>
      </c>
      <c r="B943" s="5" t="inlineStr">
        <is>
          <t>23周</t>
        </is>
      </c>
      <c r="C943" s="5" t="inlineStr">
        <is>
          <t>抖音</t>
        </is>
      </c>
      <c r="D943" s="5" t="n"/>
      <c r="E943" s="5" t="n"/>
      <c r="F943" s="5" t="inlineStr">
        <is>
          <t>https://v.douyin.com/gq1e35YL3ss/</t>
        </is>
      </c>
      <c r="G943" s="5" t="inlineStr">
        <is>
          <t>489</t>
        </is>
      </c>
      <c r="H943" s="5" t="inlineStr">
        <is>
          <t>陈奕恒</t>
        </is>
      </c>
      <c r="I943" s="5" t="n">
        <v>24.625</v>
      </c>
      <c r="J943" s="5" t="n"/>
      <c r="K943" s="5" t="n"/>
      <c r="L943" s="5" t="n">
        <v>413</v>
      </c>
      <c r="M943" s="5" t="n">
        <v>78</v>
      </c>
      <c r="N943" s="5" t="n">
        <v>3</v>
      </c>
      <c r="O943" s="5" t="n">
        <v>11</v>
      </c>
      <c r="P943" s="8">
        <f>IF(AND(M1071&lt;&gt;"",M1071&gt;0),M1071+N1071+O1071,"")</f>
        <v/>
      </c>
      <c r="Q943" s="11">
        <f>IF(AND(L1071&lt;&gt;"",L1071&gt;0,P1071&lt;&gt;""),P1071/L1071,"")</f>
        <v/>
      </c>
      <c r="R943" s="16">
        <f>IF(AND(P1071&lt;&gt;"",P1071&gt;0),(I1071+J1071+K1071)/P1071,"")</f>
        <v/>
      </c>
    </row>
    <row r="944" ht="81" customHeight="1">
      <c r="A944" s="5" t="inlineStr">
        <is>
          <t>2026-06-05</t>
        </is>
      </c>
      <c r="B944" s="5" t="inlineStr">
        <is>
          <t>23周</t>
        </is>
      </c>
      <c r="C944" s="5" t="inlineStr">
        <is>
          <t>抖音</t>
        </is>
      </c>
      <c r="D944" s="5" t="n"/>
      <c r="E944" s="5" t="n"/>
      <c r="F944" s="5" t="inlineStr">
        <is>
          <t>https://v.douyin.com/R4XJZ475jHs/</t>
        </is>
      </c>
      <c r="G944" s="5" t="inlineStr">
        <is>
          <t>489</t>
        </is>
      </c>
      <c r="H944" s="5" t="inlineStr">
        <is>
          <t>陈奕恒</t>
        </is>
      </c>
      <c r="I944" s="5" t="n">
        <v>16.416</v>
      </c>
      <c r="J944" s="5" t="n"/>
      <c r="K944" s="5" t="n"/>
      <c r="L944" s="5" t="n">
        <v>2552</v>
      </c>
      <c r="M944" s="5" t="n">
        <v>349</v>
      </c>
      <c r="N944" s="5" t="n">
        <v>10</v>
      </c>
      <c r="O944" s="5" t="n">
        <v>93</v>
      </c>
      <c r="P944" s="8">
        <f>IF(AND(M1072&lt;&gt;"",M1072&gt;0),M1072+N1072+O1072,"")</f>
        <v/>
      </c>
      <c r="Q944" s="11">
        <f>IF(AND(L1072&lt;&gt;"",L1072&gt;0,P1072&lt;&gt;""),P1072/L1072,"")</f>
        <v/>
      </c>
      <c r="R944" s="16">
        <f>IF(AND(P1072&lt;&gt;"",P1072&gt;0),(I1072+J1072+K1072)/P1072,"")</f>
        <v/>
      </c>
    </row>
    <row r="945" ht="67.5" customHeight="1">
      <c r="A945" s="5" t="inlineStr">
        <is>
          <t>2026-06-05</t>
        </is>
      </c>
      <c r="B945" s="5" t="inlineStr">
        <is>
          <t>23周</t>
        </is>
      </c>
      <c r="C945" s="5" t="inlineStr">
        <is>
          <t>抖音</t>
        </is>
      </c>
      <c r="D945" s="5" t="n"/>
      <c r="E945" s="5" t="n"/>
      <c r="F945" s="5" t="inlineStr">
        <is>
          <t>https://v.douyin.com/TdijuppaMWc/</t>
        </is>
      </c>
      <c r="G945" s="5" t="inlineStr">
        <is>
          <t>489</t>
        </is>
      </c>
      <c r="H945" s="5" t="inlineStr">
        <is>
          <t>赵露思</t>
        </is>
      </c>
      <c r="I945" s="5" t="n">
        <v>24.625</v>
      </c>
      <c r="J945" s="5" t="n"/>
      <c r="K945" s="5" t="n"/>
      <c r="L945" s="5" t="n">
        <v>1373</v>
      </c>
      <c r="M945" s="5" t="n">
        <v>98</v>
      </c>
      <c r="N945" s="5" t="n">
        <v>3</v>
      </c>
      <c r="O945" s="5" t="n">
        <v>5</v>
      </c>
      <c r="P945" s="8">
        <f>IF(AND(M1073&lt;&gt;"",M1073&gt;0),M1073+N1073+O1073,"")</f>
        <v/>
      </c>
      <c r="Q945" s="11">
        <f>IF(AND(L1073&lt;&gt;"",L1073&gt;0,P1073&lt;&gt;""),P1073/L1073,"")</f>
        <v/>
      </c>
      <c r="R945" s="16">
        <f>IF(AND(P1073&lt;&gt;"",P1073&gt;0),(I1073+J1073+K1073)/P1073,"")</f>
        <v/>
      </c>
    </row>
    <row r="946" ht="27" customHeight="1">
      <c r="A946" s="5" t="inlineStr">
        <is>
          <t>2026-06-05</t>
        </is>
      </c>
      <c r="B946" s="5" t="inlineStr">
        <is>
          <t>23周</t>
        </is>
      </c>
      <c r="C946" s="5" t="inlineStr">
        <is>
          <t>抖音</t>
        </is>
      </c>
      <c r="D946" s="5" t="n"/>
      <c r="E946" s="5" t="n"/>
      <c r="F946" s="5" t="inlineStr">
        <is>
          <t>https://www.douyin.com/video/7647902494702752434</t>
        </is>
      </c>
      <c r="G946" s="5" t="inlineStr">
        <is>
          <t>0003A2</t>
        </is>
      </c>
      <c r="H946" s="5" t="inlineStr">
        <is>
          <t>口播</t>
        </is>
      </c>
      <c r="I946" s="5" t="n">
        <v>281.125</v>
      </c>
      <c r="J946" s="5" t="n"/>
      <c r="K946" s="5" t="n"/>
      <c r="L946" s="5" t="n">
        <v>8549</v>
      </c>
      <c r="M946" s="5" t="n">
        <v>223</v>
      </c>
      <c r="N946" s="5" t="n">
        <v>17</v>
      </c>
      <c r="O946" s="5" t="n">
        <v>12</v>
      </c>
      <c r="P946" s="8">
        <f>IF(AND(M1074&lt;&gt;"",M1074&gt;0),M1074+N1074+O1074,"")</f>
        <v/>
      </c>
      <c r="Q946" s="11">
        <f>IF(AND(L1074&lt;&gt;"",L1074&gt;0,P1074&lt;&gt;""),P1074/L1074,"")</f>
        <v/>
      </c>
      <c r="R946" s="16">
        <f>IF(AND(P1074&lt;&gt;"",P1074&gt;0),(I1074+J1074+K1074)/P1074,"")</f>
        <v/>
      </c>
    </row>
    <row r="947" ht="27" customHeight="1">
      <c r="A947" s="5" t="inlineStr">
        <is>
          <t>2026-06-05</t>
        </is>
      </c>
      <c r="B947" s="5" t="inlineStr">
        <is>
          <t>23周</t>
        </is>
      </c>
      <c r="C947" s="5" t="inlineStr">
        <is>
          <t>抖音</t>
        </is>
      </c>
      <c r="D947" s="5" t="n"/>
      <c r="E947" s="5" t="n"/>
      <c r="F947" s="5" t="inlineStr">
        <is>
          <t>https://www.douyin.com/user/MS4wLjABAAAAGP6y7z7luFQ6FXa8Ua9-Z7iNd889DidIbeVSJ0-lDUi8XOWSTXUSBYd86XbkGpEa?from_tab_name=main&amp;modal_id=7645636436565361529&amp;vid=7645636436565361529</t>
        </is>
      </c>
      <c r="G947" s="5" t="inlineStr">
        <is>
          <t>489</t>
        </is>
      </c>
      <c r="H947" s="5" t="inlineStr">
        <is>
          <t>赵露思</t>
        </is>
      </c>
      <c r="I947" s="5" t="n">
        <v>49.25</v>
      </c>
      <c r="J947" s="5" t="n"/>
      <c r="K947" s="5" t="n"/>
      <c r="L947" s="5" t="n">
        <v>7624</v>
      </c>
      <c r="M947" s="5" t="n">
        <v>425</v>
      </c>
      <c r="N947" s="5" t="n">
        <v>18</v>
      </c>
      <c r="O947" s="5" t="n">
        <v>48</v>
      </c>
      <c r="P947" s="8">
        <f>IF(AND(M1075&lt;&gt;"",M1075&gt;0),M1075+N1075+O1075,"")</f>
        <v/>
      </c>
      <c r="Q947" s="11">
        <f>IF(AND(L1075&lt;&gt;"",L1075&gt;0,P1075&lt;&gt;""),P1075/L1075,"")</f>
        <v/>
      </c>
      <c r="R947" s="16">
        <f>IF(AND(P1075&lt;&gt;"",P1075&gt;0),(I1075+J1075+K1075)/P1075,"")</f>
        <v/>
      </c>
    </row>
    <row r="948" ht="27" customHeight="1">
      <c r="A948" s="5" t="inlineStr">
        <is>
          <t>2026-06-05</t>
        </is>
      </c>
      <c r="B948" s="5" t="inlineStr">
        <is>
          <t>23周</t>
        </is>
      </c>
      <c r="C948" s="5" t="inlineStr">
        <is>
          <t>快手</t>
        </is>
      </c>
      <c r="D948" s="5" t="n"/>
      <c r="E948" s="5" t="n"/>
      <c r="F948" s="5" t="inlineStr">
        <is>
          <t>https://v.kuaishou.com/nN7X6X0n</t>
        </is>
      </c>
      <c r="G948" s="5" t="inlineStr">
        <is>
          <t>489</t>
        </is>
      </c>
      <c r="H948" s="5" t="inlineStr">
        <is>
          <t>陈奕恒</t>
        </is>
      </c>
      <c r="I948" s="5" t="n">
        <v>24.625</v>
      </c>
      <c r="J948" s="5" t="n"/>
      <c r="K948" s="5" t="n"/>
      <c r="L948" s="5" t="n">
        <v>377</v>
      </c>
      <c r="M948" s="5" t="n">
        <v>66</v>
      </c>
      <c r="N948" s="5" t="n">
        <v>3</v>
      </c>
      <c r="O948" s="5" t="n">
        <v>7</v>
      </c>
      <c r="P948" s="8">
        <f>IF(AND(M1076&lt;&gt;"",M1076&gt;0),M1076+N1076+O1076,"")</f>
        <v/>
      </c>
      <c r="Q948" s="11">
        <f>IF(AND(L1076&lt;&gt;"",L1076&gt;0,P1076&lt;&gt;""),P1076/L1076,"")</f>
        <v/>
      </c>
      <c r="R948" s="16">
        <f>IF(AND(P1076&lt;&gt;"",P1076&gt;0),(I1076+J1076+K1076)/P1076,"")</f>
        <v/>
      </c>
    </row>
    <row r="949" ht="27" customHeight="1">
      <c r="A949" s="5" t="inlineStr">
        <is>
          <t>2026-06-05</t>
        </is>
      </c>
      <c r="B949" s="5" t="inlineStr">
        <is>
          <t>23周</t>
        </is>
      </c>
      <c r="C949" s="5" t="inlineStr">
        <is>
          <t>抖音</t>
        </is>
      </c>
      <c r="D949" s="5" t="n"/>
      <c r="E949" s="5" t="n"/>
      <c r="F949" s="5" t="inlineStr">
        <is>
          <t>https://v.douyin.com/w4dF84dMLz4/</t>
        </is>
      </c>
      <c r="G949" s="5" t="inlineStr">
        <is>
          <t>0003A2</t>
        </is>
      </c>
      <c r="H949" s="5" t="inlineStr">
        <is>
          <t>群像穿搭</t>
        </is>
      </c>
      <c r="I949" s="5" t="n">
        <v>94.23999999999999</v>
      </c>
      <c r="J949" s="5" t="n"/>
      <c r="K949" s="5" t="n"/>
      <c r="L949" s="5" t="n">
        <v>27000</v>
      </c>
      <c r="M949" s="5" t="n">
        <v>215</v>
      </c>
      <c r="N949" s="5" t="n">
        <v>42</v>
      </c>
      <c r="O949" s="5" t="n">
        <v>21</v>
      </c>
      <c r="P949" s="8">
        <f>IF(AND(M1077&lt;&gt;"",M1077&gt;0),M1077+N1077+O1077,"")</f>
        <v/>
      </c>
      <c r="Q949" s="11">
        <f>IF(AND(L1077&lt;&gt;"",L1077&gt;0,P1077&lt;&gt;""),P1077/L1077,"")</f>
        <v/>
      </c>
      <c r="R949" s="16">
        <f>IF(AND(P1077&lt;&gt;"",P1077&gt;0),(I1077+J1077+K1077)/P1077,"")</f>
        <v/>
      </c>
    </row>
    <row r="950" ht="27" customHeight="1">
      <c r="A950" s="5" t="inlineStr">
        <is>
          <t>2026-06-05</t>
        </is>
      </c>
      <c r="B950" s="5" t="inlineStr">
        <is>
          <t>23周</t>
        </is>
      </c>
      <c r="C950" s="5" t="inlineStr">
        <is>
          <t>抖音</t>
        </is>
      </c>
      <c r="D950" s="5" t="n"/>
      <c r="E950" s="5" t="n"/>
      <c r="F950" s="5" t="inlineStr">
        <is>
          <t>https://v.douyin.com/hgQAtCCjBno/</t>
        </is>
      </c>
      <c r="G950" s="5" t="inlineStr">
        <is>
          <t>489</t>
        </is>
      </c>
      <c r="H950" s="5" t="inlineStr">
        <is>
          <t>赵露思</t>
        </is>
      </c>
      <c r="I950" s="5" t="n">
        <v>24.625</v>
      </c>
      <c r="J950" s="5" t="n"/>
      <c r="K950" s="5" t="n"/>
      <c r="L950" s="5" t="n">
        <v>1560</v>
      </c>
      <c r="M950" s="5" t="n">
        <v>183</v>
      </c>
      <c r="N950" s="5" t="n">
        <v>2</v>
      </c>
      <c r="O950" s="5" t="n">
        <v>5</v>
      </c>
      <c r="P950" s="8">
        <f>IF(AND(M1078&lt;&gt;"",M1078&gt;0),M1078+N1078+O1078,"")</f>
        <v/>
      </c>
      <c r="Q950" s="11">
        <f>IF(AND(L1078&lt;&gt;"",L1078&gt;0,P1078&lt;&gt;""),P1078/L1078,"")</f>
        <v/>
      </c>
      <c r="R950" s="16">
        <f>IF(AND(P1078&lt;&gt;"",P1078&gt;0),(I1078+J1078+K1078)/P1078,"")</f>
        <v/>
      </c>
    </row>
    <row r="951" ht="27" customHeight="1">
      <c r="A951" s="5" t="inlineStr">
        <is>
          <t>2026-06-05</t>
        </is>
      </c>
      <c r="B951" s="5" t="inlineStr">
        <is>
          <t>23周</t>
        </is>
      </c>
      <c r="C951" s="5" t="inlineStr">
        <is>
          <t>快手</t>
        </is>
      </c>
      <c r="D951" s="5" t="n"/>
      <c r="E951" s="5" t="n"/>
      <c r="F951" s="5" t="inlineStr">
        <is>
          <t>https://v.kuaishou.com/KAGAovzy</t>
        </is>
      </c>
      <c r="G951" s="5" t="inlineStr">
        <is>
          <t>489</t>
        </is>
      </c>
      <c r="H951" s="5" t="inlineStr">
        <is>
          <t>陈奕恒</t>
        </is>
      </c>
      <c r="I951" s="5" t="n">
        <v>16.416</v>
      </c>
      <c r="J951" s="5" t="n"/>
      <c r="K951" s="5" t="n"/>
      <c r="L951" s="5" t="n">
        <v>4138</v>
      </c>
      <c r="M951" s="5" t="n">
        <v>46</v>
      </c>
      <c r="N951" s="5" t="n">
        <v>0</v>
      </c>
      <c r="O951" s="5" t="n">
        <v>1</v>
      </c>
      <c r="P951" s="8">
        <f>IF(AND(M1079&lt;&gt;"",M1079&gt;0),M1079+N1079+O1079,"")</f>
        <v/>
      </c>
      <c r="Q951" s="11">
        <f>IF(AND(L1079&lt;&gt;"",L1079&gt;0,P1079&lt;&gt;""),P1079/L1079,"")</f>
        <v/>
      </c>
      <c r="R951" s="16">
        <f>IF(AND(P1079&lt;&gt;"",P1079&gt;0),(I1079+J1079+K1079)/P1079,"")</f>
        <v/>
      </c>
    </row>
    <row r="952">
      <c r="A952" s="5" t="inlineStr">
        <is>
          <t>2026-06-05</t>
        </is>
      </c>
      <c r="B952" s="5" t="inlineStr">
        <is>
          <t>23周</t>
        </is>
      </c>
      <c r="C952" s="5" t="inlineStr">
        <is>
          <t>抖音</t>
        </is>
      </c>
      <c r="D952" s="5" t="n"/>
      <c r="E952" s="5" t="n"/>
      <c r="F952" s="5" t="inlineStr">
        <is>
          <t>https://www.douyin.com/user/self?from_tab_name=main&amp;modal_id=7647509829330263202&amp;showTab=like</t>
        </is>
      </c>
      <c r="G952" s="5" t="inlineStr">
        <is>
          <t>459</t>
        </is>
      </c>
      <c r="H952" s="5" t="inlineStr">
        <is>
          <t>口播</t>
        </is>
      </c>
      <c r="I952" s="5" t="n">
        <v>170.1</v>
      </c>
      <c r="J952" s="5" t="n"/>
      <c r="K952" s="5" t="n"/>
      <c r="L952" s="5" t="n">
        <v>3600</v>
      </c>
      <c r="M952" s="5" t="n">
        <v>50</v>
      </c>
      <c r="N952" s="5" t="n">
        <v>7</v>
      </c>
      <c r="O952" s="5" t="n">
        <v>6</v>
      </c>
      <c r="P952" s="8">
        <f>IF(AND(M1080&lt;&gt;"",M1080&gt;0),M1080+N1080+O1080,"")</f>
        <v/>
      </c>
      <c r="Q952" s="11">
        <f>IF(AND(L1080&lt;&gt;"",L1080&gt;0,P1080&lt;&gt;""),P1080/L1080,"")</f>
        <v/>
      </c>
      <c r="R952" s="16">
        <f>IF(AND(P1080&lt;&gt;"",P1080&gt;0),(I1080+J1080+K1080)/P1080,"")</f>
        <v/>
      </c>
    </row>
    <row r="953" ht="81" customHeight="1">
      <c r="A953" s="5" t="inlineStr">
        <is>
          <t>2026-06-05</t>
        </is>
      </c>
      <c r="B953" s="5" t="inlineStr">
        <is>
          <t>23周</t>
        </is>
      </c>
      <c r="C953" s="5" t="inlineStr">
        <is>
          <t>快手</t>
        </is>
      </c>
      <c r="D953" s="5" t="n"/>
      <c r="E953" s="5" t="n"/>
      <c r="F953" s="5" t="inlineStr">
        <is>
          <t>https://v.kuaishou.com/Kf9sbPgc</t>
        </is>
      </c>
      <c r="G953" s="5" t="inlineStr">
        <is>
          <t>489</t>
        </is>
      </c>
      <c r="H953" s="5" t="inlineStr">
        <is>
          <t>赵露思</t>
        </is>
      </c>
      <c r="I953" s="5" t="n">
        <v>24.625</v>
      </c>
      <c r="J953" s="5" t="n"/>
      <c r="K953" s="5" t="n"/>
      <c r="L953" s="5" t="n">
        <v>200</v>
      </c>
      <c r="M953" s="5" t="n">
        <v>20</v>
      </c>
      <c r="N953" s="5" t="n">
        <v>0</v>
      </c>
      <c r="O953" s="5" t="n">
        <v>2</v>
      </c>
      <c r="P953" s="8">
        <f>IF(AND(M1081&lt;&gt;"",M1081&gt;0),M1081+N1081+O1081,"")</f>
        <v/>
      </c>
      <c r="Q953" s="11">
        <f>IF(AND(L1081&lt;&gt;"",L1081&gt;0,P1081&lt;&gt;""),P1081/L1081,"")</f>
        <v/>
      </c>
      <c r="R953" s="16">
        <f>IF(AND(P1081&lt;&gt;"",P1081&gt;0),(I1081+J1081+K1081)/P1081,"")</f>
        <v/>
      </c>
    </row>
    <row r="954" ht="81" customHeight="1">
      <c r="A954" s="5" t="inlineStr">
        <is>
          <t>2026-06-05</t>
        </is>
      </c>
      <c r="B954" s="5" t="inlineStr">
        <is>
          <t>23周</t>
        </is>
      </c>
      <c r="C954" s="5" t="inlineStr">
        <is>
          <t>快手</t>
        </is>
      </c>
      <c r="D954" s="5" t="n"/>
      <c r="E954" s="5" t="n"/>
      <c r="F954" s="5" t="inlineStr">
        <is>
          <t>https://estplca.m.kuai-fei.com/fw/photo/3x4uux73w6je7ng?cc=share_wxms&amp;followRefer=151&amp;shareMethod=VIDEO&amp;docId=10&amp;kpn=NEBULA&amp;subBiz=BROWSE_SLIDE_PHOTO&amp;photoId=3x4uux73w6je7ng&amp;shareId=18990846759382&amp;shareToken=X98ufssFu7t08yJ&amp;shareResourceType=PHOTO_SELF&amp;userId=3x24zuyrig589as&amp;shareType=2&amp;et=1_i%2F2005915447518203810_p0&amp;shareMode=APP&amp;efid=3x24zuyrig589as&amp;originShareId=18990846759382&amp;appType=2&amp;inviteCode=zjy8ejn&amp;shareObjectId=5205879892322259435&amp;shareUrlOpened=0&amp;timestamp=1780901193165</t>
        </is>
      </c>
      <c r="G954" s="5" t="inlineStr">
        <is>
          <t>489</t>
        </is>
      </c>
      <c r="H954" s="5" t="inlineStr">
        <is>
          <t>赵露思</t>
        </is>
      </c>
      <c r="I954" s="5" t="n">
        <v>24.625</v>
      </c>
      <c r="J954" s="5" t="n"/>
      <c r="K954" s="5" t="n"/>
      <c r="L954" s="5" t="n">
        <v>11000</v>
      </c>
      <c r="M954" s="5" t="n">
        <v>613</v>
      </c>
      <c r="N954" s="5" t="n">
        <v>6</v>
      </c>
      <c r="O954" s="5" t="n">
        <v>58</v>
      </c>
      <c r="P954" s="8">
        <f>IF(AND(M1082&lt;&gt;"",M1082&gt;0),M1082+N1082+O1082,"")</f>
        <v/>
      </c>
      <c r="Q954" s="11">
        <f>IF(AND(L1082&lt;&gt;"",L1082&gt;0,P1082&lt;&gt;""),P1082/L1082,"")</f>
        <v/>
      </c>
      <c r="R954" s="16">
        <f>IF(AND(P1082&lt;&gt;"",P1082&gt;0),(I1082+J1082+K1082)/P1082,"")</f>
        <v/>
      </c>
    </row>
    <row r="955" ht="81" customHeight="1">
      <c r="A955" s="5" t="inlineStr">
        <is>
          <t>2026-06-05</t>
        </is>
      </c>
      <c r="B955" s="5" t="inlineStr">
        <is>
          <t>23周</t>
        </is>
      </c>
      <c r="C955" s="5" t="inlineStr">
        <is>
          <t>快手</t>
        </is>
      </c>
      <c r="D955" s="5" t="n"/>
      <c r="E955" s="5" t="n"/>
      <c r="F955" s="5" t="inlineStr">
        <is>
          <t>https://v.kuaishou.com/Jv2Hn2nN</t>
        </is>
      </c>
      <c r="G955" s="5" t="inlineStr">
        <is>
          <t>489</t>
        </is>
      </c>
      <c r="H955" s="5" t="inlineStr">
        <is>
          <t>陈奕恒</t>
        </is>
      </c>
      <c r="I955" s="5" t="n">
        <v>24.625</v>
      </c>
      <c r="J955" s="5" t="n"/>
      <c r="K955" s="5" t="n"/>
      <c r="L955" s="5" t="n">
        <v>11000</v>
      </c>
      <c r="M955" s="5" t="n">
        <v>77</v>
      </c>
      <c r="N955" s="5" t="n">
        <v>3</v>
      </c>
      <c r="O955" s="5" t="n">
        <v>7</v>
      </c>
      <c r="P955" s="8">
        <f>IF(AND(M1083&lt;&gt;"",M1083&gt;0),M1083+N1083+O1083,"")</f>
        <v/>
      </c>
      <c r="Q955" s="11">
        <f>IF(AND(L1083&lt;&gt;"",L1083&gt;0,P1083&lt;&gt;""),P1083/L1083,"")</f>
        <v/>
      </c>
      <c r="R955" s="16">
        <f>IF(AND(P1083&lt;&gt;"",P1083&gt;0),(I1083+J1083+K1083)/P1083,"")</f>
        <v/>
      </c>
    </row>
    <row r="956" ht="81" customHeight="1">
      <c r="A956" s="5" t="inlineStr">
        <is>
          <t>2026-06-05</t>
        </is>
      </c>
      <c r="B956" s="5" t="inlineStr">
        <is>
          <t>23周</t>
        </is>
      </c>
      <c r="C956" s="5" t="inlineStr">
        <is>
          <t>小红书</t>
        </is>
      </c>
      <c r="D956" s="5" t="n"/>
      <c r="E956" s="5" t="n"/>
      <c r="F956" s="5" t="inlineStr">
        <is>
          <t>https://www.xiaohongshu.com/discovery/item/6a229876000000003701da44?xsec_token=CBi5LI4sXUbahqNIp7mu-oi8VdN9F8JnlXGvNf5RvOuH0=&amp;xsec_source=app_share&amp;type=video</t>
        </is>
      </c>
      <c r="G956" s="5" t="inlineStr">
        <is>
          <t>0003A2</t>
        </is>
      </c>
      <c r="H956" s="5" t="inlineStr">
        <is>
          <t>通勤穿搭</t>
        </is>
      </c>
      <c r="I956" s="5" t="n">
        <v>198.75</v>
      </c>
      <c r="J956" s="5" t="n"/>
      <c r="K956" s="5" t="n"/>
      <c r="L956" s="5" t="n">
        <v>19340</v>
      </c>
      <c r="M956" s="5" t="n">
        <v>1335</v>
      </c>
      <c r="N956" s="5" t="n">
        <v>248</v>
      </c>
      <c r="O956" s="5" t="n">
        <v>88</v>
      </c>
      <c r="P956" s="8">
        <f>IF(AND(M1084&lt;&gt;"",M1084&gt;0),M1084+N1084+O1084,"")</f>
        <v/>
      </c>
      <c r="Q956" s="11">
        <f>IF(AND(L1084&lt;&gt;"",L1084&gt;0,P1084&lt;&gt;""),P1084/L1084,"")</f>
        <v/>
      </c>
      <c r="R956" s="16">
        <f>IF(AND(P1084&lt;&gt;"",P1084&gt;0),(I1084+J1084+K1084)/P1084,"")</f>
        <v/>
      </c>
    </row>
    <row r="957" ht="94.5" customHeight="1">
      <c r="A957" s="5" t="inlineStr">
        <is>
          <t>2026-06-05</t>
        </is>
      </c>
      <c r="B957" s="5" t="inlineStr">
        <is>
          <t>23周</t>
        </is>
      </c>
      <c r="C957" s="5" t="inlineStr">
        <is>
          <t>小红书</t>
        </is>
      </c>
      <c r="D957" s="5" t="n"/>
      <c r="E957" s="5" t="n"/>
      <c r="F957" s="5" t="inlineStr">
        <is>
          <t>https://www.xiaohongshu.com/discovery/item/6a2298cf00000000080011eb?xsec_token=CBi5LI4sXUbahqNIp7mu-oi5ybrg0CCd_f26qWLYVTqXc=&amp;xsec_source=app_share</t>
        </is>
      </c>
      <c r="G957" s="5" t="inlineStr">
        <is>
          <t>489</t>
        </is>
      </c>
      <c r="H957" s="5" t="inlineStr">
        <is>
          <t>陈奕恒</t>
        </is>
      </c>
      <c r="I957" s="5" t="n">
        <v>16.416</v>
      </c>
      <c r="J957" s="5" t="n"/>
      <c r="K957" s="5" t="n"/>
      <c r="L957" s="5" t="n">
        <v>1165</v>
      </c>
      <c r="M957" s="5" t="n">
        <v>81</v>
      </c>
      <c r="N957" s="5" t="n">
        <v>12</v>
      </c>
      <c r="O957" s="5" t="n">
        <v>7</v>
      </c>
      <c r="P957" s="8">
        <f>IF(AND(M1085&lt;&gt;"",M1085&gt;0),M1085+N1085+O1085,"")</f>
        <v/>
      </c>
      <c r="Q957" s="11">
        <f>IF(AND(L1085&lt;&gt;"",L1085&gt;0,P1085&lt;&gt;""),P1085/L1085,"")</f>
        <v/>
      </c>
      <c r="R957" s="16">
        <f>IF(AND(P1085&lt;&gt;"",P1085&gt;0),(I1085+J1085+K1085)/P1085,"")</f>
        <v/>
      </c>
    </row>
    <row r="958" ht="81" customHeight="1">
      <c r="A958" s="5" t="inlineStr">
        <is>
          <t>2026-06-05</t>
        </is>
      </c>
      <c r="B958" s="5" t="inlineStr">
        <is>
          <t>23周</t>
        </is>
      </c>
      <c r="C958" s="5" t="inlineStr">
        <is>
          <t>小红书</t>
        </is>
      </c>
      <c r="D958" s="5" t="n"/>
      <c r="E958" s="5" t="n"/>
      <c r="F958" s="5" t="inlineStr">
        <is>
          <t>https://www.xiaohongshu.com/discovery/item/6a22676c00000000360301ab?xsec_token=CBi5LI4sXUbahqNIp7mu-oi6gQ8D0YWlBMrXN70vJ7i_c=&amp;xsec_source=app_share</t>
        </is>
      </c>
      <c r="G958" s="5" t="inlineStr">
        <is>
          <t>489</t>
        </is>
      </c>
      <c r="H958" s="5" t="inlineStr">
        <is>
          <t>马嘉祺</t>
        </is>
      </c>
      <c r="I958" s="5" t="n">
        <v>24.625</v>
      </c>
      <c r="J958" s="5" t="n"/>
      <c r="K958" s="5" t="n"/>
      <c r="L958" s="5" t="n">
        <v>353</v>
      </c>
      <c r="M958" s="5" t="n">
        <v>16</v>
      </c>
      <c r="N958" s="5" t="n">
        <v>3</v>
      </c>
      <c r="O958" s="5" t="n">
        <v>2</v>
      </c>
      <c r="P958" s="8">
        <f>IF(AND(M1086&lt;&gt;"",M1086&gt;0),M1086+N1086+O1086,"")</f>
        <v/>
      </c>
      <c r="Q958" s="11">
        <f>IF(AND(L1086&lt;&gt;"",L1086&gt;0,P1086&lt;&gt;""),P1086/L1086,"")</f>
        <v/>
      </c>
      <c r="R958" s="16">
        <f>IF(AND(P1086&lt;&gt;"",P1086&gt;0),(I1086+J1086+K1086)/P1086,"")</f>
        <v/>
      </c>
    </row>
    <row r="959" ht="81" customHeight="1">
      <c r="A959" s="5" t="inlineStr">
        <is>
          <t>2026-06-06</t>
        </is>
      </c>
      <c r="B959" s="5" t="inlineStr">
        <is>
          <t>23周</t>
        </is>
      </c>
      <c r="C959" s="5" t="inlineStr">
        <is>
          <t>抖音</t>
        </is>
      </c>
      <c r="D959" s="5" t="n"/>
      <c r="E959" s="5" t="n"/>
      <c r="F959" s="5" t="inlineStr">
        <is>
          <t>https://v.douyin.com/QKDCvB2Osow/ :2pm q@e.bn 05/20 ufb:/</t>
        </is>
      </c>
      <c r="G959" s="5" t="inlineStr">
        <is>
          <t>489</t>
        </is>
      </c>
      <c r="H959" s="5" t="inlineStr">
        <is>
          <t>赵露思</t>
        </is>
      </c>
      <c r="I959" s="5" t="n">
        <v>49.25</v>
      </c>
      <c r="J959" s="5" t="n"/>
      <c r="K959" s="5" t="n"/>
      <c r="L959" s="5" t="n">
        <v>1275</v>
      </c>
      <c r="M959" s="5" t="n">
        <v>57</v>
      </c>
      <c r="N959" s="5" t="n">
        <v>1</v>
      </c>
      <c r="O959" s="5" t="n">
        <v>10</v>
      </c>
      <c r="P959" s="8">
        <f>IF(AND(M1087&lt;&gt;"",M1087&gt;0),M1087+N1087+O1087,"")</f>
        <v/>
      </c>
      <c r="Q959" s="11">
        <f>IF(AND(L1087&lt;&gt;"",L1087&gt;0,P1087&lt;&gt;""),P1087/L1087,"")</f>
        <v/>
      </c>
      <c r="R959" s="16">
        <f>IF(AND(P1087&lt;&gt;"",P1087&gt;0),(I1087+J1087+K1087)/P1087,"")</f>
        <v/>
      </c>
    </row>
    <row r="960" ht="27" customHeight="1">
      <c r="A960" s="5" t="inlineStr">
        <is>
          <t>2026-06-06</t>
        </is>
      </c>
      <c r="B960" s="5" t="inlineStr">
        <is>
          <t>23周</t>
        </is>
      </c>
      <c r="C960" s="5" t="inlineStr">
        <is>
          <t>抖音</t>
        </is>
      </c>
      <c r="D960" s="5" t="n"/>
      <c r="E960" s="5" t="n"/>
      <c r="F960" s="5" t="inlineStr">
        <is>
          <t>https://v.douyin.com/L7DGF-0x0HA/</t>
        </is>
      </c>
      <c r="G960" s="5" t="inlineStr">
        <is>
          <t>489</t>
        </is>
      </c>
      <c r="H960" s="5" t="inlineStr">
        <is>
          <t>陈奕恒</t>
        </is>
      </c>
      <c r="I960" s="5" t="n">
        <v>24.625</v>
      </c>
      <c r="J960" s="5" t="n"/>
      <c r="K960" s="5" t="n"/>
      <c r="L960" s="5" t="n">
        <v>6900</v>
      </c>
      <c r="M960" s="5" t="n">
        <v>1267</v>
      </c>
      <c r="N960" s="5" t="n">
        <v>44</v>
      </c>
      <c r="O960" s="5" t="n">
        <v>82</v>
      </c>
      <c r="P960" s="8">
        <f>IF(AND(M1088&lt;&gt;"",M1088&gt;0),M1088+N1088+O1088,"")</f>
        <v/>
      </c>
      <c r="Q960" s="11">
        <f>IF(AND(L1088&lt;&gt;"",L1088&gt;0,P1088&lt;&gt;""),P1088/L1088,"")</f>
        <v/>
      </c>
      <c r="R960" s="16">
        <f>IF(AND(P1088&lt;&gt;"",P1088&gt;0),(I1088+J1088+K1088)/P1088,"")</f>
        <v/>
      </c>
    </row>
    <row r="961" ht="27" customHeight="1">
      <c r="A961" s="5" t="inlineStr">
        <is>
          <t>2026-06-06</t>
        </is>
      </c>
      <c r="B961" s="5" t="inlineStr">
        <is>
          <t>23周</t>
        </is>
      </c>
      <c r="C961" s="5" t="inlineStr">
        <is>
          <t>抖音</t>
        </is>
      </c>
      <c r="D961" s="5" t="n"/>
      <c r="E961" s="5" t="n"/>
      <c r="F961" s="5" t="inlineStr">
        <is>
          <t>https://www.douyin.com/user/self?from_tab_name=main&amp;modal_id=7648166841831873381&amp;showTab=like</t>
        </is>
      </c>
      <c r="G961" s="5" t="inlineStr">
        <is>
          <t>489</t>
        </is>
      </c>
      <c r="H961" s="5" t="inlineStr">
        <is>
          <t>陈奕恒</t>
        </is>
      </c>
      <c r="I961" s="5" t="n">
        <v>27.4</v>
      </c>
      <c r="J961" s="5" t="n"/>
      <c r="K961" s="5" t="n"/>
      <c r="L961" s="5" t="n">
        <v>7214</v>
      </c>
      <c r="M961" s="5" t="n">
        <v>756</v>
      </c>
      <c r="N961" s="5" t="n">
        <v>22</v>
      </c>
      <c r="O961" s="5" t="n">
        <v>15</v>
      </c>
      <c r="P961" s="8">
        <f>IF(AND(M1089&lt;&gt;"",M1089&gt;0),M1089+N1089+O1089,"")</f>
        <v/>
      </c>
      <c r="Q961" s="11">
        <f>IF(AND(L1089&lt;&gt;"",L1089&gt;0,P1089&lt;&gt;""),P1089/L1089,"")</f>
        <v/>
      </c>
      <c r="R961" s="16">
        <f>IF(AND(P1089&lt;&gt;"",P1089&gt;0),(I1089+J1089+K1089)/P1089,"")</f>
        <v/>
      </c>
    </row>
    <row r="962" ht="27" customHeight="1">
      <c r="A962" s="5" t="inlineStr">
        <is>
          <t>2026-06-06</t>
        </is>
      </c>
      <c r="B962" s="5" t="inlineStr">
        <is>
          <t>23周</t>
        </is>
      </c>
      <c r="C962" s="5" t="inlineStr">
        <is>
          <t>抖音</t>
        </is>
      </c>
      <c r="D962" s="5" t="n"/>
      <c r="E962" s="5" t="n"/>
      <c r="F962" s="5" t="inlineStr">
        <is>
          <t>https://www.douyin.com/user/MS4wLjABAAAAEMkCA3BcBLp0LQBeIV6qN4TL-1BMmEQshEck2WM1KFw?from_tab_name=main&amp;modal_id=7648225014239571301</t>
        </is>
      </c>
      <c r="G962" s="5" t="inlineStr">
        <is>
          <t>489</t>
        </is>
      </c>
      <c r="H962" s="5" t="inlineStr">
        <is>
          <t>马嘉祺</t>
        </is>
      </c>
      <c r="I962" s="5" t="n">
        <v>49.25</v>
      </c>
      <c r="J962" s="5" t="n"/>
      <c r="K962" s="5" t="n"/>
      <c r="L962" s="5" t="n">
        <v>592</v>
      </c>
      <c r="M962" s="5" t="n">
        <v>104</v>
      </c>
      <c r="N962" s="5" t="n">
        <v>2</v>
      </c>
      <c r="O962" s="5" t="n">
        <v>8</v>
      </c>
      <c r="P962" s="8">
        <f>IF(AND(M1090&lt;&gt;"",M1090&gt;0),M1090+N1090+O1090,"")</f>
        <v/>
      </c>
      <c r="Q962" s="11">
        <f>IF(AND(L1090&lt;&gt;"",L1090&gt;0,P1090&lt;&gt;""),P1090/L1090,"")</f>
        <v/>
      </c>
      <c r="R962" s="16">
        <f>IF(AND(P1090&lt;&gt;"",P1090&gt;0),(I1090+J1090+K1090)/P1090,"")</f>
        <v/>
      </c>
    </row>
    <row r="963" ht="54" customHeight="1">
      <c r="A963" s="5" t="inlineStr">
        <is>
          <t>2026-06-06</t>
        </is>
      </c>
      <c r="B963" s="5" t="inlineStr">
        <is>
          <t>23周</t>
        </is>
      </c>
      <c r="C963" s="5" t="inlineStr">
        <is>
          <t>抖音</t>
        </is>
      </c>
      <c r="D963" s="5" t="n"/>
      <c r="E963" s="5" t="n"/>
      <c r="F963" s="5" t="inlineStr">
        <is>
          <t>https://v.douyin.com/LVqTF2A4iqg/ u@s.Eu</t>
        </is>
      </c>
      <c r="G963" s="5" t="inlineStr">
        <is>
          <t>459</t>
        </is>
      </c>
      <c r="H963" s="5" t="inlineStr">
        <is>
          <t>穿搭</t>
        </is>
      </c>
      <c r="I963" s="5" t="n">
        <v>20.045</v>
      </c>
      <c r="J963" s="5" t="n"/>
      <c r="K963" s="5" t="n"/>
      <c r="L963" s="5" t="n">
        <v>417000</v>
      </c>
      <c r="M963" s="5" t="n">
        <v>8496</v>
      </c>
      <c r="N963" s="5" t="n">
        <v>1758</v>
      </c>
      <c r="O963" s="5" t="n">
        <v>220</v>
      </c>
      <c r="P963" s="8">
        <f>IF(AND(M1091&lt;&gt;"",M1091&gt;0),M1091+N1091+O1091,"")</f>
        <v/>
      </c>
      <c r="Q963" s="11">
        <f>IF(AND(L1091&lt;&gt;"",L1091&gt;0,P1091&lt;&gt;""),P1091/L1091,"")</f>
        <v/>
      </c>
      <c r="R963" s="16">
        <f>IF(AND(P1091&lt;&gt;"",P1091&gt;0),(I1091+J1091+K1091)/P1091,"")</f>
        <v/>
      </c>
    </row>
    <row r="964" ht="27" customHeight="1">
      <c r="A964" s="5" t="inlineStr">
        <is>
          <t>2026-06-06</t>
        </is>
      </c>
      <c r="B964" s="5" t="inlineStr">
        <is>
          <t>23周</t>
        </is>
      </c>
      <c r="C964" s="5" t="inlineStr">
        <is>
          <t>小红书</t>
        </is>
      </c>
      <c r="D964" s="5" t="n"/>
      <c r="E964" s="5" t="n"/>
      <c r="F964" s="5" t="inlineStr">
        <is>
          <t>https://www.xiaohongshu.com/discovery/item/6a239bcf000000001602700e?xsec_token=CBU3NNBADpZnmBtOXWeZWj2CSBrbyGyqgTyTUzm4S50DA=&amp;xsec_source=app_share</t>
        </is>
      </c>
      <c r="G964" s="5" t="inlineStr">
        <is>
          <t>489</t>
        </is>
      </c>
      <c r="H964" s="5" t="inlineStr">
        <is>
          <t>陈奕恒</t>
        </is>
      </c>
      <c r="I964" s="5" t="n">
        <v>24.625</v>
      </c>
      <c r="J964" s="5" t="n"/>
      <c r="K964" s="5" t="n"/>
      <c r="L964" s="5" t="n">
        <v>1070</v>
      </c>
      <c r="M964" s="5" t="n">
        <v>79</v>
      </c>
      <c r="N964" s="5" t="n">
        <v>11</v>
      </c>
      <c r="O964" s="5" t="n">
        <v>1</v>
      </c>
      <c r="P964" s="8">
        <f>IF(AND(M1092&lt;&gt;"",M1092&gt;0),M1092+N1092+O1092,"")</f>
        <v/>
      </c>
      <c r="Q964" s="11">
        <f>IF(AND(L1092&lt;&gt;"",L1092&gt;0,P1092&lt;&gt;""),P1092/L1092,"")</f>
        <v/>
      </c>
      <c r="R964" s="16">
        <f>IF(AND(P1092&lt;&gt;"",P1092&gt;0),(I1092+J1092+K1092)/P1092,"")</f>
        <v/>
      </c>
    </row>
    <row r="965" ht="27" customHeight="1">
      <c r="A965" s="5" t="inlineStr">
        <is>
          <t>2026-06-06</t>
        </is>
      </c>
      <c r="B965" s="5" t="inlineStr">
        <is>
          <t>23周</t>
        </is>
      </c>
      <c r="C965" s="5" t="inlineStr">
        <is>
          <t>小红书</t>
        </is>
      </c>
      <c r="D965" s="5" t="n"/>
      <c r="E965" s="5" t="n"/>
      <c r="F965" s="5" t="inlineStr">
        <is>
          <t>https://www.xiaohongshu.com/discovery/item/6a23a5670000000015025803?xsec_token=CBHkYvxYhl1-0tpX2DG5MR0QUrbmW1qgQ8JmncGD8K6nk=&amp;xsec_source=app_share&amp;type=video</t>
        </is>
      </c>
      <c r="G965" s="5" t="inlineStr">
        <is>
          <t>459</t>
        </is>
      </c>
      <c r="H965" s="5" t="inlineStr">
        <is>
          <t>购物分享</t>
        </is>
      </c>
      <c r="I965" s="5" t="n">
        <v>100.09</v>
      </c>
      <c r="J965" s="5" t="n"/>
      <c r="K965" s="5" t="n"/>
      <c r="L965" s="5" t="n">
        <v>1277</v>
      </c>
      <c r="M965" s="5" t="n">
        <v>96</v>
      </c>
      <c r="N965" s="5" t="n">
        <v>21</v>
      </c>
      <c r="O965" s="5" t="n">
        <v>3</v>
      </c>
      <c r="P965" s="8">
        <f>IF(AND(M1093&lt;&gt;"",M1093&gt;0),M1093+N1093+O1093,"")</f>
        <v/>
      </c>
      <c r="Q965" s="11">
        <f>IF(AND(L1093&lt;&gt;"",L1093&gt;0,P1093&lt;&gt;""),P1093/L1093,"")</f>
        <v/>
      </c>
      <c r="R965" s="16">
        <f>IF(AND(P1093&lt;&gt;"",P1093&gt;0),(I1093+J1093+K1093)/P1093,"")</f>
        <v/>
      </c>
    </row>
    <row r="966" ht="81" customHeight="1">
      <c r="A966" s="5" t="inlineStr">
        <is>
          <t>2026-06-06</t>
        </is>
      </c>
      <c r="B966" s="5" t="inlineStr">
        <is>
          <t>23周</t>
        </is>
      </c>
      <c r="C966" s="5" t="inlineStr">
        <is>
          <t>小红书</t>
        </is>
      </c>
      <c r="D966" s="5" t="n"/>
      <c r="E966" s="5" t="n"/>
      <c r="F966" s="5" t="inlineStr">
        <is>
          <t>https://www.xiaohongshu.com/discovery/item/6a23c076000000002201620b?xsec_token=CBHkYvxYhl1-0tpX2DG5MR0XKXM0Yfj9bpKcvSGJcuAjw=&amp;xsec_source=app_share</t>
        </is>
      </c>
      <c r="G966" s="5" t="inlineStr">
        <is>
          <t>489</t>
        </is>
      </c>
      <c r="H966" s="5" t="inlineStr">
        <is>
          <t>陈奕恒</t>
        </is>
      </c>
      <c r="I966" s="5" t="n">
        <v>27.375</v>
      </c>
      <c r="J966" s="5" t="n"/>
      <c r="K966" s="5" t="n"/>
      <c r="L966" s="5" t="n">
        <v>754</v>
      </c>
      <c r="M966" s="5" t="n">
        <v>41</v>
      </c>
      <c r="N966" s="5" t="n">
        <v>5</v>
      </c>
      <c r="O966" s="5" t="n">
        <v>4</v>
      </c>
      <c r="P966" s="8">
        <f>IF(AND(M1094&lt;&gt;"",M1094&gt;0),M1094+N1094+O1094,"")</f>
        <v/>
      </c>
      <c r="Q966" s="11">
        <f>IF(AND(L1094&lt;&gt;"",L1094&gt;0,P1094&lt;&gt;""),P1094/L1094,"")</f>
        <v/>
      </c>
      <c r="R966" s="16">
        <f>IF(AND(P1094&lt;&gt;"",P1094&gt;0),(I1094+J1094+K1094)/P1094,"")</f>
        <v/>
      </c>
    </row>
    <row r="967" ht="67.5" customHeight="1">
      <c r="A967" s="5" t="inlineStr">
        <is>
          <t>2026-06-06</t>
        </is>
      </c>
      <c r="B967" s="5" t="inlineStr">
        <is>
          <t>23周</t>
        </is>
      </c>
      <c r="C967" s="5" t="inlineStr">
        <is>
          <t>小红书</t>
        </is>
      </c>
      <c r="D967" s="5" t="n"/>
      <c r="E967" s="5" t="n"/>
      <c r="F967" s="5" t="inlineStr">
        <is>
          <t>https://www.xiaohongshu.com/discovery/item/6a23ecbc000000003503027d?xsec_token=CBHkYvxYhl1-0tpX2DG5MR0Wk43VJo7_9Q-8iFDYxOzc8=&amp;xsec_source=app_share</t>
        </is>
      </c>
      <c r="G967" s="5" t="inlineStr">
        <is>
          <t>0003A2</t>
        </is>
      </c>
      <c r="H967" s="5" t="inlineStr">
        <is>
          <t>群像穿搭</t>
        </is>
      </c>
      <c r="I967" s="5" t="n">
        <v>94.23999999999999</v>
      </c>
      <c r="J967" s="5" t="n"/>
      <c r="K967" s="5" t="n"/>
      <c r="L967" s="5" t="n">
        <v>8489</v>
      </c>
      <c r="M967" s="5" t="n">
        <v>297</v>
      </c>
      <c r="N967" s="5" t="n">
        <v>248</v>
      </c>
      <c r="O967" s="5" t="n">
        <v>0</v>
      </c>
      <c r="P967" s="8">
        <f>IF(AND(M1095&lt;&gt;"",M1095&gt;0),M1095+N1095+O1095,"")</f>
        <v/>
      </c>
      <c r="Q967" s="11">
        <f>IF(AND(L1095&lt;&gt;"",L1095&gt;0,P1095&lt;&gt;""),P1095/L1095,"")</f>
        <v/>
      </c>
      <c r="R967" s="16">
        <f>IF(AND(P1095&lt;&gt;"",P1095&gt;0),(I1095+J1095+K1095)/P1095,"")</f>
        <v/>
      </c>
    </row>
    <row r="968" ht="27" customHeight="1">
      <c r="A968" s="5" t="inlineStr">
        <is>
          <t>2026-06-07</t>
        </is>
      </c>
      <c r="B968" s="5" t="inlineStr">
        <is>
          <t>23周</t>
        </is>
      </c>
      <c r="C968" s="5" t="inlineStr">
        <is>
          <t>抖音</t>
        </is>
      </c>
      <c r="D968" s="5" t="n"/>
      <c r="E968" s="5" t="n"/>
      <c r="F968" s="5" t="inlineStr">
        <is>
          <t>https://v.douyin.com/mWUz22c4qNo/</t>
        </is>
      </c>
      <c r="G968" s="5" t="inlineStr">
        <is>
          <t>489</t>
        </is>
      </c>
      <c r="H968" s="5" t="inlineStr">
        <is>
          <t>陈奕恒</t>
        </is>
      </c>
      <c r="I968" s="5" t="n">
        <v>24.625</v>
      </c>
      <c r="J968" s="5" t="n"/>
      <c r="K968" s="5" t="n"/>
      <c r="L968" s="5" t="n">
        <v>20000</v>
      </c>
      <c r="M968" s="5" t="n">
        <v>2619</v>
      </c>
      <c r="N968" s="5" t="n">
        <v>99</v>
      </c>
      <c r="O968" s="5" t="n">
        <v>64</v>
      </c>
      <c r="P968" s="8">
        <f>IF(AND(M1096&lt;&gt;"",M1096&gt;0),M1096+N1096+O1096,"")</f>
        <v/>
      </c>
      <c r="Q968" s="11">
        <f>IF(AND(L1096&lt;&gt;"",L1096&gt;0,P1096&lt;&gt;""),P1096/L1096,"")</f>
        <v/>
      </c>
      <c r="R968" s="16">
        <f>IF(AND(P1096&lt;&gt;"",P1096&gt;0),(I1096+J1096+K1096)/P1096,"")</f>
        <v/>
      </c>
    </row>
    <row r="969" ht="27" customHeight="1">
      <c r="A969" s="5" t="inlineStr">
        <is>
          <t>2026-06-07</t>
        </is>
      </c>
      <c r="B969" s="5" t="inlineStr">
        <is>
          <t>23周</t>
        </is>
      </c>
      <c r="C969" s="5" t="inlineStr">
        <is>
          <t>抖音</t>
        </is>
      </c>
      <c r="D969" s="5" t="n"/>
      <c r="E969" s="5" t="n"/>
      <c r="F969" s="5" t="inlineStr">
        <is>
          <t>https://v.douyin.com/eaP_ZCw-GM0/</t>
        </is>
      </c>
      <c r="G969" s="5" t="inlineStr">
        <is>
          <t>489</t>
        </is>
      </c>
      <c r="H969" s="5" t="inlineStr">
        <is>
          <t>赵露思</t>
        </is>
      </c>
      <c r="I969" s="5" t="n">
        <v>24.625</v>
      </c>
      <c r="J969" s="5" t="n"/>
      <c r="K969" s="5" t="n"/>
      <c r="L969" s="5" t="n">
        <v>4882</v>
      </c>
      <c r="M969" s="5" t="n">
        <v>380</v>
      </c>
      <c r="N969" s="5" t="n">
        <v>18</v>
      </c>
      <c r="O969" s="5" t="n">
        <v>50</v>
      </c>
      <c r="P969" s="8">
        <f>IF(AND(M1097&lt;&gt;"",M1097&gt;0),M1097+N1097+O1097,"")</f>
        <v/>
      </c>
      <c r="Q969" s="11">
        <f>IF(AND(L1097&lt;&gt;"",L1097&gt;0,P1097&lt;&gt;""),P1097/L1097,"")</f>
        <v/>
      </c>
      <c r="R969" s="16">
        <f>IF(AND(P1097&lt;&gt;"",P1097&gt;0),(I1097+J1097+K1097)/P1097,"")</f>
        <v/>
      </c>
    </row>
    <row r="970" ht="27" customHeight="1">
      <c r="A970" s="5" t="inlineStr">
        <is>
          <t>2026-06-07</t>
        </is>
      </c>
      <c r="B970" s="5" t="inlineStr">
        <is>
          <t>23周</t>
        </is>
      </c>
      <c r="C970" s="5" t="inlineStr">
        <is>
          <t>抖音</t>
        </is>
      </c>
      <c r="D970" s="5" t="n"/>
      <c r="E970" s="5" t="n"/>
      <c r="F970" s="5" t="inlineStr">
        <is>
          <t>https://v.douyin.com/upGVBGCcl08/</t>
        </is>
      </c>
      <c r="G970" s="5" t="inlineStr">
        <is>
          <t>459</t>
        </is>
      </c>
      <c r="H970" s="5" t="inlineStr">
        <is>
          <t>穿搭</t>
        </is>
      </c>
      <c r="I970" s="5" t="n">
        <v>69.7</v>
      </c>
      <c r="J970" s="5" t="n"/>
      <c r="K970" s="5" t="n"/>
      <c r="L970" s="5" t="n">
        <v>4904</v>
      </c>
      <c r="M970" s="5" t="n">
        <v>281</v>
      </c>
      <c r="N970" s="5" t="n">
        <v>72</v>
      </c>
      <c r="O970" s="5" t="n">
        <v>18</v>
      </c>
      <c r="P970" s="8">
        <f>IF(AND(M1098&lt;&gt;"",M1098&gt;0),M1098+N1098+O1098,"")</f>
        <v/>
      </c>
      <c r="Q970" s="11">
        <f>IF(AND(L1098&lt;&gt;"",L1098&gt;0,P1098&lt;&gt;""),P1098/L1098,"")</f>
        <v/>
      </c>
      <c r="R970" s="16">
        <f>IF(AND(P1098&lt;&gt;"",P1098&gt;0),(I1098+J1098+K1098)/P1098,"")</f>
        <v/>
      </c>
    </row>
    <row r="971" ht="81" customHeight="1">
      <c r="A971" s="5" t="inlineStr">
        <is>
          <t>2026-06-07</t>
        </is>
      </c>
      <c r="B971" s="5" t="inlineStr">
        <is>
          <t>23周</t>
        </is>
      </c>
      <c r="C971" s="5" t="inlineStr">
        <is>
          <t>抖音</t>
        </is>
      </c>
      <c r="D971" s="5" t="n"/>
      <c r="E971" s="5" t="n"/>
      <c r="F971" s="5" t="inlineStr">
        <is>
          <t>https://www.douyin.com/video/7648618987337036102</t>
        </is>
      </c>
      <c r="G971" s="5" t="inlineStr">
        <is>
          <t>489</t>
        </is>
      </c>
      <c r="H971" s="5" t="inlineStr">
        <is>
          <t>穿搭</t>
        </is>
      </c>
      <c r="I971" s="5" t="n">
        <v>49.25</v>
      </c>
      <c r="J971" s="5" t="n"/>
      <c r="K971" s="5" t="n"/>
      <c r="L971" s="5" t="n">
        <v>14000</v>
      </c>
      <c r="M971" s="5" t="n">
        <v>278</v>
      </c>
      <c r="N971" s="5" t="n">
        <v>43</v>
      </c>
      <c r="O971" s="5" t="n">
        <v>10</v>
      </c>
      <c r="P971" s="8">
        <f>IF(AND(M1099&lt;&gt;"",M1099&gt;0),M1099+N1099+O1099,"")</f>
        <v/>
      </c>
      <c r="Q971" s="11">
        <f>IF(AND(L1099&lt;&gt;"",L1099&gt;0,P1099&lt;&gt;""),P1099/L1099,"")</f>
        <v/>
      </c>
      <c r="R971" s="16">
        <f>IF(AND(P1099&lt;&gt;"",P1099&gt;0),(I1099+J1099+K1099)/P1099,"")</f>
        <v/>
      </c>
    </row>
    <row r="972" ht="27" customHeight="1">
      <c r="A972" s="5" t="inlineStr">
        <is>
          <t>2026-06-07</t>
        </is>
      </c>
      <c r="B972" s="5" t="inlineStr">
        <is>
          <t>23周</t>
        </is>
      </c>
      <c r="C972" s="5" t="inlineStr">
        <is>
          <t>抖音</t>
        </is>
      </c>
      <c r="D972" s="5" t="n"/>
      <c r="E972" s="5" t="n"/>
      <c r="F972" s="5" t="inlineStr">
        <is>
          <t>https://v.douyin.com/XI3b_zbQl3Q/</t>
        </is>
      </c>
      <c r="G972" s="5" t="inlineStr">
        <is>
          <t>489</t>
        </is>
      </c>
      <c r="H972" s="5" t="inlineStr">
        <is>
          <t>陈奕恒</t>
        </is>
      </c>
      <c r="I972" s="5" t="n">
        <v>49.25</v>
      </c>
      <c r="J972" s="5" t="n"/>
      <c r="K972" s="5" t="n"/>
      <c r="L972" s="5" t="n">
        <v>1874</v>
      </c>
      <c r="M972" s="5" t="n">
        <v>315</v>
      </c>
      <c r="N972" s="5" t="n">
        <v>14</v>
      </c>
      <c r="O972" s="5" t="n">
        <v>41</v>
      </c>
      <c r="P972" s="8">
        <f>IF(AND(M1100&lt;&gt;"",M1100&gt;0),M1100+N1100+O1100,"")</f>
        <v/>
      </c>
      <c r="Q972" s="11">
        <f>IF(AND(L1100&lt;&gt;"",L1100&gt;0,P1100&lt;&gt;""),P1100/L1100,"")</f>
        <v/>
      </c>
      <c r="R972" s="16">
        <f>IF(AND(P1100&lt;&gt;"",P1100&gt;0),(I1100+J1100+K1100)/P1100,"")</f>
        <v/>
      </c>
    </row>
    <row r="973" ht="27" customHeight="1">
      <c r="A973" s="5" t="inlineStr">
        <is>
          <t>2026-06-07</t>
        </is>
      </c>
      <c r="B973" s="5" t="inlineStr">
        <is>
          <t>23周</t>
        </is>
      </c>
      <c r="C973" s="5" t="inlineStr">
        <is>
          <t>抖音</t>
        </is>
      </c>
      <c r="D973" s="5" t="n"/>
      <c r="E973" s="5" t="n"/>
      <c r="F973" s="5" t="inlineStr">
        <is>
          <t>https://v.douyin.com/kKuFjjCC5Ac/</t>
        </is>
      </c>
      <c r="G973" s="5" t="inlineStr">
        <is>
          <t>489</t>
        </is>
      </c>
      <c r="H973" s="5" t="inlineStr">
        <is>
          <t>陈奕恒</t>
        </is>
      </c>
      <c r="I973" s="5" t="n">
        <v>49.25</v>
      </c>
      <c r="J973" s="5" t="n"/>
      <c r="K973" s="5" t="n"/>
      <c r="L973" s="5" t="n">
        <v>1500</v>
      </c>
      <c r="M973" s="5" t="n">
        <v>509</v>
      </c>
      <c r="N973" s="5" t="n">
        <v>5</v>
      </c>
      <c r="O973" s="5" t="n">
        <v>22</v>
      </c>
      <c r="P973" s="8">
        <f>IF(AND(M1101&lt;&gt;"",M1101&gt;0),M1101+N1101+O1101,"")</f>
        <v/>
      </c>
      <c r="Q973" s="11">
        <f>IF(AND(L1101&lt;&gt;"",L1101&gt;0,P1101&lt;&gt;""),P1101/L1101,"")</f>
        <v/>
      </c>
      <c r="R973" s="16">
        <f>IF(AND(P1101&lt;&gt;"",P1101&gt;0),(I1101+J1101+K1101)/P1101,"")</f>
        <v/>
      </c>
    </row>
    <row r="974" ht="27" customHeight="1">
      <c r="A974" s="5" t="inlineStr">
        <is>
          <t>2026-06-07</t>
        </is>
      </c>
      <c r="B974" s="5" t="inlineStr">
        <is>
          <t>23周</t>
        </is>
      </c>
      <c r="C974" s="5" t="inlineStr">
        <is>
          <t>小红书</t>
        </is>
      </c>
      <c r="D974" s="5" t="n"/>
      <c r="E974" s="5" t="n"/>
      <c r="F974" s="5" t="inlineStr">
        <is>
          <t>https://www.xiaohongshu.com/discovery/item/6a25110c00000000080008c8?xsec_token=CBVJfUncfx5vK24a2kV-MTuUyr0j53N9CQbuEcTOr80hg=&amp;xsec_source=app_share&amp;type=video</t>
        </is>
      </c>
      <c r="G974" s="5" t="inlineStr">
        <is>
          <t>489</t>
        </is>
      </c>
      <c r="H974" s="5" t="inlineStr">
        <is>
          <t>陈奕恒</t>
        </is>
      </c>
      <c r="I974" s="5" t="n">
        <v>24.625</v>
      </c>
      <c r="J974" s="5" t="n"/>
      <c r="K974" s="5" t="n"/>
      <c r="L974" s="5" t="n">
        <v>4613</v>
      </c>
      <c r="M974" s="5" t="n">
        <v>818</v>
      </c>
      <c r="N974" s="5" t="n">
        <v>69</v>
      </c>
      <c r="O974" s="5" t="n">
        <v>39</v>
      </c>
      <c r="P974" s="8">
        <f>IF(AND(M1102&lt;&gt;"",M1102&gt;0),M1102+N1102+O1102,"")</f>
        <v/>
      </c>
      <c r="Q974" s="11">
        <f>IF(AND(L1102&lt;&gt;"",L1102&gt;0,P1102&lt;&gt;""),P1102/L1102,"")</f>
        <v/>
      </c>
      <c r="R974" s="16">
        <f>IF(AND(P1102&lt;&gt;"",P1102&gt;0),(I1102+J1102+K1102)/P1102,"")</f>
        <v/>
      </c>
    </row>
    <row r="975" ht="27" customHeight="1">
      <c r="A975" s="5" t="inlineStr">
        <is>
          <t>2026-06-08</t>
        </is>
      </c>
      <c r="B975" s="5" t="inlineStr">
        <is>
          <t>24周</t>
        </is>
      </c>
      <c r="C975" s="5" t="inlineStr">
        <is>
          <t>抖音</t>
        </is>
      </c>
      <c r="D975" s="5" t="n"/>
      <c r="E975" s="5" t="n"/>
      <c r="F975" s="5" t="inlineStr">
        <is>
          <t>https://www.douyin.com/user/MS4wLjABAAAAANggFZ79ckKC8vAYIikO4fb9JSrM6hQQjHLrCo3qW4g?from_tab_name=main&amp;modal_id=7648923076952233381&amp;vid=7648923076952233381</t>
        </is>
      </c>
      <c r="G975" s="5" t="inlineStr">
        <is>
          <t>459</t>
        </is>
      </c>
      <c r="H975" s="5" t="inlineStr">
        <is>
          <t>群像穿搭</t>
        </is>
      </c>
      <c r="I975" s="5" t="n">
        <v>24.89</v>
      </c>
      <c r="J975" s="5" t="n"/>
      <c r="K975" s="5" t="n"/>
      <c r="L975" s="5" t="n">
        <v>91000</v>
      </c>
      <c r="M975" s="5" t="n">
        <v>9530</v>
      </c>
      <c r="N975" s="5" t="n">
        <v>906</v>
      </c>
      <c r="O975" s="5" t="n">
        <v>136</v>
      </c>
      <c r="P975" s="8">
        <f>IF(AND(M1103&lt;&gt;"",M1103&gt;0),M1103+N1103+O1103,"")</f>
        <v/>
      </c>
      <c r="Q975" s="11">
        <f>IF(AND(L1103&lt;&gt;"",L1103&gt;0,P1103&lt;&gt;""),P1103/L1103,"")</f>
        <v/>
      </c>
      <c r="R975" s="16">
        <f>IF(AND(P1103&lt;&gt;"",P1103&gt;0),(I1103+J1103+K1103)/P1103,"")</f>
        <v/>
      </c>
    </row>
    <row r="976" ht="27" customHeight="1">
      <c r="A976" s="5" t="inlineStr">
        <is>
          <t>2026-06-08</t>
        </is>
      </c>
      <c r="B976" s="5" t="inlineStr">
        <is>
          <t>24周</t>
        </is>
      </c>
      <c r="C976" s="5" t="inlineStr">
        <is>
          <t>抖音</t>
        </is>
      </c>
      <c r="D976" s="5" t="n"/>
      <c r="E976" s="5" t="n"/>
      <c r="F976" s="5" t="inlineStr">
        <is>
          <t>https://www.douyin.com/user/MS4wLjABAAAAGAPR3LPhsCbwrUeQBTXczevg-zyff2JGd0NBAwqEuElyl8a7wCCCvmagf2RJHSH9?from_tab_name=main&amp;modal_id=7648940149498316635</t>
        </is>
      </c>
      <c r="G976" s="5" t="inlineStr">
        <is>
          <t>489</t>
        </is>
      </c>
      <c r="H976" s="5" t="inlineStr">
        <is>
          <t>赵露思</t>
        </is>
      </c>
      <c r="I976" s="5" t="n">
        <v>49.25</v>
      </c>
      <c r="J976" s="5" t="n"/>
      <c r="K976" s="5" t="n"/>
      <c r="L976" s="5" t="n">
        <v>818</v>
      </c>
      <c r="M976" s="5" t="n">
        <v>190</v>
      </c>
      <c r="N976" s="5" t="n">
        <v>1</v>
      </c>
      <c r="O976" s="5" t="n">
        <v>15</v>
      </c>
      <c r="P976" s="8">
        <f>IF(AND(M1104&lt;&gt;"",M1104&gt;0),M1104+N1104+O1104,"")</f>
        <v/>
      </c>
      <c r="Q976" s="11">
        <f>IF(AND(L1104&lt;&gt;"",L1104&gt;0,P1104&lt;&gt;""),P1104/L1104,"")</f>
        <v/>
      </c>
      <c r="R976" s="16">
        <f>IF(AND(P1104&lt;&gt;"",P1104&gt;0),(I1104+J1104+K1104)/P1104,"")</f>
        <v/>
      </c>
    </row>
    <row r="977" ht="27" customHeight="1">
      <c r="A977" s="5" t="inlineStr">
        <is>
          <t>2026-06-08</t>
        </is>
      </c>
      <c r="B977" s="5" t="inlineStr">
        <is>
          <t>24周</t>
        </is>
      </c>
      <c r="C977" s="5" t="inlineStr">
        <is>
          <t>抖音</t>
        </is>
      </c>
      <c r="D977" s="5" t="n"/>
      <c r="E977" s="5" t="n"/>
      <c r="F977" s="5" t="inlineStr">
        <is>
          <t>https://v.douyin.com/Xas_T9KZ9I8/</t>
        </is>
      </c>
      <c r="G977" s="5" t="inlineStr">
        <is>
          <t>459</t>
        </is>
      </c>
      <c r="H977" s="5" t="inlineStr">
        <is>
          <t>vlog</t>
        </is>
      </c>
      <c r="I977" s="5" t="n">
        <v>20.1</v>
      </c>
      <c r="J977" s="5" t="n"/>
      <c r="K977" s="5" t="n"/>
      <c r="L977" s="5" t="n">
        <v>20000</v>
      </c>
      <c r="M977" s="5" t="n">
        <v>390</v>
      </c>
      <c r="N977" s="5" t="n">
        <v>15</v>
      </c>
      <c r="O977" s="5" t="n">
        <v>29</v>
      </c>
      <c r="P977" s="8">
        <f>IF(AND(M1105&lt;&gt;"",M1105&gt;0),M1105+N1105+O1105,"")</f>
        <v/>
      </c>
      <c r="Q977" s="11">
        <f>IF(AND(L1105&lt;&gt;"",L1105&gt;0,P1105&lt;&gt;""),P1105/L1105,"")</f>
        <v/>
      </c>
      <c r="R977" s="16">
        <f>IF(AND(P1105&lt;&gt;"",P1105&gt;0),(I1105+J1105+K1105)/P1105,"")</f>
        <v/>
      </c>
    </row>
    <row r="978" ht="27" customHeight="1">
      <c r="A978" s="5" t="inlineStr">
        <is>
          <t>2026-06-08</t>
        </is>
      </c>
      <c r="B978" s="5" t="inlineStr">
        <is>
          <t>24周</t>
        </is>
      </c>
      <c r="C978" s="5" t="inlineStr">
        <is>
          <t>抖音</t>
        </is>
      </c>
      <c r="D978" s="5" t="n"/>
      <c r="E978" s="5" t="n"/>
      <c r="F978" s="5" t="inlineStr">
        <is>
          <t>https://v.douyin.com/gYs-LhZRIqc/</t>
        </is>
      </c>
      <c r="G978" s="5" t="inlineStr">
        <is>
          <t>0002A1</t>
        </is>
      </c>
      <c r="H978" s="5" t="inlineStr">
        <is>
          <t>刘耀文</t>
        </is>
      </c>
      <c r="I978" s="5" t="n">
        <v>107.7</v>
      </c>
      <c r="J978" s="5" t="n"/>
      <c r="K978" s="5" t="n"/>
      <c r="L978" s="5" t="n">
        <v>1952</v>
      </c>
      <c r="M978" s="5" t="n">
        <v>209</v>
      </c>
      <c r="N978" s="5" t="n">
        <v>15</v>
      </c>
      <c r="O978" s="5" t="n">
        <v>9</v>
      </c>
      <c r="P978" s="8">
        <f>IF(AND(M1106&lt;&gt;"",M1106&gt;0),M1106+N1106+O1106,"")</f>
        <v/>
      </c>
      <c r="Q978" s="11">
        <f>IF(AND(L1106&lt;&gt;"",L1106&gt;0,P1106&lt;&gt;""),P1106/L1106,"")</f>
        <v/>
      </c>
      <c r="R978" s="16">
        <f>IF(AND(P1106&lt;&gt;"",P1106&gt;0),(I1106+J1106+K1106)/P1106,"")</f>
        <v/>
      </c>
    </row>
    <row r="979" ht="40.5" customHeight="1">
      <c r="A979" s="5" t="inlineStr">
        <is>
          <t>2026-06-08</t>
        </is>
      </c>
      <c r="B979" s="5" t="inlineStr">
        <is>
          <t>24周</t>
        </is>
      </c>
      <c r="C979" s="5" t="inlineStr">
        <is>
          <t>抖音</t>
        </is>
      </c>
      <c r="D979" s="5" t="n"/>
      <c r="E979" s="5" t="n"/>
      <c r="F979" s="5" t="inlineStr">
        <is>
          <t>https://www.douyin.com/search/%E5%B0%8F%E5%A5%A5%E5%90%90%E5%90%90%E5%8F%B8?aid=19b84705-fd96-4e27-a30e-71caf1c5d40c&amp;modal_id=7648961522992372038&amp;type=general</t>
        </is>
      </c>
      <c r="G979" s="5" t="inlineStr">
        <is>
          <t>489</t>
        </is>
      </c>
      <c r="H979" s="5" t="inlineStr">
        <is>
          <t>杨紫</t>
        </is>
      </c>
      <c r="I979" s="5" t="n">
        <v>49.25</v>
      </c>
      <c r="J979" s="5" t="n"/>
      <c r="K979" s="5" t="n"/>
      <c r="L979" s="5" t="n">
        <v>3891</v>
      </c>
      <c r="M979" s="5" t="n">
        <v>267</v>
      </c>
      <c r="N979" s="5" t="n">
        <v>11</v>
      </c>
      <c r="O979" s="5" t="n">
        <v>18</v>
      </c>
      <c r="P979" s="8">
        <f>IF(AND(M1107&lt;&gt;"",M1107&gt;0),M1107+N1107+O1107,"")</f>
        <v/>
      </c>
      <c r="Q979" s="11">
        <f>IF(AND(L1107&lt;&gt;"",L1107&gt;0,P1107&lt;&gt;""),P1107/L1107,"")</f>
        <v/>
      </c>
      <c r="R979" s="16">
        <f>IF(AND(P1107&lt;&gt;"",P1107&gt;0),(I1107+J1107+K1107)/P1107,"")</f>
        <v/>
      </c>
    </row>
    <row r="980" ht="40.5" customHeight="1">
      <c r="A980" s="5" t="inlineStr">
        <is>
          <t>2026-06-08</t>
        </is>
      </c>
      <c r="B980" s="5" t="inlineStr">
        <is>
          <t>24周</t>
        </is>
      </c>
      <c r="C980" s="5" t="inlineStr">
        <is>
          <t>抖音</t>
        </is>
      </c>
      <c r="D980" s="5" t="n"/>
      <c r="E980" s="5" t="n"/>
      <c r="F980" s="5" t="inlineStr">
        <is>
          <t>https://v.douyin.com/TIdDD0_phmg/</t>
        </is>
      </c>
      <c r="G980" s="5" t="inlineStr">
        <is>
          <t>0003A2</t>
        </is>
      </c>
      <c r="H980" s="5" t="inlineStr">
        <is>
          <t>生命力穿搭</t>
        </is>
      </c>
      <c r="I980" s="5" t="n">
        <v>96.75</v>
      </c>
      <c r="J980" s="5" t="n"/>
      <c r="K980" s="5" t="n"/>
      <c r="L980" s="5" t="n">
        <v>5855</v>
      </c>
      <c r="M980" s="5" t="n">
        <v>62</v>
      </c>
      <c r="N980" s="5" t="n">
        <v>63</v>
      </c>
      <c r="O980" s="5" t="n">
        <v>2</v>
      </c>
      <c r="P980" s="8">
        <f>IF(AND(M1108&lt;&gt;"",M1108&gt;0),M1108+N1108+O1108,"")</f>
        <v/>
      </c>
      <c r="Q980" s="11">
        <f>IF(AND(L1108&lt;&gt;"",L1108&gt;0,P1108&lt;&gt;""),P1108/L1108,"")</f>
        <v/>
      </c>
      <c r="R980" s="16">
        <f>IF(AND(P1108&lt;&gt;"",P1108&gt;0),(I1108+J1108+K1108)/P1108,"")</f>
        <v/>
      </c>
    </row>
    <row r="981" ht="40.5" customHeight="1">
      <c r="A981" s="5" t="inlineStr">
        <is>
          <t>2026-06-08</t>
        </is>
      </c>
      <c r="B981" s="5" t="inlineStr">
        <is>
          <t>24周</t>
        </is>
      </c>
      <c r="C981" s="5" t="inlineStr">
        <is>
          <t>小红书</t>
        </is>
      </c>
      <c r="D981" s="5" t="n"/>
      <c r="E981" s="5" t="n"/>
      <c r="F981" s="5" t="inlineStr">
        <is>
          <t>https://www.xiaohongshu.com/discovery/item/6a267cf700000000220159e5?xsec_token=CBj7tX83I9buid3Oy5QyX_DyA34R97hxDuH98LAIST-PY=&amp;xsec_source=app_share</t>
        </is>
      </c>
      <c r="G981" s="5" t="inlineStr">
        <is>
          <t>489</t>
        </is>
      </c>
      <c r="H981" s="5" t="inlineStr">
        <is>
          <t>马嘉祺</t>
        </is>
      </c>
      <c r="I981" s="5" t="n">
        <v>27.375</v>
      </c>
      <c r="J981" s="5" t="n"/>
      <c r="K981" s="5" t="n"/>
      <c r="L981" s="5" t="n">
        <v>906</v>
      </c>
      <c r="M981" s="5" t="n">
        <v>54</v>
      </c>
      <c r="N981" s="5" t="n">
        <v>3</v>
      </c>
      <c r="O981" s="5" t="n">
        <v>4</v>
      </c>
      <c r="P981" s="8">
        <f>IF(AND(M1109&lt;&gt;"",M1109&gt;0),M1109+N1109+O1109,"")</f>
        <v/>
      </c>
      <c r="Q981" s="11">
        <f>IF(AND(L1109&lt;&gt;"",L1109&gt;0,P1109&lt;&gt;""),P1109/L1109,"")</f>
        <v/>
      </c>
      <c r="R981" s="16">
        <f>IF(AND(P1109&lt;&gt;"",P1109&gt;0),(I1109+J1109+K1109)/P1109,"")</f>
        <v/>
      </c>
    </row>
    <row r="982" ht="81" customHeight="1">
      <c r="A982" s="5" t="inlineStr">
        <is>
          <t>2026-06-08</t>
        </is>
      </c>
      <c r="B982" s="5" t="inlineStr">
        <is>
          <t>24周</t>
        </is>
      </c>
      <c r="C982" s="5" t="inlineStr">
        <is>
          <t>小红书</t>
        </is>
      </c>
      <c r="D982" s="5" t="n"/>
      <c r="E982" s="5" t="n"/>
      <c r="F982" s="5" t="inlineStr">
        <is>
          <t>https://www.xiaohongshu.com/discovery/item/6a26bdcb0000000017009737?xsec_token=CBj7tX83I9buid3Oy5QyX_D2nVEpJnOozcgLWCcEeCQNY=&amp;xsec_source=app_share</t>
        </is>
      </c>
      <c r="G982" s="5" t="inlineStr">
        <is>
          <t>0003A2</t>
        </is>
      </c>
      <c r="H982" s="5" t="inlineStr">
        <is>
          <t>生命力穿搭</t>
        </is>
      </c>
      <c r="I982" s="5" t="n">
        <v>48.375</v>
      </c>
      <c r="J982" s="5" t="n"/>
      <c r="K982" s="5" t="n"/>
      <c r="L982" s="5" t="n">
        <v>8363</v>
      </c>
      <c r="M982" s="5" t="n">
        <v>391</v>
      </c>
      <c r="N982" s="5" t="n">
        <v>343</v>
      </c>
      <c r="O982" s="5" t="n">
        <v>2</v>
      </c>
      <c r="P982" s="8">
        <f>IF(AND(M1110&lt;&gt;"",M1110&gt;0),M1110+N1110+O1110,"")</f>
        <v/>
      </c>
      <c r="Q982" s="11">
        <f>IF(AND(L1110&lt;&gt;"",L1110&gt;0,P1110&lt;&gt;""),P1110/L1110,"")</f>
        <v/>
      </c>
      <c r="R982" s="16">
        <f>IF(AND(P1110&lt;&gt;"",P1110&gt;0),(I1110+J1110+K1110)/P1110,"")</f>
        <v/>
      </c>
    </row>
    <row r="983" ht="81" customHeight="1">
      <c r="A983" s="5" t="inlineStr">
        <is>
          <t>2026-06-09</t>
        </is>
      </c>
      <c r="B983" s="5" t="inlineStr">
        <is>
          <t>24周</t>
        </is>
      </c>
      <c r="C983" s="5" t="inlineStr">
        <is>
          <t>抖音</t>
        </is>
      </c>
      <c r="D983" s="5" t="n"/>
      <c r="E983" s="5" t="n"/>
      <c r="F983" s="5" t="inlineStr">
        <is>
          <t>https://v.douyin.com/SBvEtYSGF_4/</t>
        </is>
      </c>
      <c r="G983" s="5" t="inlineStr">
        <is>
          <t>489</t>
        </is>
      </c>
      <c r="H983" s="5" t="inlineStr">
        <is>
          <t>杨紫</t>
        </is>
      </c>
      <c r="I983" s="5" t="n">
        <v>49.25</v>
      </c>
      <c r="J983" s="5" t="n"/>
      <c r="K983" s="5" t="n"/>
      <c r="L983" s="5" t="n">
        <v>15000</v>
      </c>
      <c r="M983" s="5" t="n">
        <v>1026</v>
      </c>
      <c r="N983" s="5" t="n">
        <v>61</v>
      </c>
      <c r="O983" s="5" t="n">
        <v>40</v>
      </c>
      <c r="P983" s="8">
        <f>IF(AND(M1111&lt;&gt;"",M1111&gt;0),M1111+N1111+O1111,"")</f>
        <v/>
      </c>
      <c r="Q983" s="11">
        <f>IF(AND(L1111&lt;&gt;"",L1111&gt;0,P1111&lt;&gt;""),P1111/L1111,"")</f>
        <v/>
      </c>
      <c r="R983" s="16">
        <f>IF(AND(P1111&lt;&gt;"",P1111&gt;0),(I1111+J1111+K1111)/P1111,"")</f>
        <v/>
      </c>
    </row>
    <row r="984" ht="67.5" customHeight="1">
      <c r="A984" s="5" t="inlineStr">
        <is>
          <t>2026-06-09</t>
        </is>
      </c>
      <c r="B984" s="5" t="inlineStr">
        <is>
          <t>24周</t>
        </is>
      </c>
      <c r="C984" s="5" t="inlineStr">
        <is>
          <t>抖音</t>
        </is>
      </c>
      <c r="D984" s="5" t="n"/>
      <c r="E984" s="5" t="n"/>
      <c r="F984" s="5" t="inlineStr">
        <is>
          <t>https://www.douyin.com/user/MS4wLjABAAAAkbt3yXPb0dJ1HY_8GzLvfRaoV1QKz1cbN6xvQAJXxek?from_tab_name=main&amp;modal_id=7649365025761013881</t>
        </is>
      </c>
      <c r="G984" s="5" t="inlineStr">
        <is>
          <t>459</t>
        </is>
      </c>
      <c r="H984" s="5" t="inlineStr">
        <is>
          <t>跳舞穿搭</t>
        </is>
      </c>
      <c r="I984" s="5" t="n">
        <v>3567</v>
      </c>
      <c r="J984" s="5" t="n"/>
      <c r="K984" s="5" t="n"/>
      <c r="L984" s="5" t="n">
        <v>3567</v>
      </c>
      <c r="M984" s="5" t="n">
        <v>242</v>
      </c>
      <c r="N984" s="5" t="n">
        <v>21</v>
      </c>
      <c r="O984" s="5" t="n">
        <v>28</v>
      </c>
      <c r="P984" s="8">
        <f>IF(AND(M1112&lt;&gt;"",M1112&gt;0),M1112+N1112+O1112,"")</f>
        <v/>
      </c>
      <c r="Q984" s="11">
        <f>IF(AND(L1112&lt;&gt;"",L1112&gt;0,P1112&lt;&gt;""),P1112/L1112,"")</f>
        <v/>
      </c>
      <c r="R984" s="16">
        <f>IF(AND(P1112&lt;&gt;"",P1112&gt;0),(I1112+J1112+K1112)/P1112,"")</f>
        <v/>
      </c>
    </row>
    <row r="985" ht="81" customHeight="1">
      <c r="A985" s="5" t="inlineStr">
        <is>
          <t>2026-06-09</t>
        </is>
      </c>
      <c r="B985" s="5" t="inlineStr">
        <is>
          <t>24周</t>
        </is>
      </c>
      <c r="C985" s="5" t="inlineStr">
        <is>
          <t>小红书</t>
        </is>
      </c>
      <c r="D985" s="5" t="n"/>
      <c r="E985" s="5" t="n"/>
      <c r="F985" s="5" t="inlineStr">
        <is>
          <t>https://www.xiaohongshu.com/discovery/item/6a279bb4000000001702a39f?xsec_token=CBXU04EjDWw7KGIVlow2_N6kPM3__EcAL6z1BZ-Kkr3To=&amp;xsec_source=app_share</t>
        </is>
      </c>
      <c r="G985" s="5" t="inlineStr">
        <is>
          <t>489</t>
        </is>
      </c>
      <c r="H985" s="5" t="inlineStr">
        <is>
          <t>赵露思</t>
        </is>
      </c>
      <c r="I985" s="5" t="n">
        <v>24.625</v>
      </c>
      <c r="J985" s="5" t="n"/>
      <c r="K985" s="5" t="n"/>
      <c r="L985" s="5" t="n">
        <v>59</v>
      </c>
      <c r="M985" s="5" t="n">
        <v>5</v>
      </c>
      <c r="N985" s="5" t="n">
        <v>1</v>
      </c>
      <c r="O985" s="5" t="n">
        <v>0</v>
      </c>
      <c r="P985" s="8">
        <f>IF(AND(M1113&lt;&gt;"",M1113&gt;0),M1113+N1113+O1113,"")</f>
        <v/>
      </c>
      <c r="Q985" s="11">
        <f>IF(AND(L1113&lt;&gt;"",L1113&gt;0,P1113&lt;&gt;""),P1113/L1113,"")</f>
        <v/>
      </c>
      <c r="R985" s="16">
        <f>IF(AND(P1113&lt;&gt;"",P1113&gt;0),(I1113+J1113+K1113)/P1113,"")</f>
        <v/>
      </c>
    </row>
    <row r="986" ht="27" customHeight="1">
      <c r="A986" s="5" t="inlineStr">
        <is>
          <t>2026-06-10</t>
        </is>
      </c>
      <c r="B986" s="5" t="inlineStr">
        <is>
          <t>24周</t>
        </is>
      </c>
      <c r="C986" s="5" t="inlineStr">
        <is>
          <t>抖音</t>
        </is>
      </c>
      <c r="D986" s="5" t="n"/>
      <c r="E986" s="5" t="n"/>
      <c r="F986" s="5" t="inlineStr">
        <is>
          <t>https://v.douyin.com/E8Li39poFgE/ m@d.NJ 08/25 vSY:/ :7pm</t>
        </is>
      </c>
      <c r="G986" s="5" t="inlineStr">
        <is>
          <t>459</t>
        </is>
      </c>
      <c r="H986" s="5" t="inlineStr">
        <is>
          <t>口播</t>
        </is>
      </c>
      <c r="I986" s="5" t="n">
        <v>40.09</v>
      </c>
      <c r="J986" s="5" t="n"/>
      <c r="K986" s="5" t="n"/>
      <c r="L986" s="5" t="n">
        <v>3500</v>
      </c>
      <c r="M986" s="5" t="n">
        <v>305</v>
      </c>
      <c r="N986" s="5" t="n">
        <v>52</v>
      </c>
      <c r="O986" s="5" t="n">
        <v>15</v>
      </c>
      <c r="P986" s="8">
        <f>IF(AND(M1114&lt;&gt;"",M1114&gt;0),M1114+N1114+O1114,"")</f>
        <v/>
      </c>
      <c r="Q986" s="11">
        <f>IF(AND(L1114&lt;&gt;"",L1114&gt;0,P1114&lt;&gt;""),P1114/L1114,"")</f>
        <v/>
      </c>
      <c r="R986" s="16">
        <f>IF(AND(P1114&lt;&gt;"",P1114&gt;0),(I1114+J1114+K1114)/P1114,"")</f>
        <v/>
      </c>
    </row>
    <row r="987" ht="27" customHeight="1">
      <c r="A987" s="5" t="inlineStr">
        <is>
          <t>2026-06-10</t>
        </is>
      </c>
      <c r="B987" s="5" t="inlineStr">
        <is>
          <t>24周</t>
        </is>
      </c>
      <c r="C987" s="5" t="inlineStr">
        <is>
          <t>抖音</t>
        </is>
      </c>
      <c r="D987" s="5" t="n"/>
      <c r="E987" s="5" t="n"/>
      <c r="F987" s="5" t="inlineStr">
        <is>
          <t>https://v.douyin.com/x8M7FDRwA-4/</t>
        </is>
      </c>
      <c r="G987" s="5" t="inlineStr">
        <is>
          <t>489</t>
        </is>
      </c>
      <c r="H987" s="5" t="inlineStr">
        <is>
          <t>穿搭</t>
        </is>
      </c>
      <c r="I987" s="5" t="n">
        <v>102.4</v>
      </c>
      <c r="J987" s="5" t="n"/>
      <c r="K987" s="5" t="n"/>
      <c r="L987" s="5" t="n">
        <v>75000</v>
      </c>
      <c r="M987" s="5" t="n">
        <v>1052</v>
      </c>
      <c r="N987" s="5" t="n">
        <v>200</v>
      </c>
      <c r="O987" s="5" t="n">
        <v>45</v>
      </c>
      <c r="P987" s="8">
        <f>IF(AND(M1115&lt;&gt;"",M1115&gt;0),M1115+N1115+O1115,"")</f>
        <v/>
      </c>
      <c r="Q987" s="11">
        <f>IF(AND(L1115&lt;&gt;"",L1115&gt;0,P1115&lt;&gt;""),P1115/L1115,"")</f>
        <v/>
      </c>
      <c r="R987" s="16">
        <f>IF(AND(P1115&lt;&gt;"",P1115&gt;0),(I1115+J1115+K1115)/P1115,"")</f>
        <v/>
      </c>
    </row>
    <row r="988" ht="27" customHeight="1">
      <c r="A988" s="5" t="inlineStr">
        <is>
          <t>2026-06-10</t>
        </is>
      </c>
      <c r="B988" s="5" t="inlineStr">
        <is>
          <t>24周</t>
        </is>
      </c>
      <c r="C988" s="5" t="inlineStr">
        <is>
          <t>抖音</t>
        </is>
      </c>
      <c r="D988" s="5" t="n"/>
      <c r="E988" s="5" t="n"/>
      <c r="F988" s="5" t="inlineStr">
        <is>
          <t>https://www.douyin.com/user/self?from_tab_name=main&amp;modal_id=7649711533464286651&amp;showTab=like</t>
        </is>
      </c>
      <c r="G988" s="5" t="inlineStr">
        <is>
          <t>459</t>
        </is>
      </c>
      <c r="H988" s="5" t="inlineStr">
        <is>
          <t>穿搭</t>
        </is>
      </c>
      <c r="I988" s="5" t="n">
        <v>24.89</v>
      </c>
      <c r="J988" s="5" t="n"/>
      <c r="K988" s="5" t="n"/>
      <c r="L988" s="5" t="n">
        <v>50000</v>
      </c>
      <c r="M988" s="5" t="n">
        <v>5369</v>
      </c>
      <c r="N988" s="5" t="n">
        <v>526</v>
      </c>
      <c r="O988" s="5" t="n">
        <v>104</v>
      </c>
      <c r="P988" s="8">
        <f>IF(AND(M1116&lt;&gt;"",M1116&gt;0),M1116+N1116+O1116,"")</f>
        <v/>
      </c>
      <c r="Q988" s="11">
        <f>IF(AND(L1116&lt;&gt;"",L1116&gt;0,P1116&lt;&gt;""),P1116/L1116,"")</f>
        <v/>
      </c>
      <c r="R988" s="16">
        <f>IF(AND(P1116&lt;&gt;"",P1116&gt;0),(I1116+J1116+K1116)/P1116,"")</f>
        <v/>
      </c>
    </row>
    <row r="989" ht="27" customHeight="1">
      <c r="A989" s="5" t="inlineStr">
        <is>
          <t>2026-06-10</t>
        </is>
      </c>
      <c r="B989" s="5" t="inlineStr">
        <is>
          <t>24周</t>
        </is>
      </c>
      <c r="C989" s="5" t="inlineStr">
        <is>
          <t>小红书</t>
        </is>
      </c>
      <c r="D989" s="5" t="n"/>
      <c r="E989" s="5" t="n"/>
      <c r="F989" s="5" t="inlineStr">
        <is>
          <t>https://www.xiaohongshu.com/discovery/item/6a28cfef00000000220251a8?xsec_token=CB1DhdJFLUKVdflEjm5wpc47xE22Nmy1yuAbvyA8HZl8M=&amp;xsec_source=app_share</t>
        </is>
      </c>
      <c r="G989" s="5" t="inlineStr">
        <is>
          <t>459</t>
        </is>
      </c>
      <c r="H989" s="5" t="inlineStr">
        <is>
          <t>穿搭</t>
        </is>
      </c>
      <c r="I989" s="5" t="n">
        <v>37.34</v>
      </c>
      <c r="J989" s="5" t="n"/>
      <c r="K989" s="5" t="n"/>
      <c r="L989" s="5" t="n">
        <v>2274</v>
      </c>
      <c r="M989" s="5" t="n">
        <v>142</v>
      </c>
      <c r="N989" s="5" t="n">
        <v>24</v>
      </c>
      <c r="O989" s="5" t="n">
        <v>8</v>
      </c>
      <c r="P989" s="8">
        <f>IF(AND(M1117&lt;&gt;"",M1117&gt;0),M1117+N1117+O1117,"")</f>
        <v/>
      </c>
      <c r="Q989" s="11">
        <f>IF(AND(L1117&lt;&gt;"",L1117&gt;0,P1117&lt;&gt;""),P1117/L1117,"")</f>
        <v/>
      </c>
      <c r="R989" s="16">
        <f>IF(AND(P1117&lt;&gt;"",P1117&gt;0),(I1117+J1117+K1117)/P1117,"")</f>
        <v/>
      </c>
    </row>
    <row r="990" ht="27" customHeight="1">
      <c r="A990" s="5" t="inlineStr">
        <is>
          <t>2026-06-10</t>
        </is>
      </c>
      <c r="B990" s="5" t="inlineStr">
        <is>
          <t>24周</t>
        </is>
      </c>
      <c r="C990" s="5" t="inlineStr">
        <is>
          <t>小红书</t>
        </is>
      </c>
      <c r="D990" s="5" t="n"/>
      <c r="E990" s="5" t="n"/>
      <c r="F990" s="5" t="inlineStr">
        <is>
          <t>https://www.xiaohongshu.com/discovery/item/6a297428000000002202c06c?xsec_token=CBB0IjZpQBEhNwRqvhh0KIbG1V-Uvn8UD1uoMDI7WvE4M=&amp;xsec_source=app_share&amp;type=video</t>
        </is>
      </c>
      <c r="G990" s="5" t="inlineStr">
        <is>
          <t>0002A1</t>
        </is>
      </c>
      <c r="H990" s="5" t="inlineStr">
        <is>
          <t>银白穿搭口播合集</t>
        </is>
      </c>
      <c r="I990" s="5" t="n">
        <v>367.73</v>
      </c>
      <c r="J990" s="5" t="n"/>
      <c r="K990" s="5" t="n"/>
      <c r="L990" s="5" t="n">
        <v>62730</v>
      </c>
      <c r="M990" s="5" t="n">
        <v>13336</v>
      </c>
      <c r="N990" s="5" t="n">
        <v>2723</v>
      </c>
      <c r="O990" s="5" t="n">
        <v>75</v>
      </c>
      <c r="P990" s="8">
        <f>IF(AND(M1118&lt;&gt;"",M1118&gt;0),M1118+N1118+O1118,"")</f>
        <v/>
      </c>
      <c r="Q990" s="11">
        <f>IF(AND(L1118&lt;&gt;"",L1118&gt;0,P1118&lt;&gt;""),P1118/L1118,"")</f>
        <v/>
      </c>
      <c r="R990" s="16">
        <f>IF(AND(P1118&lt;&gt;"",P1118&gt;0),(I1118+J1118+K1118)/P1118,"")</f>
        <v/>
      </c>
    </row>
    <row r="991" ht="27" customHeight="1">
      <c r="A991" s="5" t="inlineStr">
        <is>
          <t>2026-06-10</t>
        </is>
      </c>
      <c r="B991" s="5" t="inlineStr">
        <is>
          <t>24周</t>
        </is>
      </c>
      <c r="C991" s="5" t="inlineStr">
        <is>
          <t>小红书</t>
        </is>
      </c>
      <c r="D991" s="5" t="n"/>
      <c r="E991" s="5" t="n"/>
      <c r="F991" s="5" t="inlineStr">
        <is>
          <t>https://www.xiaohongshu.com/discovery/item/6a29806600000000080325fa?xsec_token=CBB0IjZpQBEhNwRqvhh0KIbKVSRZxZI9DG7bZpd3lwV7g=&amp;xsec_source=app_share&amp;type=video</t>
        </is>
      </c>
      <c r="G991" s="5" t="inlineStr">
        <is>
          <t>489</t>
        </is>
      </c>
      <c r="H991" s="5" t="inlineStr">
        <is>
          <t>通勤穿搭</t>
        </is>
      </c>
      <c r="I991" s="5" t="n">
        <v>102.4</v>
      </c>
      <c r="J991" s="5" t="n"/>
      <c r="K991" s="5" t="n"/>
      <c r="L991" s="5" t="n">
        <v>2108</v>
      </c>
      <c r="M991" s="5" t="n">
        <v>133</v>
      </c>
      <c r="N991" s="5" t="n">
        <v>21</v>
      </c>
      <c r="O991" s="5" t="n">
        <v>15</v>
      </c>
      <c r="P991" s="8">
        <f>IF(AND(M1119&lt;&gt;"",M1119&gt;0),M1119+N1119+O1119,"")</f>
        <v/>
      </c>
      <c r="Q991" s="11">
        <f>IF(AND(L1119&lt;&gt;"",L1119&gt;0,P1119&lt;&gt;""),P1119/L1119,"")</f>
        <v/>
      </c>
      <c r="R991" s="16">
        <f>IF(AND(P1119&lt;&gt;"",P1119&gt;0),(I1119+J1119+K1119)/P1119,"")</f>
        <v/>
      </c>
    </row>
    <row r="992" ht="67.5" customHeight="1">
      <c r="A992" s="5" t="inlineStr">
        <is>
          <t>2026-06-11</t>
        </is>
      </c>
      <c r="B992" s="5" t="inlineStr">
        <is>
          <t>24周</t>
        </is>
      </c>
      <c r="C992" s="5" t="inlineStr">
        <is>
          <t>抖音</t>
        </is>
      </c>
      <c r="D992" s="5" t="n"/>
      <c r="E992" s="5" t="n"/>
      <c r="F992" s="5" t="inlineStr">
        <is>
          <t>https://v.douyin.com/27RKsqA3JXY/</t>
        </is>
      </c>
      <c r="G992" s="5" t="inlineStr">
        <is>
          <t>489</t>
        </is>
      </c>
      <c r="H992" s="5" t="inlineStr">
        <is>
          <t>赵露思</t>
        </is>
      </c>
      <c r="I992" s="5" t="n">
        <v>24.625</v>
      </c>
      <c r="J992" s="5" t="n"/>
      <c r="K992" s="5" t="n"/>
      <c r="L992" s="5" t="n">
        <v>30000</v>
      </c>
      <c r="M992" s="5" t="n">
        <v>1365</v>
      </c>
      <c r="N992" s="5" t="n">
        <v>19</v>
      </c>
      <c r="O992" s="5" t="n">
        <v>136</v>
      </c>
      <c r="P992" s="8">
        <f>IF(AND(M1120&lt;&gt;"",M1120&gt;0),M1120+N1120+O1120,"")</f>
        <v/>
      </c>
      <c r="Q992" s="11">
        <f>IF(AND(L1120&lt;&gt;"",L1120&gt;0,P1120&lt;&gt;""),P1120/L1120,"")</f>
        <v/>
      </c>
      <c r="R992" s="16">
        <f>IF(AND(P1120&lt;&gt;"",P1120&gt;0),(I1120+J1120+K1120)/P1120,"")</f>
        <v/>
      </c>
    </row>
    <row r="993" ht="40.5" customHeight="1">
      <c r="A993" s="5" t="inlineStr">
        <is>
          <t>2026-06-11</t>
        </is>
      </c>
      <c r="B993" s="5" t="inlineStr">
        <is>
          <t>24周</t>
        </is>
      </c>
      <c r="C993" s="5" t="inlineStr">
        <is>
          <t>抖音</t>
        </is>
      </c>
      <c r="D993" s="5" t="n"/>
      <c r="E993" s="5" t="n"/>
      <c r="F993" s="5" t="inlineStr">
        <is>
          <t>https://v.douyin.com/XWeS1L4EPTU/</t>
        </is>
      </c>
      <c r="G993" s="5" t="inlineStr">
        <is>
          <t>489</t>
        </is>
      </c>
      <c r="H993" s="5" t="inlineStr">
        <is>
          <t>马嘉祺</t>
        </is>
      </c>
      <c r="I993" s="5" t="n">
        <v>49.25</v>
      </c>
      <c r="J993" s="5" t="n"/>
      <c r="K993" s="5" t="n"/>
      <c r="L993" s="5" t="n">
        <v>18000</v>
      </c>
      <c r="M993" s="5" t="n">
        <v>1094</v>
      </c>
      <c r="N993" s="5" t="n">
        <v>6</v>
      </c>
      <c r="O993" s="5" t="n">
        <v>7</v>
      </c>
      <c r="P993" s="8">
        <f>IF(AND(M1121&lt;&gt;"",M1121&gt;0),M1121+N1121+O1121,"")</f>
        <v/>
      </c>
      <c r="Q993" s="11">
        <f>IF(AND(L1121&lt;&gt;"",L1121&gt;0,P1121&lt;&gt;""),P1121/L1121,"")</f>
        <v/>
      </c>
      <c r="R993" s="16">
        <f>IF(AND(P1121&lt;&gt;"",P1121&gt;0),(I1121+J1121+K1121)/P1121,"")</f>
        <v/>
      </c>
    </row>
    <row r="994" ht="67.5" customHeight="1">
      <c r="A994" s="5" t="inlineStr">
        <is>
          <t>2026-06-11</t>
        </is>
      </c>
      <c r="B994" s="5" t="inlineStr">
        <is>
          <t>24周</t>
        </is>
      </c>
      <c r="C994" s="5" t="inlineStr">
        <is>
          <t>小红书</t>
        </is>
      </c>
      <c r="D994" s="5" t="n"/>
      <c r="E994" s="5" t="n"/>
      <c r="F994" s="5" t="inlineStr">
        <is>
          <t>https://www.xiaohongshu.com/discovery/item/6a2a8e48000000001700a57c?xsec_token=CB0u06LrWWOqdp59pKqY3q96TUv3nZChb8HDNzLttzUxw=&amp;xsec_source=app_share&amp;type=video</t>
        </is>
      </c>
      <c r="G994" s="5" t="inlineStr">
        <is>
          <t>489</t>
        </is>
      </c>
      <c r="H994" s="5" t="inlineStr">
        <is>
          <t>陈奕恒</t>
        </is>
      </c>
      <c r="I994" s="5" t="n">
        <v>27.4</v>
      </c>
      <c r="J994" s="5" t="n"/>
      <c r="K994" s="5" t="n"/>
      <c r="L994" s="5" t="n">
        <v>8110</v>
      </c>
      <c r="M994" s="5" t="n">
        <v>556</v>
      </c>
      <c r="N994" s="5" t="n">
        <v>184</v>
      </c>
      <c r="O994" s="5" t="n">
        <v>14</v>
      </c>
      <c r="P994" s="8">
        <f>IF(AND(M1122&lt;&gt;"",M1122&gt;0),M1122+N1122+O1122,"")</f>
        <v/>
      </c>
      <c r="Q994" s="11">
        <f>IF(AND(L1122&lt;&gt;"",L1122&gt;0,P1122&lt;&gt;""),P1122/L1122,"")</f>
        <v/>
      </c>
      <c r="R994" s="16">
        <f>IF(AND(P1122&lt;&gt;"",P1122&gt;0),(I1122+J1122+K1122)/P1122,"")</f>
        <v/>
      </c>
    </row>
    <row r="995" ht="81" customHeight="1">
      <c r="A995" s="5" t="inlineStr">
        <is>
          <t>2026-06-11</t>
        </is>
      </c>
      <c r="B995" s="5" t="inlineStr">
        <is>
          <t>24周</t>
        </is>
      </c>
      <c r="C995" s="5" t="inlineStr">
        <is>
          <t>小红书</t>
        </is>
      </c>
      <c r="D995" s="5" t="n"/>
      <c r="E995" s="5" t="n"/>
      <c r="F995" s="5" t="inlineStr">
        <is>
          <t>https://www.xiaohongshu.com/discovery/item/6a2aacbd000000003501cb48?xsec_token=CB0u06LrWWOqdp59pKqY3q9wNXR_3qRII-rs3oN8fp82w=&amp;xsec_source=app_share</t>
        </is>
      </c>
      <c r="G995" s="5" t="inlineStr">
        <is>
          <t>489</t>
        </is>
      </c>
      <c r="H995" s="5" t="inlineStr">
        <is>
          <t>赵露思</t>
        </is>
      </c>
      <c r="I995" s="5" t="n">
        <v>24.625</v>
      </c>
      <c r="J995" s="5" t="n"/>
      <c r="K995" s="5" t="n"/>
      <c r="L995" s="5" t="n">
        <v>2707</v>
      </c>
      <c r="M995" s="5" t="n">
        <v>528</v>
      </c>
      <c r="N995" s="5" t="n">
        <v>69</v>
      </c>
      <c r="O995" s="5" t="n">
        <v>275</v>
      </c>
      <c r="P995" s="8">
        <f>IF(AND(M1123&lt;&gt;"",M1123&gt;0),M1123+N1123+O1123,"")</f>
        <v/>
      </c>
      <c r="Q995" s="11">
        <f>IF(AND(L1123&lt;&gt;"",L1123&gt;0,P1123&lt;&gt;""),P1123/L1123,"")</f>
        <v/>
      </c>
      <c r="R995" s="16">
        <f>IF(AND(P1123&lt;&gt;"",P1123&gt;0),(I1123+J1123+K1123)/P1123,"")</f>
        <v/>
      </c>
    </row>
    <row r="996" ht="67.5" customHeight="1">
      <c r="A996" s="5" t="inlineStr">
        <is>
          <t>2026-06-12</t>
        </is>
      </c>
      <c r="B996" s="5" t="inlineStr">
        <is>
          <t>24周</t>
        </is>
      </c>
      <c r="C996" s="5" t="inlineStr">
        <is>
          <t>抖音</t>
        </is>
      </c>
      <c r="D996" s="5" t="n"/>
      <c r="E996" s="5" t="n"/>
      <c r="F996" s="5" t="inlineStr">
        <is>
          <t>https://v.douyin.com/cShXeKlJ8-E/</t>
        </is>
      </c>
      <c r="G996" s="5" t="inlineStr">
        <is>
          <t>489</t>
        </is>
      </c>
      <c r="H996" s="5" t="inlineStr">
        <is>
          <t>赵露思</t>
        </is>
      </c>
      <c r="I996" s="5" t="n">
        <v>49.25</v>
      </c>
      <c r="J996" s="5" t="n"/>
      <c r="K996" s="5" t="n"/>
      <c r="L996" s="5" t="n">
        <v>5460</v>
      </c>
      <c r="M996" s="5" t="n">
        <v>286</v>
      </c>
      <c r="N996" s="5" t="n">
        <v>14</v>
      </c>
      <c r="O996" s="5" t="n">
        <v>21</v>
      </c>
      <c r="P996" s="8">
        <f>IF(AND(M1124&lt;&gt;"",M1124&gt;0),M1124+N1124+O1124,"")</f>
        <v/>
      </c>
      <c r="Q996" s="11">
        <f>IF(AND(L1124&lt;&gt;"",L1124&gt;0,P1124&lt;&gt;""),P1124/L1124,"")</f>
        <v/>
      </c>
      <c r="R996" s="16">
        <f>IF(AND(P1124&lt;&gt;"",P1124&gt;0),(I1124+J1124+K1124)/P1124,"")</f>
        <v/>
      </c>
    </row>
    <row r="997" ht="94.5" customHeight="1">
      <c r="A997" s="5" t="inlineStr">
        <is>
          <t>2026-06-12</t>
        </is>
      </c>
      <c r="B997" s="5" t="inlineStr">
        <is>
          <t>24周</t>
        </is>
      </c>
      <c r="C997" s="5" t="inlineStr">
        <is>
          <t>抖音</t>
        </is>
      </c>
      <c r="D997" s="5" t="n"/>
      <c r="E997" s="5" t="n"/>
      <c r="F997" s="5" t="inlineStr">
        <is>
          <t>https://v.douyin.com/THKNi7vnz_g/</t>
        </is>
      </c>
      <c r="G997" s="5" t="inlineStr">
        <is>
          <t>489</t>
        </is>
      </c>
      <c r="H997" s="5" t="inlineStr">
        <is>
          <t>赵露思</t>
        </is>
      </c>
      <c r="I997" s="5" t="n">
        <v>24.625</v>
      </c>
      <c r="J997" s="5" t="n"/>
      <c r="K997" s="5" t="n"/>
      <c r="L997" s="5" t="n">
        <v>11000</v>
      </c>
      <c r="M997" s="5" t="n">
        <v>838</v>
      </c>
      <c r="N997" s="5" t="n">
        <v>39</v>
      </c>
      <c r="O997" s="5" t="n">
        <v>85</v>
      </c>
      <c r="P997" s="8">
        <f>IF(AND(M1125&lt;&gt;"",M1125&gt;0),M1125+N1125+O1125,"")</f>
        <v/>
      </c>
      <c r="Q997" s="11">
        <f>IF(AND(L1125&lt;&gt;"",L1125&gt;0,P1125&lt;&gt;""),P1125/L1125,"")</f>
        <v/>
      </c>
      <c r="R997" s="16">
        <f>IF(AND(P1125&lt;&gt;"",P1125&gt;0),(I1125+J1125+K1125)/P1125,"")</f>
        <v/>
      </c>
    </row>
    <row r="998" ht="67.5" customHeight="1">
      <c r="A998" s="5" t="inlineStr">
        <is>
          <t>2026-06-12</t>
        </is>
      </c>
      <c r="B998" s="5" t="inlineStr">
        <is>
          <t>24周</t>
        </is>
      </c>
      <c r="C998" s="5" t="inlineStr">
        <is>
          <t>抖音</t>
        </is>
      </c>
      <c r="D998" s="5" t="n"/>
      <c r="E998" s="5" t="n"/>
      <c r="F998" s="5" t="inlineStr">
        <is>
          <t>https://v.douyin.com/xijz7Goh8iE/</t>
        </is>
      </c>
      <c r="G998" s="5" t="inlineStr">
        <is>
          <t>489</t>
        </is>
      </c>
      <c r="H998" s="5" t="inlineStr">
        <is>
          <t>赵露思</t>
        </is>
      </c>
      <c r="I998" s="5" t="n">
        <v>24.625</v>
      </c>
      <c r="J998" s="5" t="n"/>
      <c r="K998" s="5" t="n"/>
      <c r="L998" s="5" t="n">
        <v>2318</v>
      </c>
      <c r="M998" s="5" t="n">
        <v>252</v>
      </c>
      <c r="N998" s="5" t="n">
        <v>6</v>
      </c>
      <c r="O998" s="5" t="n">
        <v>3</v>
      </c>
      <c r="P998" s="8">
        <f>IF(AND(M1126&lt;&gt;"",M1126&gt;0),M1126+N1126+O1126,"")</f>
        <v/>
      </c>
      <c r="Q998" s="11">
        <f>IF(AND(L1126&lt;&gt;"",L1126&gt;0,P1126&lt;&gt;""),P1126/L1126,"")</f>
        <v/>
      </c>
      <c r="R998" s="16">
        <f>IF(AND(P1126&lt;&gt;"",P1126&gt;0),(I1126+J1126+K1126)/P1126,"")</f>
        <v/>
      </c>
    </row>
    <row r="999" ht="94.5" customHeight="1">
      <c r="A999" s="5" t="inlineStr">
        <is>
          <t>2026-06-12</t>
        </is>
      </c>
      <c r="B999" s="5" t="inlineStr">
        <is>
          <t>24周</t>
        </is>
      </c>
      <c r="C999" s="5" t="inlineStr">
        <is>
          <t>抖音</t>
        </is>
      </c>
      <c r="D999" s="5" t="n"/>
      <c r="E999" s="5" t="n"/>
      <c r="F999" s="5" t="inlineStr">
        <is>
          <t>https://www.douyin.com/user/MS4wLjABAAAAzAfY39T3CbdjQjnLUmih2MhXNAVr3m2cvPbc3ekpLHUDGc7YGJTNT59ysBqgV9VH?from_tab_name=main&amp;modal_id=7650454209808263921</t>
        </is>
      </c>
      <c r="G999" s="5" t="inlineStr">
        <is>
          <t>489</t>
        </is>
      </c>
      <c r="H999" s="5" t="inlineStr">
        <is>
          <t>陈奕恒</t>
        </is>
      </c>
      <c r="I999" s="5" t="n">
        <v>27.375</v>
      </c>
      <c r="J999" s="5" t="n"/>
      <c r="K999" s="5" t="n"/>
      <c r="L999" s="5" t="n">
        <v>18000</v>
      </c>
      <c r="M999" s="5" t="n">
        <v>1276</v>
      </c>
      <c r="N999" s="5" t="n">
        <v>154</v>
      </c>
      <c r="O999" s="5" t="n">
        <v>11</v>
      </c>
      <c r="P999" s="8">
        <f>IF(AND(M1127&lt;&gt;"",M1127&gt;0),M1127+N1127+O1127,"")</f>
        <v/>
      </c>
      <c r="Q999" s="11">
        <f>IF(AND(L1127&lt;&gt;"",L1127&gt;0,P1127&lt;&gt;""),P1127/L1127,"")</f>
        <v/>
      </c>
      <c r="R999" s="16">
        <f>IF(AND(P1127&lt;&gt;"",P1127&gt;0),(I1127+J1127+K1127)/P1127,"")</f>
        <v/>
      </c>
    </row>
    <row r="1000" ht="81" customHeight="1">
      <c r="A1000" s="5" t="inlineStr">
        <is>
          <t>2026-06-12</t>
        </is>
      </c>
      <c r="B1000" s="5" t="inlineStr">
        <is>
          <t>24周</t>
        </is>
      </c>
      <c r="C1000" s="5" t="inlineStr">
        <is>
          <t>抖音</t>
        </is>
      </c>
      <c r="D1000" s="5" t="n"/>
      <c r="E1000" s="5" t="n"/>
      <c r="F1000" s="5" t="inlineStr">
        <is>
          <t>https://v.douyin.com/u3wUysw9qsQ/</t>
        </is>
      </c>
      <c r="G1000" s="5" t="inlineStr">
        <is>
          <t>495</t>
        </is>
      </c>
      <c r="H1000" s="5" t="inlineStr">
        <is>
          <t>群像穿搭</t>
        </is>
      </c>
      <c r="I1000" s="5" t="n">
        <v>94.23999999999999</v>
      </c>
      <c r="J1000" s="5" t="n"/>
      <c r="K1000" s="5" t="n"/>
      <c r="L1000" s="5" t="n">
        <v>120000</v>
      </c>
      <c r="M1000" s="5" t="n">
        <v>1650</v>
      </c>
      <c r="N1000" s="5" t="n">
        <v>409</v>
      </c>
      <c r="O1000" s="5" t="n">
        <v>59</v>
      </c>
      <c r="P1000" s="8">
        <f>IF(AND(M1128&lt;&gt;"",M1128&gt;0),M1128+N1128+O1128,"")</f>
        <v/>
      </c>
      <c r="Q1000" s="11">
        <f>IF(AND(L1128&lt;&gt;"",L1128&gt;0,P1128&lt;&gt;""),P1128/L1128,"")</f>
        <v/>
      </c>
      <c r="R1000" s="16">
        <f>IF(AND(P1128&lt;&gt;"",P1128&gt;0),(I1128+J1128+K1128)/P1128,"")</f>
        <v/>
      </c>
    </row>
    <row r="1001" ht="27" customHeight="1">
      <c r="A1001" s="5" t="inlineStr">
        <is>
          <t>2026-06-12</t>
        </is>
      </c>
      <c r="B1001" s="5" t="inlineStr">
        <is>
          <t>24周</t>
        </is>
      </c>
      <c r="C1001" s="5" t="inlineStr">
        <is>
          <t>抖音</t>
        </is>
      </c>
      <c r="D1001" s="5" t="n"/>
      <c r="E1001" s="5" t="n"/>
      <c r="F1001" s="5" t="inlineStr">
        <is>
          <t>https://v.douyin.com/xqiNSbMjARA/</t>
        </is>
      </c>
      <c r="G1001" s="5" t="inlineStr">
        <is>
          <t>459</t>
        </is>
      </c>
      <c r="H1001" s="5" t="inlineStr">
        <is>
          <t>穿搭</t>
        </is>
      </c>
      <c r="I1001" s="5" t="n">
        <v>20.1</v>
      </c>
      <c r="J1001" s="5" t="n"/>
      <c r="K1001" s="5" t="n"/>
      <c r="L1001" s="5" t="n">
        <v>1800</v>
      </c>
      <c r="M1001" s="5" t="n">
        <v>146</v>
      </c>
      <c r="N1001" s="5" t="n">
        <v>12</v>
      </c>
      <c r="O1001" s="5" t="n">
        <v>4</v>
      </c>
      <c r="P1001" s="8">
        <f>IF(AND(M1129&lt;&gt;"",M1129&gt;0),M1129+N1129+O1129,"")</f>
        <v/>
      </c>
      <c r="Q1001" s="11">
        <f>IF(AND(L1129&lt;&gt;"",L1129&gt;0,P1129&lt;&gt;""),P1129/L1129,"")</f>
        <v/>
      </c>
      <c r="R1001" s="16">
        <f>IF(AND(P1129&lt;&gt;"",P1129&gt;0),(I1129+J1129+K1129)/P1129,"")</f>
        <v/>
      </c>
    </row>
    <row r="1002" ht="27" customHeight="1">
      <c r="A1002" s="5" t="inlineStr">
        <is>
          <t>2026-06-12</t>
        </is>
      </c>
      <c r="B1002" s="5" t="inlineStr">
        <is>
          <t>24周</t>
        </is>
      </c>
      <c r="C1002" s="5" t="inlineStr">
        <is>
          <t>小红书</t>
        </is>
      </c>
      <c r="D1002" s="5" t="n"/>
      <c r="E1002" s="5" t="n"/>
      <c r="F1002" s="5" t="inlineStr">
        <is>
          <t>https://www.xiaohongshu.com/discovery/item/6a2beda00000000008001e1e?xsec_token=CBfY9nBpY8a7CRymFFI_G-g9cCT7kDXJrtNhRZcHfgcsk=&amp;xsec_source=app_share</t>
        </is>
      </c>
      <c r="G1002" s="5" t="inlineStr">
        <is>
          <t>489</t>
        </is>
      </c>
      <c r="H1002" s="5" t="inlineStr">
        <is>
          <t>赵露思</t>
        </is>
      </c>
      <c r="I1002" s="5" t="n">
        <v>24.625</v>
      </c>
      <c r="J1002" s="5" t="n"/>
      <c r="K1002" s="5" t="n"/>
      <c r="L1002" s="5" t="n">
        <v>411</v>
      </c>
      <c r="M1002" s="5" t="n">
        <v>17</v>
      </c>
      <c r="N1002" s="5" t="n">
        <v>0</v>
      </c>
      <c r="O1002" s="5" t="n">
        <v>7</v>
      </c>
      <c r="P1002" s="8">
        <f>IF(AND(M1130&lt;&gt;"",M1130&gt;0),M1130+N1130+O1130,"")</f>
        <v/>
      </c>
      <c r="Q1002" s="11">
        <f>IF(AND(L1130&lt;&gt;"",L1130&gt;0,P1130&lt;&gt;""),P1130/L1130,"")</f>
        <v/>
      </c>
      <c r="R1002" s="16">
        <f>IF(AND(P1130&lt;&gt;"",P1130&gt;0),(I1130+J1130+K1130)/P1130,"")</f>
        <v/>
      </c>
    </row>
    <row r="1003" ht="40.5" customHeight="1">
      <c r="A1003" s="5" t="inlineStr">
        <is>
          <t>2026-06-12</t>
        </is>
      </c>
      <c r="B1003" s="5" t="inlineStr">
        <is>
          <t>24周</t>
        </is>
      </c>
      <c r="C1003" s="5" t="inlineStr">
        <is>
          <t>小红书</t>
        </is>
      </c>
      <c r="D1003" s="5" t="n"/>
      <c r="E1003" s="5" t="n"/>
      <c r="F1003" s="5" t="inlineStr">
        <is>
          <t>https://www.xiaohongshu.com/discovery/item/6a2bf1a00000000007010813?xsec_token=CBdQ6GgHhirtUD0V943ByWPY8Fe7DLr8m5YrUDxehny8E=&amp;xsec_source=app_share</t>
        </is>
      </c>
      <c r="G1003" s="5" t="inlineStr">
        <is>
          <t>489</t>
        </is>
      </c>
      <c r="H1003" s="5" t="inlineStr">
        <is>
          <t>赵露思</t>
        </is>
      </c>
      <c r="I1003" s="5" t="n">
        <v>24.625</v>
      </c>
      <c r="J1003" s="5" t="n"/>
      <c r="K1003" s="5" t="n"/>
      <c r="L1003" s="5" t="n">
        <v>327</v>
      </c>
      <c r="M1003" s="5" t="n">
        <v>32</v>
      </c>
      <c r="N1003" s="5" t="n">
        <v>0</v>
      </c>
      <c r="O1003" s="5" t="n">
        <v>0</v>
      </c>
      <c r="P1003" s="8">
        <f>IF(AND(M1131&lt;&gt;"",M1131&gt;0),M1131+N1131+O1131,"")</f>
        <v/>
      </c>
      <c r="Q1003" s="11">
        <f>IF(AND(L1131&lt;&gt;"",L1131&gt;0,P1131&lt;&gt;""),P1131/L1131,"")</f>
        <v/>
      </c>
      <c r="R1003" s="16">
        <f>IF(AND(P1131&lt;&gt;"",P1131&gt;0),(I1131+J1131+K1131)/P1131,"")</f>
        <v/>
      </c>
    </row>
    <row r="1004" ht="81" customHeight="1">
      <c r="A1004" s="5" t="inlineStr">
        <is>
          <t>2026-06-13</t>
        </is>
      </c>
      <c r="B1004" s="5" t="inlineStr">
        <is>
          <t>24周</t>
        </is>
      </c>
      <c r="C1004" s="5" t="inlineStr">
        <is>
          <t>抖音</t>
        </is>
      </c>
      <c r="D1004" s="5" t="n"/>
      <c r="E1004" s="5" t="n"/>
      <c r="F1004" s="5" t="inlineStr">
        <is>
          <t>https://v.douyin.com/qV2aY-HQcDM/</t>
        </is>
      </c>
      <c r="G1004" s="5" t="inlineStr">
        <is>
          <t>489</t>
        </is>
      </c>
      <c r="H1004" s="5" t="inlineStr">
        <is>
          <t>穿搭</t>
        </is>
      </c>
      <c r="I1004" s="5" t="n">
        <v>216.416</v>
      </c>
      <c r="J1004" s="5" t="n"/>
      <c r="K1004" s="5" t="n"/>
      <c r="L1004" s="5" t="n">
        <v>5536</v>
      </c>
      <c r="M1004" s="5" t="n">
        <v>155</v>
      </c>
      <c r="N1004" s="5" t="n">
        <v>20</v>
      </c>
      <c r="O1004" s="5" t="n">
        <v>27</v>
      </c>
      <c r="P1004" s="8">
        <f>IF(AND(M1132&lt;&gt;"",M1132&gt;0),M1132+N1132+O1132,"")</f>
        <v/>
      </c>
      <c r="Q1004" s="11">
        <f>IF(AND(L1132&lt;&gt;"",L1132&gt;0,P1132&lt;&gt;""),P1132/L1132,"")</f>
        <v/>
      </c>
      <c r="R1004" s="16">
        <f>IF(AND(P1132&lt;&gt;"",P1132&gt;0),(I1132+J1132+K1132)/P1132,"")</f>
        <v/>
      </c>
    </row>
    <row r="1005" ht="67.5" customHeight="1">
      <c r="A1005" s="5" t="inlineStr">
        <is>
          <t>2026-06-13</t>
        </is>
      </c>
      <c r="B1005" s="5" t="inlineStr">
        <is>
          <t>24周</t>
        </is>
      </c>
      <c r="C1005" s="5" t="inlineStr">
        <is>
          <t>抖音</t>
        </is>
      </c>
      <c r="D1005" s="5" t="n"/>
      <c r="E1005" s="5" t="n"/>
      <c r="F1005" s="5" t="inlineStr">
        <is>
          <t>https://www.douyin.com/user/MS4wLjABAAAAfynAoS3gxyiN8HrLp1g1ExZ1JtQwL_M1WD7pMk3cTLPp3Ip1aMNKSQ37mBnsACur?from_tab_name=main&amp;modal_id=7650774695931035897</t>
        </is>
      </c>
      <c r="G1005" s="5" t="inlineStr">
        <is>
          <t>489</t>
        </is>
      </c>
      <c r="H1005" s="5" t="inlineStr">
        <is>
          <t>陈奕恒</t>
        </is>
      </c>
      <c r="I1005" s="5" t="n">
        <v>49.25</v>
      </c>
      <c r="J1005" s="5" t="n"/>
      <c r="K1005" s="5" t="n"/>
      <c r="L1005" s="5" t="n">
        <v>7256</v>
      </c>
      <c r="M1005" s="5" t="n">
        <v>1086</v>
      </c>
      <c r="N1005" s="5" t="n">
        <v>59</v>
      </c>
      <c r="O1005" s="5" t="n">
        <v>11</v>
      </c>
      <c r="P1005" s="8">
        <f>IF(AND(M1133&lt;&gt;"",M1133&gt;0),M1133+N1133+O1133,"")</f>
        <v/>
      </c>
      <c r="Q1005" s="11">
        <f>IF(AND(L1133&lt;&gt;"",L1133&gt;0,P1133&lt;&gt;""),P1133/L1133,"")</f>
        <v/>
      </c>
      <c r="R1005" s="16">
        <f>IF(AND(P1133&lt;&gt;"",P1133&gt;0),(I1133+J1133+K1133)/P1133,"")</f>
        <v/>
      </c>
    </row>
    <row r="1006" ht="27" customHeight="1">
      <c r="A1006" s="5" t="inlineStr">
        <is>
          <t>2026-06-13</t>
        </is>
      </c>
      <c r="B1006" s="5" t="inlineStr">
        <is>
          <t>24周</t>
        </is>
      </c>
      <c r="C1006" s="5" t="inlineStr">
        <is>
          <t>小红书</t>
        </is>
      </c>
      <c r="D1006" s="5" t="n"/>
      <c r="E1006" s="5" t="n"/>
      <c r="F1006" s="5" t="inlineStr">
        <is>
          <t>https://www.xiaohongshu.com/discovery/item/6a2ce7d5000000002202bf88?xsec_token=CB5c6y4zt2StQbsKNHh-DeX2VqD1rXkswrHuQ-5XKbe2Q=&amp;xsec_source=app_share&amp;type=video</t>
        </is>
      </c>
      <c r="G1006" s="5" t="inlineStr">
        <is>
          <t>489</t>
        </is>
      </c>
      <c r="H1006" s="5" t="inlineStr">
        <is>
          <t>紫色应援色</t>
        </is>
      </c>
      <c r="I1006" s="5" t="n">
        <v>16.416</v>
      </c>
      <c r="J1006" s="5" t="n"/>
      <c r="K1006" s="5" t="n"/>
      <c r="L1006" s="5" t="n">
        <v>114</v>
      </c>
      <c r="M1006" s="5" t="n">
        <v>6</v>
      </c>
      <c r="N1006" s="5" t="n">
        <v>2</v>
      </c>
      <c r="O1006" s="5" t="n">
        <v>0</v>
      </c>
      <c r="P1006" s="8">
        <f>IF(AND(M1134&lt;&gt;"",M1134&gt;0),M1134+N1134+O1134,"")</f>
        <v/>
      </c>
      <c r="Q1006" s="11">
        <f>IF(AND(L1134&lt;&gt;"",L1134&gt;0,P1134&lt;&gt;""),P1134/L1134,"")</f>
        <v/>
      </c>
      <c r="R1006" s="16">
        <f>IF(AND(P1134&lt;&gt;"",P1134&gt;0),(I1134+J1134+K1134)/P1134,"")</f>
        <v/>
      </c>
    </row>
    <row r="1007" ht="27" customHeight="1">
      <c r="A1007" s="5" t="inlineStr">
        <is>
          <t>2026-06-14</t>
        </is>
      </c>
      <c r="B1007" s="5" t="inlineStr">
        <is>
          <t>24周</t>
        </is>
      </c>
      <c r="C1007" s="5" t="inlineStr">
        <is>
          <t>抖音</t>
        </is>
      </c>
      <c r="D1007" s="5" t="n"/>
      <c r="E1007" s="5" t="n"/>
      <c r="F1007" s="5" t="inlineStr">
        <is>
          <t>https://v.douyin.com/7TT2inU94cQ/</t>
        </is>
      </c>
      <c r="G1007" s="5" t="inlineStr">
        <is>
          <t>489</t>
        </is>
      </c>
      <c r="H1007" s="5" t="inlineStr">
        <is>
          <t>马嘉祺</t>
        </is>
      </c>
      <c r="I1007" s="5" t="n">
        <v>49.25</v>
      </c>
      <c r="J1007" s="5" t="n"/>
      <c r="K1007" s="5" t="n"/>
      <c r="L1007" s="5" t="n">
        <v>2645</v>
      </c>
      <c r="M1007" s="5" t="n">
        <v>434</v>
      </c>
      <c r="N1007" s="5" t="n">
        <v>12</v>
      </c>
      <c r="O1007" s="5" t="n">
        <v>12</v>
      </c>
      <c r="P1007" s="8">
        <f>IF(AND(M1135&lt;&gt;"",M1135&gt;0),M1135+N1135+O1135,"")</f>
        <v/>
      </c>
      <c r="Q1007" s="11">
        <f>IF(AND(L1135&lt;&gt;"",L1135&gt;0,P1135&lt;&gt;""),P1135/L1135,"")</f>
        <v/>
      </c>
      <c r="R1007" s="16">
        <f>IF(AND(P1135&lt;&gt;"",P1135&gt;0),(I1135+J1135+K1135)/P1135,"")</f>
        <v/>
      </c>
    </row>
    <row r="1008" ht="94.5" customHeight="1">
      <c r="A1008" s="5" t="inlineStr">
        <is>
          <t>2026-06-14</t>
        </is>
      </c>
      <c r="B1008" s="5" t="inlineStr">
        <is>
          <t>24周</t>
        </is>
      </c>
      <c r="C1008" s="5" t="inlineStr">
        <is>
          <t>抖音</t>
        </is>
      </c>
      <c r="D1008" s="5" t="n"/>
      <c r="E1008" s="5" t="n"/>
      <c r="F1008" s="5" t="inlineStr">
        <is>
          <t>https://v.douyin.com/9ae9mawMjMw/</t>
        </is>
      </c>
      <c r="G1008" s="5" t="inlineStr">
        <is>
          <t>489</t>
        </is>
      </c>
      <c r="H1008" s="5" t="inlineStr">
        <is>
          <t>陈奕恒</t>
        </is>
      </c>
      <c r="I1008" s="5" t="n">
        <v>49.25</v>
      </c>
      <c r="J1008" s="5" t="n"/>
      <c r="K1008" s="5" t="n"/>
      <c r="L1008" s="5" t="n">
        <v>29000</v>
      </c>
      <c r="M1008" s="5" t="n">
        <v>5075</v>
      </c>
      <c r="N1008" s="5" t="n">
        <v>328</v>
      </c>
      <c r="O1008" s="5" t="n">
        <v>335</v>
      </c>
      <c r="P1008" s="8">
        <f>IF(AND(M1136&lt;&gt;"",M1136&gt;0),M1136+N1136+O1136,"")</f>
        <v/>
      </c>
      <c r="Q1008" s="11">
        <f>IF(AND(L1136&lt;&gt;"",L1136&gt;0,P1136&lt;&gt;""),P1136/L1136,"")</f>
        <v/>
      </c>
      <c r="R1008" s="16">
        <f>IF(AND(P1136&lt;&gt;"",P1136&gt;0),(I1136+J1136+K1136)/P1136,"")</f>
        <v/>
      </c>
    </row>
    <row r="1009">
      <c r="A1009" s="5" t="inlineStr">
        <is>
          <t>2026-06-14</t>
        </is>
      </c>
      <c r="B1009" s="5" t="inlineStr">
        <is>
          <t>24周</t>
        </is>
      </c>
      <c r="C1009" s="5" t="inlineStr">
        <is>
          <t>抖音</t>
        </is>
      </c>
      <c r="D1009" s="5" t="n"/>
      <c r="E1009" s="5" t="n"/>
      <c r="F1009" s="5" t="inlineStr">
        <is>
          <t>https://v.douyin.com/GgGqSvrVytM/</t>
        </is>
      </c>
      <c r="G1009" s="5" t="inlineStr">
        <is>
          <t>489</t>
        </is>
      </c>
      <c r="H1009" s="5" t="inlineStr">
        <is>
          <t>穿搭</t>
        </is>
      </c>
      <c r="I1009" s="5" t="n">
        <v>16.416</v>
      </c>
      <c r="J1009" s="5" t="n"/>
      <c r="K1009" s="5" t="n"/>
      <c r="L1009" s="5" t="n">
        <v>375000</v>
      </c>
      <c r="M1009" s="5" t="n">
        <v>17000</v>
      </c>
      <c r="N1009" s="5" t="n">
        <v>3275</v>
      </c>
      <c r="O1009" s="5" t="n">
        <v>716</v>
      </c>
      <c r="P1009" s="8">
        <f>IF(AND(M1137&lt;&gt;"",M1137&gt;0),M1137+N1137+O1137,"")</f>
        <v/>
      </c>
      <c r="Q1009" s="11">
        <f>IF(AND(L1137&lt;&gt;"",L1137&gt;0,P1137&lt;&gt;""),P1137/L1137,"")</f>
        <v/>
      </c>
      <c r="R1009" s="16">
        <f>IF(AND(P1137&lt;&gt;"",P1137&gt;0),(I1137+J1137+K1137)/P1137,"")</f>
        <v/>
      </c>
    </row>
    <row r="1010" ht="81" customHeight="1">
      <c r="A1010" s="5" t="inlineStr">
        <is>
          <t>2026-06-15</t>
        </is>
      </c>
      <c r="B1010" s="5" t="inlineStr">
        <is>
          <t>25周</t>
        </is>
      </c>
      <c r="C1010" s="5" t="inlineStr">
        <is>
          <t>抖音</t>
        </is>
      </c>
      <c r="D1010" s="5" t="n"/>
      <c r="E1010" s="5" t="n"/>
      <c r="F1010" s="5" t="inlineStr">
        <is>
          <t>https://v.douyin.com/_vvrTNJYIZg/</t>
        </is>
      </c>
      <c r="G1010" s="5" t="inlineStr">
        <is>
          <t>495</t>
        </is>
      </c>
      <c r="H1010" s="5" t="inlineStr">
        <is>
          <t>穿搭</t>
        </is>
      </c>
      <c r="I1010" s="5" t="n">
        <v>197.9</v>
      </c>
      <c r="J1010" s="5" t="n"/>
      <c r="K1010" s="5" t="n"/>
      <c r="L1010" s="5" t="n">
        <v>62000</v>
      </c>
      <c r="M1010" s="5" t="n">
        <v>7063</v>
      </c>
      <c r="N1010" s="5" t="n">
        <v>436</v>
      </c>
      <c r="O1010" s="5" t="n">
        <v>105</v>
      </c>
      <c r="P1010" s="8">
        <f>IF(AND(M1138&lt;&gt;"",M1138&gt;0),M1138+N1138+O1138,"")</f>
        <v/>
      </c>
      <c r="Q1010" s="11">
        <f>IF(AND(L1138&lt;&gt;"",L1138&gt;0,P1138&lt;&gt;""),P1138/L1138,"")</f>
        <v/>
      </c>
      <c r="R1010" s="16">
        <f>IF(AND(P1138&lt;&gt;"",P1138&gt;0),(I1138+J1138+K1138)/P1138,"")</f>
        <v/>
      </c>
    </row>
    <row r="1011" ht="27" customHeight="1">
      <c r="A1011" s="5" t="inlineStr">
        <is>
          <t>2026-06-15</t>
        </is>
      </c>
      <c r="B1011" s="5" t="inlineStr">
        <is>
          <t>25周</t>
        </is>
      </c>
      <c r="C1011" s="5" t="inlineStr">
        <is>
          <t>抖音</t>
        </is>
      </c>
      <c r="D1011" s="5" t="n"/>
      <c r="E1011" s="5" t="n"/>
      <c r="F1011" s="5" t="inlineStr">
        <is>
          <t>https://v.douyin.com/i7bhqZfcajk/</t>
        </is>
      </c>
      <c r="G1011" s="5" t="inlineStr">
        <is>
          <t>459</t>
        </is>
      </c>
      <c r="H1011" s="5" t="inlineStr">
        <is>
          <t>穿搭</t>
        </is>
      </c>
      <c r="I1011" s="5" t="n">
        <v>613.3630000000001</v>
      </c>
      <c r="J1011" s="5" t="n"/>
      <c r="K1011" s="5" t="n"/>
      <c r="L1011" s="5" t="n">
        <v>94000</v>
      </c>
      <c r="M1011" s="5" t="n">
        <v>4154</v>
      </c>
      <c r="N1011" s="5" t="n">
        <v>527</v>
      </c>
      <c r="O1011" s="5" t="n">
        <v>150</v>
      </c>
      <c r="P1011" s="8">
        <f>IF(AND(M1139&lt;&gt;"",M1139&gt;0),M1139+N1139+O1139,"")</f>
        <v/>
      </c>
      <c r="Q1011" s="11">
        <f>IF(AND(L1139&lt;&gt;"",L1139&gt;0,P1139&lt;&gt;""),P1139/L1139,"")</f>
        <v/>
      </c>
      <c r="R1011" s="16">
        <f>IF(AND(P1139&lt;&gt;"",P1139&gt;0),(I1139+J1139+K1139)/P1139,"")</f>
        <v/>
      </c>
    </row>
    <row r="1012" ht="27" customHeight="1">
      <c r="A1012" s="5" t="inlineStr">
        <is>
          <t>2026-06-15</t>
        </is>
      </c>
      <c r="B1012" s="5" t="inlineStr">
        <is>
          <t>25周</t>
        </is>
      </c>
      <c r="C1012" s="5" t="inlineStr">
        <is>
          <t>抖音</t>
        </is>
      </c>
      <c r="D1012" s="5" t="n"/>
      <c r="E1012" s="5" t="n"/>
      <c r="F1012" s="5" t="inlineStr">
        <is>
          <t>https://v.douyin.com/GvpTjWL0gd8/</t>
        </is>
      </c>
      <c r="G1012" s="5" t="inlineStr">
        <is>
          <t>459</t>
        </is>
      </c>
      <c r="H1012" s="5" t="inlineStr">
        <is>
          <t>跳舞穿搭</t>
        </is>
      </c>
      <c r="I1012" s="5" t="n">
        <v>20.045</v>
      </c>
      <c r="J1012" s="5" t="n"/>
      <c r="K1012" s="5" t="n"/>
      <c r="L1012" s="5" t="n">
        <v>7586</v>
      </c>
      <c r="M1012" s="5" t="n">
        <v>509</v>
      </c>
      <c r="N1012" s="5" t="n">
        <v>52</v>
      </c>
      <c r="O1012" s="5" t="n">
        <v>17</v>
      </c>
      <c r="P1012" s="8">
        <f>IF(AND(M1140&lt;&gt;"",M1140&gt;0),M1140+N1140+O1140,"")</f>
        <v/>
      </c>
      <c r="Q1012" s="11">
        <f>IF(AND(L1140&lt;&gt;"",L1140&gt;0,P1140&lt;&gt;""),P1140/L1140,"")</f>
        <v/>
      </c>
      <c r="R1012" s="16">
        <f>IF(AND(P1140&lt;&gt;"",P1140&gt;0),(I1140+J1140+K1140)/P1140,"")</f>
        <v/>
      </c>
    </row>
    <row r="1013" ht="27" customHeight="1">
      <c r="A1013" s="5" t="inlineStr">
        <is>
          <t>2026-06-15</t>
        </is>
      </c>
      <c r="B1013" s="5" t="inlineStr">
        <is>
          <t>25周</t>
        </is>
      </c>
      <c r="C1013" s="5" t="inlineStr">
        <is>
          <t>抖音</t>
        </is>
      </c>
      <c r="D1013" s="5" t="n"/>
      <c r="E1013" s="5" t="n"/>
      <c r="F1013" s="5" t="inlineStr">
        <is>
          <t>https://www.douyin.com/user/self?from_tab_name=main&amp;modal_id=7651507277291812325&amp;showTab=like</t>
        </is>
      </c>
      <c r="G1013" s="5" t="inlineStr">
        <is>
          <t>459</t>
        </is>
      </c>
      <c r="H1013" s="5" t="inlineStr">
        <is>
          <t>穿搭</t>
        </is>
      </c>
      <c r="I1013" s="5" t="n">
        <v>145.1</v>
      </c>
      <c r="J1013" s="5" t="n"/>
      <c r="K1013" s="5" t="n"/>
      <c r="L1013" s="5" t="n">
        <v>35000</v>
      </c>
      <c r="M1013" s="5" t="n">
        <v>3296</v>
      </c>
      <c r="N1013" s="5" t="n">
        <v>1374</v>
      </c>
      <c r="O1013" s="5" t="n">
        <v>49</v>
      </c>
      <c r="P1013" s="8">
        <f>IF(AND(M1141&lt;&gt;"",M1141&gt;0),M1141+N1141+O1141,"")</f>
        <v/>
      </c>
      <c r="Q1013" s="11">
        <f>IF(AND(L1141&lt;&gt;"",L1141&gt;0,P1141&lt;&gt;""),P1141/L1141,"")</f>
        <v/>
      </c>
      <c r="R1013" s="16">
        <f>IF(AND(P1141&lt;&gt;"",P1141&gt;0),(I1141+J1141+K1141)/P1141,"")</f>
        <v/>
      </c>
    </row>
    <row r="1014" ht="81" customHeight="1">
      <c r="A1014" s="5" t="inlineStr">
        <is>
          <t>2026-06-15</t>
        </is>
      </c>
      <c r="B1014" s="5" t="inlineStr">
        <is>
          <t>25周</t>
        </is>
      </c>
      <c r="C1014" s="5" t="inlineStr">
        <is>
          <t>小红书</t>
        </is>
      </c>
      <c r="D1014" s="5" t="n"/>
      <c r="E1014" s="5" t="n"/>
      <c r="F1014" s="5" t="inlineStr">
        <is>
          <t>https://www.xiaohongshu.com/discovery/item/6a2faf760000000021016b61?xsec_token=CBHjHpSC7AqSlIwXDQpyfdjJ45WMbLjSOZAEwD7wJN5QQ=&amp;xsec_source=app_share&amp;type=video</t>
        </is>
      </c>
      <c r="G1014" s="5" t="inlineStr">
        <is>
          <t>459</t>
        </is>
      </c>
      <c r="H1014" s="5" t="inlineStr">
        <is>
          <t>穿搭</t>
        </is>
      </c>
      <c r="I1014" s="5" t="n">
        <v>145.1</v>
      </c>
      <c r="J1014" s="5" t="n"/>
      <c r="K1014" s="5" t="n"/>
      <c r="L1014" s="5" t="n">
        <v>7918</v>
      </c>
      <c r="M1014" s="5" t="n">
        <v>376</v>
      </c>
      <c r="N1014" s="5" t="n">
        <v>119</v>
      </c>
      <c r="O1014" s="5" t="n">
        <v>20</v>
      </c>
      <c r="P1014" s="8">
        <f>IF(AND(M1142&lt;&gt;"",M1142&gt;0),M1142+N1142+O1142,"")</f>
        <v/>
      </c>
      <c r="Q1014" s="11">
        <f>IF(AND(L1142&lt;&gt;"",L1142&gt;0,P1142&lt;&gt;""),P1142/L1142,"")</f>
        <v/>
      </c>
      <c r="R1014" s="16">
        <f>IF(AND(P1142&lt;&gt;"",P1142&gt;0),(I1142+J1142+K1142)/P1142,"")</f>
        <v/>
      </c>
    </row>
    <row r="1015" ht="81" customHeight="1">
      <c r="A1015" s="5" t="inlineStr">
        <is>
          <t>2026-06-16</t>
        </is>
      </c>
      <c r="B1015" s="5" t="inlineStr">
        <is>
          <t>25周</t>
        </is>
      </c>
      <c r="C1015" s="5" t="inlineStr">
        <is>
          <t>抖音</t>
        </is>
      </c>
      <c r="D1015" s="5" t="n"/>
      <c r="E1015" s="5" t="n"/>
      <c r="F1015" s="5" t="inlineStr">
        <is>
          <t>https://v.douyin.com/WtU9vny54oE/</t>
        </is>
      </c>
      <c r="G1015" s="5" t="inlineStr">
        <is>
          <t>489</t>
        </is>
      </c>
      <c r="H1015" s="5" t="inlineStr">
        <is>
          <t>赵露思</t>
        </is>
      </c>
      <c r="I1015" s="5" t="n">
        <v>24.625</v>
      </c>
      <c r="J1015" s="5" t="n"/>
      <c r="K1015" s="5" t="n"/>
      <c r="L1015" s="5" t="n">
        <v>3453</v>
      </c>
      <c r="M1015" s="5" t="n">
        <v>196</v>
      </c>
      <c r="N1015" s="5" t="n">
        <v>11</v>
      </c>
      <c r="O1015" s="5" t="n">
        <v>17</v>
      </c>
      <c r="P1015" s="8">
        <f>IF(AND(M1143&lt;&gt;"",M1143&gt;0),M1143+N1143+O1143,"")</f>
        <v/>
      </c>
      <c r="Q1015" s="11">
        <f>IF(AND(L1143&lt;&gt;"",L1143&gt;0,P1143&lt;&gt;""),P1143/L1143,"")</f>
        <v/>
      </c>
      <c r="R1015" s="16">
        <f>IF(AND(P1143&lt;&gt;"",P1143&gt;0),(I1143+J1143+K1143)/P1143,"")</f>
        <v/>
      </c>
    </row>
    <row r="1016" ht="67.5" customHeight="1">
      <c r="A1016" s="5" t="inlineStr">
        <is>
          <t>2026-06-16</t>
        </is>
      </c>
      <c r="B1016" s="5" t="inlineStr">
        <is>
          <t>25周</t>
        </is>
      </c>
      <c r="C1016" s="5" t="inlineStr">
        <is>
          <t>抖音</t>
        </is>
      </c>
      <c r="D1016" s="5" t="n"/>
      <c r="E1016" s="5" t="n"/>
      <c r="F1016" s="5" t="inlineStr">
        <is>
          <t>https://www.douyin.com/user/MS4wLjABAAAANQC2NsFo-0Q_HYMa02hhzGCYjVE69QiKcAuFagv9MUwPMelr8hi6SDTIj3gCtQQ-/search/yanyanmengli?aid=7d5b17e6-a5a2-4839-9a6e-fbab7c006d98&amp;modal_id=7651832586528282470&amp;type=general</t>
        </is>
      </c>
      <c r="G1016" s="5" t="inlineStr">
        <is>
          <t>492</t>
        </is>
      </c>
      <c r="H1016" s="5" t="inlineStr">
        <is>
          <t>健身穿搭</t>
        </is>
      </c>
      <c r="I1016" s="5" t="n">
        <v>69.7</v>
      </c>
      <c r="J1016" s="5" t="n"/>
      <c r="K1016" s="5" t="n"/>
      <c r="L1016" s="5" t="n">
        <v>7833</v>
      </c>
      <c r="M1016" s="5" t="n">
        <v>179</v>
      </c>
      <c r="N1016" s="5" t="n">
        <v>44</v>
      </c>
      <c r="O1016" s="5" t="n">
        <v>10</v>
      </c>
      <c r="P1016" s="8">
        <f>IF(AND(M1144&lt;&gt;"",M1144&gt;0),M1144+N1144+O1144,"")</f>
        <v/>
      </c>
      <c r="Q1016" s="11">
        <f>IF(AND(L1144&lt;&gt;"",L1144&gt;0,P1144&lt;&gt;""),P1144/L1144,"")</f>
        <v/>
      </c>
      <c r="R1016" s="16">
        <f>IF(AND(P1144&lt;&gt;"",P1144&gt;0),(I1144+J1144+K1144)/P1144,"")</f>
        <v/>
      </c>
    </row>
    <row r="1017" ht="81" customHeight="1">
      <c r="A1017" s="5" t="inlineStr">
        <is>
          <t>2026-06-16</t>
        </is>
      </c>
      <c r="B1017" s="5" t="inlineStr">
        <is>
          <t>25周</t>
        </is>
      </c>
      <c r="C1017" s="5" t="inlineStr">
        <is>
          <t>抖音</t>
        </is>
      </c>
      <c r="D1017" s="5" t="n"/>
      <c r="E1017" s="5" t="n"/>
      <c r="F1017" s="5" t="inlineStr">
        <is>
          <t>https://v.douyin.com/XaogQClInjs/</t>
        </is>
      </c>
      <c r="G1017" s="5" t="inlineStr">
        <is>
          <t>489</t>
        </is>
      </c>
      <c r="H1017" s="5" t="inlineStr">
        <is>
          <t>邓紫棋</t>
        </is>
      </c>
      <c r="I1017" s="5" t="n">
        <v>49.25</v>
      </c>
      <c r="J1017" s="5" t="n"/>
      <c r="K1017" s="5" t="n"/>
      <c r="L1017" s="5" t="n">
        <v>8067</v>
      </c>
      <c r="M1017" s="5" t="n">
        <v>1170</v>
      </c>
      <c r="N1017" s="5" t="n">
        <v>61</v>
      </c>
      <c r="O1017" s="5" t="n">
        <v>34</v>
      </c>
      <c r="P1017" s="8">
        <f>IF(AND(M1145&lt;&gt;"",M1145&gt;0),M1145+N1145+O1145,"")</f>
        <v/>
      </c>
      <c r="Q1017" s="11">
        <f>IF(AND(L1145&lt;&gt;"",L1145&gt;0,P1145&lt;&gt;""),P1145/L1145,"")</f>
        <v/>
      </c>
      <c r="R1017" s="16">
        <f>IF(AND(P1145&lt;&gt;"",P1145&gt;0),(I1145+J1145+K1145)/P1145,"")</f>
        <v/>
      </c>
    </row>
    <row r="1018" ht="81" customHeight="1">
      <c r="A1018" s="5" t="inlineStr">
        <is>
          <t>2026-06-16</t>
        </is>
      </c>
      <c r="B1018" s="5" t="inlineStr">
        <is>
          <t>25周</t>
        </is>
      </c>
      <c r="C1018" s="5" t="inlineStr">
        <is>
          <t>抖音</t>
        </is>
      </c>
      <c r="D1018" s="5" t="n"/>
      <c r="E1018" s="5" t="n"/>
      <c r="F1018" s="5" t="inlineStr">
        <is>
          <t>https://www.douyin.com/user/MS4wLjABAAAAPPEtjgB-votV5urHkJqHLBZJUZ0Pv_p1f1cWrfs3bd3YS4RsvW7DxnxDU3uhucdS?from_tab_name=main&amp;modal_id=7651974907622158833</t>
        </is>
      </c>
      <c r="G1018" s="5" t="inlineStr">
        <is>
          <t>489</t>
        </is>
      </c>
      <c r="H1018" s="5" t="inlineStr">
        <is>
          <t>赵露思</t>
        </is>
      </c>
      <c r="I1018" s="5" t="n">
        <v>49.25</v>
      </c>
      <c r="J1018" s="5" t="n"/>
      <c r="K1018" s="5" t="n"/>
      <c r="L1018" s="5" t="n">
        <v>3425</v>
      </c>
      <c r="M1018" s="5" t="n">
        <v>286</v>
      </c>
      <c r="N1018" s="5" t="n">
        <v>7</v>
      </c>
      <c r="O1018" s="5" t="n">
        <v>27</v>
      </c>
      <c r="P1018" s="8">
        <f>IF(AND(M1146&lt;&gt;"",M1146&gt;0),M1146+N1146+O1146,"")</f>
        <v/>
      </c>
      <c r="Q1018" s="11">
        <f>IF(AND(L1146&lt;&gt;"",L1146&gt;0,P1146&lt;&gt;""),P1146/L1146,"")</f>
        <v/>
      </c>
      <c r="R1018" s="16">
        <f>IF(AND(P1146&lt;&gt;"",P1146&gt;0),(I1146+J1146+K1146)/P1146,"")</f>
        <v/>
      </c>
    </row>
    <row r="1019" ht="67.5" customHeight="1">
      <c r="A1019" s="5" t="inlineStr">
        <is>
          <t>2026-06-16</t>
        </is>
      </c>
      <c r="B1019" s="5" t="inlineStr">
        <is>
          <t>25周</t>
        </is>
      </c>
      <c r="C1019" s="5" t="inlineStr">
        <is>
          <t>抖音</t>
        </is>
      </c>
      <c r="D1019" s="5" t="n"/>
      <c r="E1019" s="5" t="n"/>
      <c r="F1019" s="5" t="inlineStr">
        <is>
          <t>https://v.douyin.com/7azgP7vpKs0/ T@y.Tl 02/24 sEU:/ :2pm</t>
        </is>
      </c>
      <c r="G1019" s="5" t="inlineStr">
        <is>
          <t>489</t>
        </is>
      </c>
      <c r="H1019" s="5" t="inlineStr">
        <is>
          <t>赵露思</t>
        </is>
      </c>
      <c r="I1019" s="5" t="n">
        <v>24.625</v>
      </c>
      <c r="J1019" s="5" t="n"/>
      <c r="K1019" s="5" t="n"/>
      <c r="L1019" s="5" t="n">
        <v>10000</v>
      </c>
      <c r="M1019" s="5" t="n">
        <v>523</v>
      </c>
      <c r="N1019" s="5" t="n">
        <v>24</v>
      </c>
      <c r="O1019" s="5" t="n">
        <v>59</v>
      </c>
      <c r="P1019" s="8">
        <f>IF(AND(M1147&lt;&gt;"",M1147&gt;0),M1147+N1147+O1147,"")</f>
        <v/>
      </c>
      <c r="Q1019" s="11">
        <f>IF(AND(L1147&lt;&gt;"",L1147&gt;0,P1147&lt;&gt;""),P1147/L1147,"")</f>
        <v/>
      </c>
      <c r="R1019" s="16">
        <f>IF(AND(P1147&lt;&gt;"",P1147&gt;0),(I1147+J1147+K1147)/P1147,"")</f>
        <v/>
      </c>
    </row>
    <row r="1020" ht="27" customHeight="1">
      <c r="A1020" s="5" t="inlineStr">
        <is>
          <t>2026-06-16</t>
        </is>
      </c>
      <c r="B1020" s="5" t="inlineStr">
        <is>
          <t>25周</t>
        </is>
      </c>
      <c r="C1020" s="5" t="inlineStr">
        <is>
          <t>抖音</t>
        </is>
      </c>
      <c r="D1020" s="5" t="n"/>
      <c r="E1020" s="5" t="n"/>
      <c r="F1020" s="5" t="inlineStr">
        <is>
          <t>https://www.douyin.com/user/self?from_tab_name=main&amp;modal_id=7651927008729607104&amp;showTab=like</t>
        </is>
      </c>
      <c r="G1020" s="5" t="inlineStr">
        <is>
          <t>0003A2</t>
        </is>
      </c>
      <c r="H1020" s="5" t="inlineStr">
        <is>
          <t>健身穿搭</t>
        </is>
      </c>
      <c r="I1020" s="5" t="n">
        <v>196.75</v>
      </c>
      <c r="J1020" s="5" t="n"/>
      <c r="K1020" s="5" t="n"/>
      <c r="L1020" s="5" t="n">
        <v>6000</v>
      </c>
      <c r="M1020" s="5" t="n">
        <v>698</v>
      </c>
      <c r="N1020" s="5" t="n">
        <v>60</v>
      </c>
      <c r="O1020" s="5" t="n">
        <v>13</v>
      </c>
      <c r="P1020" s="8">
        <f>IF(AND(M1148&lt;&gt;"",M1148&gt;0),M1148+N1148+O1148,"")</f>
        <v/>
      </c>
      <c r="Q1020" s="11">
        <f>IF(AND(L1148&lt;&gt;"",L1148&gt;0,P1148&lt;&gt;""),P1148/L1148,"")</f>
        <v/>
      </c>
      <c r="R1020" s="16">
        <f>IF(AND(P1148&lt;&gt;"",P1148&gt;0),(I1148+J1148+K1148)/P1148,"")</f>
        <v/>
      </c>
    </row>
    <row r="1021" ht="81" customHeight="1">
      <c r="A1021" s="5" t="inlineStr">
        <is>
          <t>2026-06-16</t>
        </is>
      </c>
      <c r="B1021" s="5" t="inlineStr">
        <is>
          <t>25周</t>
        </is>
      </c>
      <c r="C1021" s="5" t="inlineStr">
        <is>
          <t>抖音</t>
        </is>
      </c>
      <c r="D1021" s="5" t="n"/>
      <c r="E1021" s="5" t="n"/>
      <c r="F1021" s="5" t="inlineStr">
        <is>
          <t>https://www.douyin.com/user/MS4wLjABAAAAPRE7OYw1KLNAO-EmdOBjceTbdngkVlLTWnQvfmuUZAOa6pEDHCXPtsfLwJwUtobb?modal_id=7649965719345444351</t>
        </is>
      </c>
      <c r="G1021" s="5" t="inlineStr">
        <is>
          <t>0003A2</t>
        </is>
      </c>
      <c r="H1021" s="5" t="inlineStr">
        <is>
          <t>刘轩丞</t>
        </is>
      </c>
      <c r="I1021" s="5" t="n">
        <v>96.75</v>
      </c>
      <c r="J1021" s="5" t="n"/>
      <c r="K1021" s="5" t="n"/>
      <c r="L1021" s="5" t="n">
        <v>16000</v>
      </c>
      <c r="M1021" s="5" t="n">
        <v>1028</v>
      </c>
      <c r="N1021" s="5" t="n">
        <v>51</v>
      </c>
      <c r="O1021" s="5" t="n">
        <v>26</v>
      </c>
      <c r="P1021" s="8">
        <f>IF(AND(M1149&lt;&gt;"",M1149&gt;0),M1149+N1149+O1149,"")</f>
        <v/>
      </c>
      <c r="Q1021" s="11">
        <f>IF(AND(L1149&lt;&gt;"",L1149&gt;0,P1149&lt;&gt;""),P1149/L1149,"")</f>
        <v/>
      </c>
      <c r="R1021" s="16">
        <f>IF(AND(P1149&lt;&gt;"",P1149&gt;0),(I1149+J1149+K1149)/P1149,"")</f>
        <v/>
      </c>
    </row>
    <row r="1022" ht="94.5" customHeight="1">
      <c r="A1022" s="5" t="inlineStr">
        <is>
          <t>2026-06-16</t>
        </is>
      </c>
      <c r="B1022" s="5" t="inlineStr">
        <is>
          <t>25周</t>
        </is>
      </c>
      <c r="C1022" s="5" t="inlineStr">
        <is>
          <t>小红书</t>
        </is>
      </c>
      <c r="D1022" s="5" t="n"/>
      <c r="E1022" s="5" t="n"/>
      <c r="F1022" s="5" t="inlineStr">
        <is>
          <t>https://www.xiaohongshu.com/discovery/item/6a30daf20000000006021195?xsec_token=CBmyec_WHBKXfk1k9uWkjGM-OwcL164RJOyYG7BxwsUdo=&amp;xsec_source=app_share</t>
        </is>
      </c>
      <c r="G1022" s="5" t="inlineStr">
        <is>
          <t>489</t>
        </is>
      </c>
      <c r="H1022" s="5" t="inlineStr">
        <is>
          <t>赵露思</t>
        </is>
      </c>
      <c r="I1022" s="5" t="n">
        <v>24.625</v>
      </c>
      <c r="J1022" s="5" t="n"/>
      <c r="K1022" s="5" t="n"/>
      <c r="L1022" s="5" t="n">
        <v>1196</v>
      </c>
      <c r="M1022" s="5" t="n">
        <v>60</v>
      </c>
      <c r="N1022" s="5" t="n">
        <v>13</v>
      </c>
      <c r="O1022" s="5" t="n">
        <v>14</v>
      </c>
      <c r="P1022" s="8">
        <f>IF(AND(M1150&lt;&gt;"",M1150&gt;0),M1150+N1150+O1150,"")</f>
        <v/>
      </c>
      <c r="Q1022" s="11">
        <f>IF(AND(L1150&lt;&gt;"",L1150&gt;0,P1150&lt;&gt;""),P1150/L1150,"")</f>
        <v/>
      </c>
      <c r="R1022" s="16">
        <f>IF(AND(P1150&lt;&gt;"",P1150&gt;0),(I1150+J1150+K1150)/P1150,"")</f>
        <v/>
      </c>
    </row>
    <row r="1023" ht="94.5" customHeight="1">
      <c r="A1023" s="5" t="inlineStr">
        <is>
          <t>2026-06-16</t>
        </is>
      </c>
      <c r="B1023" s="5" t="inlineStr">
        <is>
          <t>25周</t>
        </is>
      </c>
      <c r="C1023" s="5" t="inlineStr">
        <is>
          <t>小红书</t>
        </is>
      </c>
      <c r="D1023" s="5" t="n"/>
      <c r="E1023" s="5" t="n"/>
      <c r="F1023" s="5" t="inlineStr">
        <is>
          <t>https://www.xiaohongshu.com/discovery/item/6a31149c0000000015026e09?xsec_token=CBA7lJ4hy_pN0RBS9Dww50jHj07cDDYZb55t26Ca6GPk4=&amp;xsec_source=app_share</t>
        </is>
      </c>
      <c r="G1023" s="5" t="inlineStr">
        <is>
          <t>495</t>
        </is>
      </c>
      <c r="H1023" s="5" t="inlineStr">
        <is>
          <t>侯明昊</t>
        </is>
      </c>
      <c r="I1023" s="5" t="n">
        <v>60</v>
      </c>
      <c r="J1023" s="5" t="n"/>
      <c r="K1023" s="5" t="n"/>
      <c r="L1023" s="5" t="n">
        <v>399</v>
      </c>
      <c r="M1023" s="5" t="n">
        <v>20</v>
      </c>
      <c r="N1023" s="5" t="n">
        <v>7</v>
      </c>
      <c r="O1023" s="5" t="n">
        <v>1</v>
      </c>
      <c r="P1023" s="8">
        <f>IF(AND(M1151&lt;&gt;"",M1151&gt;0),M1151+N1151+O1151,"")</f>
        <v/>
      </c>
      <c r="Q1023" s="11">
        <f>IF(AND(L1151&lt;&gt;"",L1151&gt;0,P1151&lt;&gt;""),P1151/L1151,"")</f>
        <v/>
      </c>
      <c r="R1023" s="16">
        <f>IF(AND(P1151&lt;&gt;"",P1151&gt;0),(I1151+J1151+K1151)/P1151,"")</f>
        <v/>
      </c>
    </row>
    <row r="1024" ht="94.5" customHeight="1">
      <c r="A1024" s="5" t="inlineStr">
        <is>
          <t>2026-06-16</t>
        </is>
      </c>
      <c r="B1024" s="5" t="inlineStr">
        <is>
          <t>25周</t>
        </is>
      </c>
      <c r="C1024" s="5" t="inlineStr">
        <is>
          <t>小红书</t>
        </is>
      </c>
      <c r="D1024" s="5" t="n"/>
      <c r="E1024" s="5" t="n"/>
      <c r="F1024" s="5" t="inlineStr">
        <is>
          <t>https://www.xiaohongshu.com/discovery/item/6a31523e0000000016027a0d?xsec_token=CB2Kb4yPF9XqFJ_lsQuhhtb1vXW0Hk9-EikfdpJqbCGz4=&amp;xsec_source=app_share</t>
        </is>
      </c>
      <c r="G1024" s="5" t="inlineStr">
        <is>
          <t>495</t>
        </is>
      </c>
      <c r="H1024" s="5" t="inlineStr">
        <is>
          <t>侯明昊</t>
        </is>
      </c>
      <c r="I1024" s="5" t="n">
        <v>97.90000000000001</v>
      </c>
      <c r="J1024" s="5" t="n"/>
      <c r="K1024" s="5" t="n"/>
      <c r="L1024" s="5" t="n">
        <v>2208</v>
      </c>
      <c r="M1024" s="5" t="n">
        <v>150</v>
      </c>
      <c r="N1024" s="5" t="n">
        <v>53</v>
      </c>
      <c r="O1024" s="5" t="n">
        <v>2</v>
      </c>
      <c r="P1024" s="8">
        <f>IF(AND(M1152&lt;&gt;"",M1152&gt;0),M1152+N1152+O1152,"")</f>
        <v/>
      </c>
      <c r="Q1024" s="11">
        <f>IF(AND(L1152&lt;&gt;"",L1152&gt;0,P1152&lt;&gt;""),P1152/L1152,"")</f>
        <v/>
      </c>
      <c r="R1024" s="16">
        <f>IF(AND(P1152&lt;&gt;"",P1152&gt;0),(I1152+J1152+K1152)/P1152,"")</f>
        <v/>
      </c>
    </row>
    <row r="1025" ht="81" customHeight="1">
      <c r="A1025" s="5" t="inlineStr">
        <is>
          <t>2026-06-17</t>
        </is>
      </c>
      <c r="B1025" s="5" t="inlineStr">
        <is>
          <t>25周</t>
        </is>
      </c>
      <c r="C1025" s="5" t="inlineStr">
        <is>
          <t>小红书</t>
        </is>
      </c>
      <c r="D1025" s="5" t="n"/>
      <c r="E1025" s="5" t="n"/>
      <c r="F1025" s="5" t="inlineStr">
        <is>
          <t>https://www.xiaohongshu.com/discovery/item/6a32049700000000060351ec?xsec_token=CBKmqgF0PSO-5ykz0GKij44zYPvDiWZfA8O-Tq6Ne20uk=&amp;xsec_source=app_share</t>
        </is>
      </c>
      <c r="G1025" s="5" t="inlineStr">
        <is>
          <t>489</t>
        </is>
      </c>
      <c r="H1025" s="5" t="inlineStr">
        <is>
          <t>赵露思</t>
        </is>
      </c>
      <c r="I1025" s="5" t="n">
        <v>24.625</v>
      </c>
      <c r="J1025" s="5" t="n"/>
      <c r="K1025" s="5" t="n"/>
      <c r="L1025" s="5" t="n">
        <v>637</v>
      </c>
      <c r="M1025" s="5" t="n">
        <v>43</v>
      </c>
      <c r="N1025" s="5" t="n">
        <v>3</v>
      </c>
      <c r="O1025" s="5" t="n">
        <v>6</v>
      </c>
      <c r="P1025" s="8">
        <f>IF(AND(M1153&lt;&gt;"",M1153&gt;0),M1153+N1153+O1153,"")</f>
        <v/>
      </c>
      <c r="Q1025" s="11">
        <f>IF(AND(L1153&lt;&gt;"",L1153&gt;0,P1153&lt;&gt;""),P1153/L1153,"")</f>
        <v/>
      </c>
      <c r="R1025" s="16">
        <f>IF(AND(P1153&lt;&gt;"",P1153&gt;0),(I1153+J1153+K1153)/P1153,"")</f>
        <v/>
      </c>
    </row>
    <row r="1026" ht="27" customHeight="1">
      <c r="A1026" s="5" t="inlineStr">
        <is>
          <t>2026-06-18</t>
        </is>
      </c>
      <c r="B1026" s="5" t="inlineStr">
        <is>
          <t>25周</t>
        </is>
      </c>
      <c r="C1026" s="5" t="inlineStr">
        <is>
          <t>抖音</t>
        </is>
      </c>
      <c r="D1026" s="5" t="n"/>
      <c r="E1026" s="5" t="n"/>
      <c r="F1026" s="5" t="inlineStr">
        <is>
          <t>https://www.douyin.com/note/7652608211439127781</t>
        </is>
      </c>
      <c r="G1026" s="5" t="inlineStr">
        <is>
          <t>489</t>
        </is>
      </c>
      <c r="H1026" s="5" t="inlineStr">
        <is>
          <t>马嘉祺</t>
        </is>
      </c>
      <c r="I1026" s="5" t="n">
        <v>24.625</v>
      </c>
      <c r="J1026" s="5" t="n"/>
      <c r="K1026" s="5" t="n"/>
      <c r="L1026" s="5" t="n">
        <v>10000</v>
      </c>
      <c r="M1026" s="5" t="n">
        <v>959</v>
      </c>
      <c r="N1026" s="5" t="n">
        <v>48</v>
      </c>
      <c r="O1026" s="5" t="n">
        <v>20</v>
      </c>
      <c r="P1026" s="8">
        <f>IF(AND(M1154&lt;&gt;"",M1154&gt;0),M1154+N1154+O1154,"")</f>
        <v/>
      </c>
      <c r="Q1026" s="11">
        <f>IF(AND(L1154&lt;&gt;"",L1154&gt;0,P1154&lt;&gt;""),P1154/L1154,"")</f>
        <v/>
      </c>
      <c r="R1026" s="16">
        <f>IF(AND(P1154&lt;&gt;"",P1154&gt;0),(I1154+J1154+K1154)/P1154,"")</f>
        <v/>
      </c>
    </row>
    <row r="1027" ht="27" customHeight="1">
      <c r="A1027" s="5" t="inlineStr">
        <is>
          <t>2026-06-18</t>
        </is>
      </c>
      <c r="B1027" s="5" t="inlineStr">
        <is>
          <t>25周</t>
        </is>
      </c>
      <c r="C1027" s="5" t="inlineStr">
        <is>
          <t>小红书</t>
        </is>
      </c>
      <c r="D1027" s="5" t="n"/>
      <c r="E1027" s="5" t="n"/>
      <c r="F1027" s="5" t="inlineStr">
        <is>
          <t>https://www.xiaohongshu.com/discovery/item/6a3386ed00000000220160a0?xsec_token=CB4VGAuhc6z95M1xEiFC_x1FkRGGgtwj67GRzcdcsogPs=&amp;xsec_source=app_share</t>
        </is>
      </c>
      <c r="G1027" s="5" t="inlineStr">
        <is>
          <t>489</t>
        </is>
      </c>
      <c r="H1027" s="5" t="inlineStr">
        <is>
          <t>马嘉祺</t>
        </is>
      </c>
      <c r="I1027" s="5" t="n">
        <v>24.625</v>
      </c>
      <c r="J1027" s="5" t="n"/>
      <c r="K1027" s="5" t="n"/>
      <c r="L1027" s="5" t="n">
        <v>100</v>
      </c>
      <c r="M1027" s="5" t="n">
        <v>7</v>
      </c>
      <c r="N1027" s="5" t="n">
        <v>0</v>
      </c>
      <c r="O1027" s="5" t="n">
        <v>1</v>
      </c>
      <c r="P1027" s="8">
        <f>IF(AND(M1155&lt;&gt;"",M1155&gt;0),M1155+N1155+O1155,"")</f>
        <v/>
      </c>
      <c r="Q1027" s="11">
        <f>IF(AND(L1155&lt;&gt;"",L1155&gt;0,P1155&lt;&gt;""),P1155/L1155,"")</f>
        <v/>
      </c>
      <c r="R1027" s="16">
        <f>IF(AND(P1155&lt;&gt;"",P1155&gt;0),(I1155+J1155+K1155)/P1155,"")</f>
        <v/>
      </c>
    </row>
    <row r="1028" ht="27" customHeight="1">
      <c r="A1028" s="5" t="inlineStr">
        <is>
          <t>2026-06-18</t>
        </is>
      </c>
      <c r="B1028" s="5" t="inlineStr">
        <is>
          <t>25周</t>
        </is>
      </c>
      <c r="C1028" s="5" t="inlineStr">
        <is>
          <t>小红书</t>
        </is>
      </c>
      <c r="D1028" s="5" t="n"/>
      <c r="E1028" s="5" t="n"/>
      <c r="F1028" s="5" t="inlineStr">
        <is>
          <t>https://www.xiaohongshu.com/discovery/item/6a33c178000000001700a381?xsec_token=CBJsqp1VyEeQCOWuaJNASVxz-K6cL3EvvDK45fn5EjwCo=&amp;xsec_source=app_share&amp;type=video</t>
        </is>
      </c>
      <c r="G1028" s="5" t="inlineStr">
        <is>
          <t>489</t>
        </is>
      </c>
      <c r="H1028" s="5" t="inlineStr">
        <is>
          <t>陈奕恒</t>
        </is>
      </c>
      <c r="I1028" s="5" t="n">
        <v>24.625</v>
      </c>
      <c r="J1028" s="5" t="n"/>
      <c r="K1028" s="5" t="n"/>
      <c r="L1028" s="5" t="n">
        <v>20052</v>
      </c>
      <c r="M1028" s="5" t="n">
        <v>1622</v>
      </c>
      <c r="N1028" s="5" t="n">
        <v>194</v>
      </c>
      <c r="O1028" s="5" t="n">
        <v>39</v>
      </c>
      <c r="P1028" s="8">
        <f>IF(AND(M1156&lt;&gt;"",M1156&gt;0),M1156+N1156+O1156,"")</f>
        <v/>
      </c>
      <c r="Q1028" s="11">
        <f>IF(AND(L1156&lt;&gt;"",L1156&gt;0,P1156&lt;&gt;""),P1156/L1156,"")</f>
        <v/>
      </c>
      <c r="R1028" s="16">
        <f>IF(AND(P1156&lt;&gt;"",P1156&gt;0),(I1156+J1156+K1156)/P1156,"")</f>
        <v/>
      </c>
    </row>
    <row r="1029" ht="67.5" customHeight="1">
      <c r="A1029" s="5" t="inlineStr">
        <is>
          <t>2026-06-19</t>
        </is>
      </c>
      <c r="B1029" s="5" t="inlineStr">
        <is>
          <t>25周</t>
        </is>
      </c>
      <c r="C1029" s="5" t="inlineStr">
        <is>
          <t>抖音</t>
        </is>
      </c>
      <c r="D1029" s="5" t="n"/>
      <c r="E1029" s="5" t="n"/>
      <c r="F1029" s="5" t="inlineStr">
        <is>
          <t>https://www.douyin.com/user/MS4wLjABAAAAXJGN0LFx2yxNV8QhN6Rwur3BFqyeS413WjZvS55gCc3yPrght_mjSC0IA-mMg3ld?from_tab_name=main&amp;modal_id=7652648823256496041</t>
        </is>
      </c>
      <c r="G1029" s="5" t="inlineStr">
        <is>
          <t>489</t>
        </is>
      </c>
      <c r="H1029" s="5" t="inlineStr">
        <is>
          <t>杨紫</t>
        </is>
      </c>
      <c r="I1029" s="5" t="n">
        <v>49.25</v>
      </c>
      <c r="J1029" s="5" t="n"/>
      <c r="K1029" s="5" t="n"/>
      <c r="L1029" s="5" t="n">
        <v>41000</v>
      </c>
      <c r="M1029" s="5" t="n">
        <v>1604</v>
      </c>
      <c r="N1029" s="5" t="n">
        <v>93</v>
      </c>
      <c r="O1029" s="5" t="n">
        <v>31</v>
      </c>
      <c r="P1029" s="8">
        <f>IF(AND(M1157&lt;&gt;"",M1157&gt;0),M1157+N1157+O1157,"")</f>
        <v/>
      </c>
      <c r="Q1029" s="11">
        <f>IF(AND(L1157&lt;&gt;"",L1157&gt;0,P1157&lt;&gt;""),P1157/L1157,"")</f>
        <v/>
      </c>
      <c r="R1029" s="16">
        <f>IF(AND(P1157&lt;&gt;"",P1157&gt;0),(I1157+J1157+K1157)/P1157,"")</f>
        <v/>
      </c>
    </row>
    <row r="1030" ht="40.5" customHeight="1">
      <c r="A1030" s="5" t="inlineStr">
        <is>
          <t>2026-06-19</t>
        </is>
      </c>
      <c r="B1030" s="5" t="inlineStr">
        <is>
          <t>25周</t>
        </is>
      </c>
      <c r="C1030" s="5" t="inlineStr">
        <is>
          <t>抖音</t>
        </is>
      </c>
      <c r="D1030" s="5" t="n"/>
      <c r="E1030" s="5" t="n"/>
      <c r="F1030" s="5" t="inlineStr">
        <is>
          <t>https://www.douyin.com/user/MS4wLjABAAAAr0e0UpeJCCHvyqkiNofscaYno_tV6Hp66k5dfh9bdgA?from_tab_name=main&amp;modal_id=7651512497455014522</t>
        </is>
      </c>
      <c r="G1030" s="5" t="inlineStr">
        <is>
          <t>489</t>
        </is>
      </c>
      <c r="H1030" s="5" t="inlineStr">
        <is>
          <t>杨紫</t>
        </is>
      </c>
      <c r="I1030" s="5" t="n">
        <v>49.25</v>
      </c>
      <c r="J1030" s="5" t="n"/>
      <c r="K1030" s="5" t="n"/>
      <c r="L1030" s="5" t="n">
        <v>2667</v>
      </c>
      <c r="M1030" s="5" t="n">
        <v>343</v>
      </c>
      <c r="N1030" s="5" t="n">
        <v>13</v>
      </c>
      <c r="O1030" s="5" t="n">
        <v>15</v>
      </c>
      <c r="P1030" s="8">
        <f>IF(AND(M1158&lt;&gt;"",M1158&gt;0),M1158+N1158+O1158,"")</f>
        <v/>
      </c>
      <c r="Q1030" s="11">
        <f>IF(AND(L1158&lt;&gt;"",L1158&gt;0,P1158&lt;&gt;""),P1158/L1158,"")</f>
        <v/>
      </c>
      <c r="R1030" s="16">
        <f>IF(AND(P1158&lt;&gt;"",P1158&gt;0),(I1158+J1158+K1158)/P1158,"")</f>
        <v/>
      </c>
    </row>
    <row r="1031" ht="27" customHeight="1">
      <c r="A1031" s="5" t="inlineStr">
        <is>
          <t>2026-06-19</t>
        </is>
      </c>
      <c r="B1031" s="5" t="inlineStr">
        <is>
          <t>25周</t>
        </is>
      </c>
      <c r="C1031" s="5" t="inlineStr">
        <is>
          <t>抖音</t>
        </is>
      </c>
      <c r="D1031" s="5" t="n"/>
      <c r="E1031" s="5" t="n"/>
      <c r="F1031" s="5" t="inlineStr">
        <is>
          <t>https://www.douyin.com/user/MS4wLjABAAAAfZIQGJI6_lwouimWR32cG1g9JeqyevsEi9Q2qK4tqvI?from_tab_name=main&amp;modal_id=7652989100082209947</t>
        </is>
      </c>
      <c r="G1031" s="5" t="inlineStr">
        <is>
          <t>489</t>
        </is>
      </c>
      <c r="H1031" s="5" t="inlineStr">
        <is>
          <t>陈奕恒</t>
        </is>
      </c>
      <c r="I1031" s="5" t="n">
        <v>49.25</v>
      </c>
      <c r="J1031" s="5" t="n"/>
      <c r="K1031" s="5" t="n"/>
      <c r="L1031" s="5" t="n">
        <v>3200</v>
      </c>
      <c r="M1031" s="5" t="n">
        <v>392</v>
      </c>
      <c r="N1031" s="5" t="n">
        <v>9</v>
      </c>
      <c r="O1031" s="5" t="n">
        <v>9</v>
      </c>
      <c r="P1031" s="8">
        <f>IF(AND(M1159&lt;&gt;"",M1159&gt;0),M1159+N1159+O1159,"")</f>
        <v/>
      </c>
      <c r="Q1031" s="11">
        <f>IF(AND(L1159&lt;&gt;"",L1159&gt;0,P1159&lt;&gt;""),P1159/L1159,"")</f>
        <v/>
      </c>
      <c r="R1031" s="16">
        <f>IF(AND(P1159&lt;&gt;"",P1159&gt;0),(I1159+J1159+K1159)/P1159,"")</f>
        <v/>
      </c>
    </row>
    <row r="1032" ht="67.5" customHeight="1">
      <c r="A1032" s="5" t="inlineStr">
        <is>
          <t>2026-06-19</t>
        </is>
      </c>
      <c r="B1032" s="5" t="inlineStr">
        <is>
          <t>25周</t>
        </is>
      </c>
      <c r="C1032" s="5" t="inlineStr">
        <is>
          <t>抖音</t>
        </is>
      </c>
      <c r="D1032" s="5" t="n"/>
      <c r="E1032" s="5" t="n"/>
      <c r="F1032" s="5" t="inlineStr">
        <is>
          <t>https://www.douyin.com/user/MS4wLjABAAAAiJrbn_QURYETrOwlE0haSXGP2FlNw3MFTrOZIhqwnWM?from_tab_name=main&amp;modal_id=7651931253096576635</t>
        </is>
      </c>
      <c r="G1032" s="5" t="inlineStr">
        <is>
          <t>489</t>
        </is>
      </c>
      <c r="H1032" s="5" t="inlineStr">
        <is>
          <t>陈奕恒</t>
        </is>
      </c>
      <c r="I1032" s="5" t="n">
        <v>27.375</v>
      </c>
      <c r="J1032" s="5" t="n"/>
      <c r="K1032" s="5" t="n"/>
      <c r="L1032" s="5" t="n">
        <v>4300</v>
      </c>
      <c r="M1032" s="5" t="n">
        <v>737</v>
      </c>
      <c r="N1032" s="5" t="n">
        <v>41</v>
      </c>
      <c r="O1032" s="5" t="n">
        <v>15</v>
      </c>
      <c r="P1032" s="8">
        <f>IF(AND(M1160&lt;&gt;"",M1160&gt;0),M1160+N1160+O1160,"")</f>
        <v/>
      </c>
      <c r="Q1032" s="11">
        <f>IF(AND(L1160&lt;&gt;"",L1160&gt;0,P1160&lt;&gt;""),P1160/L1160,"")</f>
        <v/>
      </c>
      <c r="R1032" s="16">
        <f>IF(AND(P1160&lt;&gt;"",P1160&gt;0),(I1160+J1160+K1160)/P1160,"")</f>
        <v/>
      </c>
    </row>
    <row r="1033" ht="67.5" customHeight="1">
      <c r="A1033" s="5" t="inlineStr">
        <is>
          <t>2026-06-19</t>
        </is>
      </c>
      <c r="B1033" s="5" t="inlineStr">
        <is>
          <t>25周</t>
        </is>
      </c>
      <c r="C1033" s="5" t="inlineStr">
        <is>
          <t>抖音</t>
        </is>
      </c>
      <c r="D1033" s="5" t="n"/>
      <c r="E1033" s="5" t="n"/>
      <c r="F1033" s="5" t="inlineStr">
        <is>
          <t>https://www.douyin.com/user/MS4wLjABAAAAFpxtom7f_o8vhkJsOjwu1TtFJZizrgQtFFNU5cximWs?from_tab_name=main&amp;modal_id=7652700629940650875</t>
        </is>
      </c>
      <c r="G1033" s="5" t="inlineStr">
        <is>
          <t>459</t>
        </is>
      </c>
      <c r="H1033" s="5" t="inlineStr">
        <is>
          <t>穿搭</t>
        </is>
      </c>
      <c r="I1033" s="5" t="n">
        <v>110.09</v>
      </c>
      <c r="J1033" s="5" t="n"/>
      <c r="K1033" s="5" t="n"/>
      <c r="L1033" s="5" t="n">
        <v>104000</v>
      </c>
      <c r="M1033" s="5" t="n">
        <v>2198</v>
      </c>
      <c r="N1033" s="5" t="n">
        <v>597</v>
      </c>
      <c r="O1033" s="5" t="n">
        <v>49</v>
      </c>
      <c r="P1033" s="8">
        <f>IF(AND(M1161&lt;&gt;"",M1161&gt;0),M1161+N1161+O1161,"")</f>
        <v/>
      </c>
      <c r="Q1033" s="11">
        <f>IF(AND(L1161&lt;&gt;"",L1161&gt;0,P1161&lt;&gt;""),P1161/L1161,"")</f>
        <v/>
      </c>
      <c r="R1033" s="16">
        <f>IF(AND(P1161&lt;&gt;"",P1161&gt;0),(I1161+J1161+K1161)/P1161,"")</f>
        <v/>
      </c>
    </row>
    <row r="1034" ht="67.5" customHeight="1">
      <c r="A1034" s="5" t="inlineStr">
        <is>
          <t>2026-06-19</t>
        </is>
      </c>
      <c r="B1034" s="5" t="inlineStr">
        <is>
          <t>25周</t>
        </is>
      </c>
      <c r="C1034" s="5" t="inlineStr">
        <is>
          <t>抖音</t>
        </is>
      </c>
      <c r="D1034" s="5" t="n"/>
      <c r="E1034" s="5" t="n"/>
      <c r="F1034" s="5" t="inlineStr">
        <is>
          <t>https://www.douyin.com/user/MS4wLjABAAAAYiIC_D0z-T1JU0NdonmFMIXG4ZG2Bn94C1qJXZtnCgRSRY2lOUz5Wwi1koa1PA9E?from_tab_name=main&amp;modal_id=7653389081360326521</t>
        </is>
      </c>
      <c r="G1034" s="5" t="inlineStr">
        <is>
          <t>489</t>
        </is>
      </c>
      <c r="H1034" s="5" t="inlineStr">
        <is>
          <t>陈奕恒</t>
        </is>
      </c>
      <c r="I1034" s="5" t="n">
        <v>49.25</v>
      </c>
      <c r="J1034" s="5" t="n"/>
      <c r="K1034" s="5" t="n"/>
      <c r="L1034" s="5" t="n">
        <v>3200</v>
      </c>
      <c r="M1034" s="5" t="n">
        <v>329</v>
      </c>
      <c r="N1034" s="5" t="n">
        <v>12</v>
      </c>
      <c r="O1034" s="5" t="n">
        <v>61</v>
      </c>
      <c r="P1034" s="8">
        <f>IF(AND(M1162&lt;&gt;"",M1162&gt;0),M1162+N1162+O1162,"")</f>
        <v/>
      </c>
      <c r="Q1034" s="11">
        <f>IF(AND(L1162&lt;&gt;"",L1162&gt;0,P1162&lt;&gt;""),P1162/L1162,"")</f>
        <v/>
      </c>
      <c r="R1034" s="16">
        <f>IF(AND(P1162&lt;&gt;"",P1162&gt;0),(I1162+J1162+K1162)/P1162,"")</f>
        <v/>
      </c>
    </row>
    <row r="1035" ht="81" customHeight="1">
      <c r="A1035" s="5" t="inlineStr">
        <is>
          <t>2026-06-19</t>
        </is>
      </c>
      <c r="B1035" s="5" t="inlineStr">
        <is>
          <t>25周</t>
        </is>
      </c>
      <c r="C1035" s="5" t="inlineStr">
        <is>
          <t>抖音</t>
        </is>
      </c>
      <c r="D1035" s="5" t="n"/>
      <c r="E1035" s="5" t="n"/>
      <c r="F1035" s="5" t="inlineStr">
        <is>
          <t>https://www.douyin.com/user/MS4wLjABAAAAWceDeb_Av8QHg6yJOURg13gS6Mmx-aiDwbX1VnXj5QL06PeAfuUNtrS79amatrzw?from_tab_name=main&amp;modal_id=7652674151324430833</t>
        </is>
      </c>
      <c r="G1035" s="5" t="inlineStr">
        <is>
          <t>489</t>
        </is>
      </c>
      <c r="H1035" s="5" t="inlineStr">
        <is>
          <t>马嘉祺</t>
        </is>
      </c>
      <c r="I1035" s="5" t="n">
        <v>49.25</v>
      </c>
      <c r="J1035" s="5" t="n"/>
      <c r="K1035" s="5" t="n"/>
      <c r="L1035" s="5" t="n">
        <v>530</v>
      </c>
      <c r="M1035" s="5" t="n">
        <v>39</v>
      </c>
      <c r="N1035" s="5" t="n">
        <v>1</v>
      </c>
      <c r="O1035" s="5" t="n">
        <v>5</v>
      </c>
      <c r="P1035" s="8">
        <f>IF(AND(M1163&lt;&gt;"",M1163&gt;0),M1163+N1163+O1163,"")</f>
        <v/>
      </c>
      <c r="Q1035" s="11">
        <f>IF(AND(L1163&lt;&gt;"",L1163&gt;0,P1163&lt;&gt;""),P1163/L1163,"")</f>
        <v/>
      </c>
      <c r="R1035" s="16">
        <f>IF(AND(P1163&lt;&gt;"",P1163&gt;0),(I1163+J1163+K1163)/P1163,"")</f>
        <v/>
      </c>
    </row>
    <row r="1036" ht="27" customHeight="1">
      <c r="A1036" s="5" t="inlineStr">
        <is>
          <t>2026-06-19</t>
        </is>
      </c>
      <c r="B1036" s="5" t="inlineStr">
        <is>
          <t>25周</t>
        </is>
      </c>
      <c r="C1036" s="5" t="inlineStr">
        <is>
          <t>抖音</t>
        </is>
      </c>
      <c r="D1036" s="5" t="n"/>
      <c r="E1036" s="5" t="n"/>
      <c r="F1036" s="5" t="inlineStr">
        <is>
          <t>https://www.douyin.com/user/MS4wLjABAAAADzj5oFFUf0cxb2H19j4nOpyjjrO9ZbZVAzZncFU8-JzdiGXf1DrBJYS5tWsBuOfW?from_tab_name=main&amp;modal_id=7652684247148539877</t>
        </is>
      </c>
      <c r="G1036" s="5" t="inlineStr">
        <is>
          <t>495</t>
        </is>
      </c>
      <c r="H1036" s="5" t="inlineStr">
        <is>
          <t>侯明昊</t>
        </is>
      </c>
      <c r="I1036" s="5" t="n">
        <v>97.86</v>
      </c>
      <c r="J1036" s="5" t="n"/>
      <c r="K1036" s="5" t="n"/>
      <c r="L1036" s="5" t="n">
        <v>11000</v>
      </c>
      <c r="M1036" s="5" t="n">
        <v>302</v>
      </c>
      <c r="N1036" s="5" t="n">
        <v>16</v>
      </c>
      <c r="O1036" s="5" t="n">
        <v>5</v>
      </c>
      <c r="P1036" s="8">
        <f>IF(AND(M1164&lt;&gt;"",M1164&gt;0),M1164+N1164+O1164,"")</f>
        <v/>
      </c>
      <c r="Q1036" s="11">
        <f>IF(AND(L1164&lt;&gt;"",L1164&gt;0,P1164&lt;&gt;""),P1164/L1164,"")</f>
        <v/>
      </c>
      <c r="R1036" s="16">
        <f>IF(AND(P1164&lt;&gt;"",P1164&gt;0),(I1164+J1164+K1164)/P1164,"")</f>
        <v/>
      </c>
    </row>
    <row r="1037" ht="67.5" customHeight="1">
      <c r="A1037" s="5" t="inlineStr">
        <is>
          <t>2026-06-19</t>
        </is>
      </c>
      <c r="B1037" s="5" t="inlineStr">
        <is>
          <t>25周</t>
        </is>
      </c>
      <c r="C1037" s="5" t="inlineStr">
        <is>
          <t>小红书</t>
        </is>
      </c>
      <c r="D1037" s="5" t="n"/>
      <c r="E1037" s="5" t="n"/>
      <c r="F1037" s="5" t="inlineStr">
        <is>
          <t>https://www.xiaohongshu.com/discovery/item/6a351099000000000702d79b?xsec_token=CB4YNclJxqx_mC364hWY7G0_4DOTtl8YSef-noaA6UZuI=&amp;xsec_source=app_share&amp;type=video</t>
        </is>
      </c>
      <c r="G1037" s="5" t="inlineStr">
        <is>
          <t>489</t>
        </is>
      </c>
      <c r="H1037" s="5" t="inlineStr">
        <is>
          <t>马嘉祺</t>
        </is>
      </c>
      <c r="I1037" s="5" t="n">
        <v>49.25</v>
      </c>
      <c r="J1037" s="5" t="n"/>
      <c r="K1037" s="5" t="n"/>
      <c r="L1037" s="5" t="n">
        <v>1493</v>
      </c>
      <c r="M1037" s="5" t="n">
        <v>131</v>
      </c>
      <c r="N1037" s="5" t="n">
        <v>39</v>
      </c>
      <c r="O1037" s="5" t="n">
        <v>8</v>
      </c>
      <c r="P1037" s="8">
        <f>IF(AND(M1165&lt;&gt;"",M1165&gt;0),M1165+N1165+O1165,"")</f>
        <v/>
      </c>
      <c r="Q1037" s="11">
        <f>IF(AND(L1165&lt;&gt;"",L1165&gt;0,P1165&lt;&gt;""),P1165/L1165,"")</f>
        <v/>
      </c>
      <c r="R1037" s="16">
        <f>IF(AND(P1165&lt;&gt;"",P1165&gt;0),(I1165+J1165+K1165)/P1165,"")</f>
        <v/>
      </c>
    </row>
    <row r="1038" ht="67.5" customHeight="1">
      <c r="A1038" s="5" t="inlineStr">
        <is>
          <t>2026-06-20</t>
        </is>
      </c>
      <c r="B1038" s="5" t="inlineStr">
        <is>
          <t>25周</t>
        </is>
      </c>
      <c r="C1038" s="5" t="inlineStr">
        <is>
          <t>抖音</t>
        </is>
      </c>
      <c r="D1038" s="5" t="n"/>
      <c r="E1038" s="5" t="n"/>
      <c r="F1038" s="5" t="inlineStr">
        <is>
          <t>https://v.douyin.com/yibfGYFUJWw/</t>
        </is>
      </c>
      <c r="G1038" s="5" t="inlineStr">
        <is>
          <t>495</t>
        </is>
      </c>
      <c r="H1038" s="5" t="inlineStr">
        <is>
          <t>侯明昊</t>
        </is>
      </c>
      <c r="I1038" s="5" t="n">
        <v>97.86</v>
      </c>
      <c r="J1038" s="5" t="n"/>
      <c r="K1038" s="5" t="n"/>
      <c r="L1038" s="5" t="n">
        <v>4001</v>
      </c>
      <c r="M1038" s="5" t="n">
        <v>225</v>
      </c>
      <c r="N1038" s="5" t="n">
        <v>19</v>
      </c>
      <c r="O1038" s="5" t="n">
        <v>11</v>
      </c>
      <c r="P1038" s="8">
        <f>IF(AND(M1166&lt;&gt;"",M1166&gt;0),M1166+N1166+O1166,"")</f>
        <v/>
      </c>
      <c r="Q1038" s="11">
        <f>IF(AND(L1166&lt;&gt;"",L1166&gt;0,P1166&lt;&gt;""),P1166/L1166,"")</f>
        <v/>
      </c>
      <c r="R1038" s="16">
        <f>IF(AND(P1166&lt;&gt;"",P1166&gt;0),(I1166+J1166+K1166)/P1166,"")</f>
        <v/>
      </c>
    </row>
    <row r="1039" ht="27" customHeight="1">
      <c r="A1039" s="5" t="inlineStr">
        <is>
          <t>2026-06-20</t>
        </is>
      </c>
      <c r="B1039" s="5" t="inlineStr">
        <is>
          <t>25周</t>
        </is>
      </c>
      <c r="C1039" s="5" t="inlineStr">
        <is>
          <t>抖音</t>
        </is>
      </c>
      <c r="D1039" s="5" t="n"/>
      <c r="E1039" s="5" t="n"/>
      <c r="F1039" s="5" t="inlineStr">
        <is>
          <t>https://v.douyin.com/f3AkTk54M30/ 08/27 :9pm FuF:/ s@R.KW</t>
        </is>
      </c>
      <c r="G1039" s="5" t="inlineStr">
        <is>
          <t>489</t>
        </is>
      </c>
      <c r="H1039" s="5" t="inlineStr">
        <is>
          <t>马嘉祺</t>
        </is>
      </c>
      <c r="I1039" s="5" t="n">
        <v>49.25</v>
      </c>
      <c r="J1039" s="5" t="n"/>
      <c r="K1039" s="5" t="n"/>
      <c r="L1039" s="5" t="n">
        <v>12000</v>
      </c>
      <c r="M1039" s="5" t="n">
        <v>1062</v>
      </c>
      <c r="N1039" s="5" t="n">
        <v>46</v>
      </c>
      <c r="O1039" s="5" t="n">
        <v>32</v>
      </c>
      <c r="P1039" s="8">
        <f>IF(AND(M1167&lt;&gt;"",M1167&gt;0),M1167+N1167+O1167,"")</f>
        <v/>
      </c>
      <c r="Q1039" s="11">
        <f>IF(AND(L1167&lt;&gt;"",L1167&gt;0,P1167&lt;&gt;""),P1167/L1167,"")</f>
        <v/>
      </c>
      <c r="R1039" s="16">
        <f>IF(AND(P1167&lt;&gt;"",P1167&gt;0),(I1167+J1167+K1167)/P1167,"")</f>
        <v/>
      </c>
    </row>
    <row r="1040" ht="27" customHeight="1">
      <c r="A1040" s="5" t="inlineStr">
        <is>
          <t>2026-06-20</t>
        </is>
      </c>
      <c r="B1040" s="5" t="inlineStr">
        <is>
          <t>25周</t>
        </is>
      </c>
      <c r="C1040" s="5" t="inlineStr">
        <is>
          <t>小红书</t>
        </is>
      </c>
      <c r="D1040" s="5" t="n"/>
      <c r="E1040" s="5" t="n"/>
      <c r="F1040" s="5" t="inlineStr">
        <is>
          <t>https://www.xiaohongshu.com/discovery/item/6a368e4f000000000f01cbda?xsec_token=CBokOpYCC7jPYXN7SGo96RMFoLHn5KxxArs4XWvWsxQNU=&amp;xsec_source=app_share&amp;type=video</t>
        </is>
      </c>
      <c r="G1040" s="5" t="inlineStr">
        <is>
          <t>0003A2</t>
        </is>
      </c>
      <c r="H1040" s="5" t="inlineStr">
        <is>
          <t>穿搭</t>
        </is>
      </c>
      <c r="I1040" s="5" t="n">
        <v>49.375</v>
      </c>
      <c r="J1040" s="5" t="n"/>
      <c r="K1040" s="5" t="n"/>
      <c r="L1040" s="5" t="n">
        <v>31146</v>
      </c>
      <c r="M1040" s="5" t="n">
        <v>2410</v>
      </c>
      <c r="N1040" s="5" t="n">
        <v>590</v>
      </c>
      <c r="O1040" s="5" t="n">
        <v>27</v>
      </c>
      <c r="P1040" s="8">
        <f>IF(AND(M1168&lt;&gt;"",M1168&gt;0),M1168+N1168+O1168,"")</f>
        <v/>
      </c>
      <c r="Q1040" s="11">
        <f>IF(AND(L1168&lt;&gt;"",L1168&gt;0,P1168&lt;&gt;""),P1168/L1168,"")</f>
        <v/>
      </c>
      <c r="R1040" s="16">
        <f>IF(AND(P1168&lt;&gt;"",P1168&gt;0),(I1168+J1168+K1168)/P1168,"")</f>
        <v/>
      </c>
    </row>
    <row r="1041" ht="27" customHeight="1">
      <c r="A1041" s="5" t="inlineStr">
        <is>
          <t>2026-06-21</t>
        </is>
      </c>
      <c r="B1041" s="5" t="inlineStr">
        <is>
          <t>25周</t>
        </is>
      </c>
      <c r="C1041" s="5" t="inlineStr">
        <is>
          <t>抖音</t>
        </is>
      </c>
      <c r="D1041" s="5" t="n"/>
      <c r="E1041" s="5" t="n"/>
      <c r="F1041" s="5" t="inlineStr">
        <is>
          <t>https://v.douyin.com/CbXt18-uAGk/ o@Q.XM Dhb:/ :4pm 01/19</t>
        </is>
      </c>
      <c r="G1041" s="5" t="inlineStr">
        <is>
          <t>0003A2</t>
        </is>
      </c>
      <c r="H1041" s="5" t="inlineStr">
        <is>
          <t>跳舞穿搭</t>
        </is>
      </c>
      <c r="I1041" s="5" t="n">
        <v>149.375</v>
      </c>
      <c r="J1041" s="5" t="n"/>
      <c r="K1041" s="5" t="n"/>
      <c r="L1041" s="5" t="n">
        <v>890000</v>
      </c>
      <c r="M1041" s="5" t="n">
        <v>55000</v>
      </c>
      <c r="N1041" s="5" t="n">
        <v>7824</v>
      </c>
      <c r="O1041" s="5" t="n">
        <v>228</v>
      </c>
      <c r="P1041" s="8">
        <f>IF(AND(M1169&lt;&gt;"",M1169&gt;0),M1169+N1169+O1169,"")</f>
        <v/>
      </c>
      <c r="Q1041" s="11">
        <f>IF(AND(L1169&lt;&gt;"",L1169&gt;0,P1169&lt;&gt;""),P1169/L1169,"")</f>
        <v/>
      </c>
      <c r="R1041" s="16">
        <f>IF(AND(P1169&lt;&gt;"",P1169&gt;0),(I1169+J1169+K1169)/P1169,"")</f>
        <v/>
      </c>
    </row>
    <row r="1042" ht="40.5" customHeight="1">
      <c r="A1042" s="5" t="inlineStr">
        <is>
          <t>2026-06-21</t>
        </is>
      </c>
      <c r="B1042" s="5" t="inlineStr">
        <is>
          <t>25周</t>
        </is>
      </c>
      <c r="C1042" s="5" t="inlineStr">
        <is>
          <t>抖音</t>
        </is>
      </c>
      <c r="D1042" s="5" t="n"/>
      <c r="E1042" s="5" t="n"/>
      <c r="F1042" s="5" t="inlineStr">
        <is>
          <t>https://v.douyin.com/dySfDvSfJtI/ :4pm xFU:/ 06/27 u@F.Hi</t>
        </is>
      </c>
      <c r="G1042" s="5" t="inlineStr">
        <is>
          <t>0003A2</t>
        </is>
      </c>
      <c r="H1042" s="5" t="inlineStr">
        <is>
          <t>健身穿搭</t>
        </is>
      </c>
      <c r="I1042" s="5" t="n">
        <v>248.75</v>
      </c>
      <c r="J1042" s="5" t="n"/>
      <c r="K1042" s="5" t="n"/>
      <c r="L1042" s="5" t="n">
        <v>63000</v>
      </c>
      <c r="M1042" s="5" t="n">
        <v>1939</v>
      </c>
      <c r="N1042" s="5" t="n">
        <v>158</v>
      </c>
      <c r="O1042" s="5" t="n">
        <v>16</v>
      </c>
      <c r="P1042" s="8">
        <f>IF(AND(M1170&lt;&gt;"",M1170&gt;0),M1170+N1170+O1170,"")</f>
        <v/>
      </c>
      <c r="Q1042" s="11">
        <f>IF(AND(L1170&lt;&gt;"",L1170&gt;0,P1170&lt;&gt;""),P1170/L1170,"")</f>
        <v/>
      </c>
      <c r="R1042" s="16">
        <f>IF(AND(P1170&lt;&gt;"",P1170&gt;0),(I1170+J1170+K1170)/P1170,"")</f>
        <v/>
      </c>
    </row>
    <row r="1043" ht="27" customHeight="1">
      <c r="A1043" s="5" t="inlineStr">
        <is>
          <t>2026-06-21</t>
        </is>
      </c>
      <c r="B1043" s="5" t="inlineStr">
        <is>
          <t>25周</t>
        </is>
      </c>
      <c r="C1043" s="5" t="inlineStr">
        <is>
          <t>抖音</t>
        </is>
      </c>
      <c r="D1043" s="5" t="n"/>
      <c r="E1043" s="5" t="n"/>
      <c r="F1043" s="5" t="inlineStr">
        <is>
          <t>https://v.douyin.com/3DOt9fqm-NE/ KJv:/ V@Y.zt :4pm 12/28</t>
        </is>
      </c>
      <c r="G1043" s="5" t="inlineStr">
        <is>
          <t>489</t>
        </is>
      </c>
      <c r="H1043" s="5" t="inlineStr">
        <is>
          <t>陈奕恒</t>
        </is>
      </c>
      <c r="I1043" s="5" t="n">
        <v>24.625</v>
      </c>
      <c r="J1043" s="5" t="n"/>
      <c r="K1043" s="5" t="n"/>
      <c r="L1043" s="5" t="n">
        <v>3500</v>
      </c>
      <c r="M1043" s="5" t="n">
        <v>612</v>
      </c>
      <c r="N1043" s="5" t="n">
        <v>13</v>
      </c>
      <c r="O1043" s="5" t="n">
        <v>26</v>
      </c>
      <c r="P1043" s="8">
        <f>IF(AND(M1171&lt;&gt;"",M1171&gt;0),M1171+N1171+O1171,"")</f>
        <v/>
      </c>
      <c r="Q1043" s="11">
        <f>IF(AND(L1171&lt;&gt;"",L1171&gt;0,P1171&lt;&gt;""),P1171/L1171,"")</f>
        <v/>
      </c>
      <c r="R1043" s="16">
        <f>IF(AND(P1171&lt;&gt;"",P1171&gt;0),(I1171+J1171+K1171)/P1171,"")</f>
        <v/>
      </c>
    </row>
    <row r="1044" ht="94.5" customHeight="1">
      <c r="A1044" s="5" t="inlineStr">
        <is>
          <t>2026-06-21</t>
        </is>
      </c>
      <c r="B1044" s="5" t="inlineStr">
        <is>
          <t>25周</t>
        </is>
      </c>
      <c r="C1044" s="5" t="inlineStr">
        <is>
          <t>抖音</t>
        </is>
      </c>
      <c r="D1044" s="5" t="n"/>
      <c r="E1044" s="5" t="n"/>
      <c r="F1044" s="5" t="inlineStr">
        <is>
          <t>https://v.douyin.com/iaw2hshrvnE/ 06/28 f@B.gB :3pm seb:/</t>
        </is>
      </c>
      <c r="G1044" s="5" t="inlineStr">
        <is>
          <t>459</t>
        </is>
      </c>
      <c r="H1044" s="5" t="inlineStr">
        <is>
          <t>穿搭</t>
        </is>
      </c>
      <c r="I1044" s="5" t="n">
        <v>20.045</v>
      </c>
      <c r="J1044" s="5" t="n"/>
      <c r="K1044" s="5" t="n"/>
      <c r="L1044" s="5" t="n">
        <v>14000</v>
      </c>
      <c r="M1044" s="5" t="n">
        <v>235</v>
      </c>
      <c r="N1044" s="5" t="n">
        <v>51</v>
      </c>
      <c r="O1044" s="5" t="n">
        <v>16</v>
      </c>
      <c r="P1044" s="8">
        <f>IF(AND(M1172&lt;&gt;"",M1172&gt;0),M1172+N1172+O1172,"")</f>
        <v/>
      </c>
      <c r="Q1044" s="11">
        <f>IF(AND(L1172&lt;&gt;"",L1172&gt;0,P1172&lt;&gt;""),P1172/L1172,"")</f>
        <v/>
      </c>
      <c r="R1044" s="16">
        <f>IF(AND(P1172&lt;&gt;"",P1172&gt;0),(I1172+J1172+K1172)/P1172,"")</f>
        <v/>
      </c>
    </row>
    <row r="1045" ht="67.5" customHeight="1">
      <c r="A1045" s="5" t="inlineStr">
        <is>
          <t>2026-06-21</t>
        </is>
      </c>
      <c r="B1045" s="5" t="inlineStr">
        <is>
          <t>25周</t>
        </is>
      </c>
      <c r="C1045" s="5" t="inlineStr">
        <is>
          <t>抖音</t>
        </is>
      </c>
      <c r="D1045" s="5" t="n"/>
      <c r="E1045" s="5" t="n"/>
      <c r="F1045" s="5" t="inlineStr">
        <is>
          <t>https://v.douyin.com/ae45mPZl7Sw/</t>
        </is>
      </c>
      <c r="G1045" s="5" t="inlineStr">
        <is>
          <t>489</t>
        </is>
      </c>
      <c r="H1045" s="5" t="inlineStr">
        <is>
          <t>赵露思</t>
        </is>
      </c>
      <c r="I1045" s="5" t="n">
        <v>49.25</v>
      </c>
      <c r="J1045" s="5" t="n"/>
      <c r="K1045" s="5" t="n"/>
      <c r="L1045" s="5" t="n">
        <v>2434</v>
      </c>
      <c r="M1045" s="5" t="n">
        <v>363</v>
      </c>
      <c r="N1045" s="5" t="n">
        <v>12</v>
      </c>
      <c r="O1045" s="5" t="n">
        <v>26</v>
      </c>
      <c r="P1045" s="8">
        <f>IF(AND(M1173&lt;&gt;"",M1173&gt;0),M1173+N1173+O1173,"")</f>
        <v/>
      </c>
      <c r="Q1045" s="11">
        <f>IF(AND(L1173&lt;&gt;"",L1173&gt;0,P1173&lt;&gt;""),P1173/L1173,"")</f>
        <v/>
      </c>
      <c r="R1045" s="16">
        <f>IF(AND(P1173&lt;&gt;"",P1173&gt;0),(I1173+J1173+K1173)/P1173,"")</f>
        <v/>
      </c>
    </row>
    <row r="1046" ht="81" customHeight="1">
      <c r="A1046" s="5" t="inlineStr">
        <is>
          <t>2026-06-21</t>
        </is>
      </c>
      <c r="B1046" s="5" t="inlineStr">
        <is>
          <t>25周</t>
        </is>
      </c>
      <c r="C1046" s="5" t="inlineStr">
        <is>
          <t>抖音</t>
        </is>
      </c>
      <c r="D1046" s="5" t="n"/>
      <c r="E1046" s="5" t="n"/>
      <c r="F1046" s="5" t="inlineStr">
        <is>
          <t>https://v.douyin.com/24H_XU1sotw/</t>
        </is>
      </c>
      <c r="G1046" s="5" t="inlineStr">
        <is>
          <t>489</t>
        </is>
      </c>
      <c r="H1046" s="5" t="inlineStr">
        <is>
          <t>赵露思</t>
        </is>
      </c>
      <c r="I1046" s="5" t="n">
        <v>49.25</v>
      </c>
      <c r="J1046" s="5" t="n"/>
      <c r="K1046" s="5" t="n"/>
      <c r="L1046" s="5" t="n">
        <v>1540</v>
      </c>
      <c r="M1046" s="5" t="n">
        <v>179</v>
      </c>
      <c r="N1046" s="5" t="n">
        <v>5</v>
      </c>
      <c r="O1046" s="5" t="n">
        <v>5</v>
      </c>
      <c r="P1046" s="8">
        <f>IF(AND(M1174&lt;&gt;"",M1174&gt;0),M1174+N1174+O1174,"")</f>
        <v/>
      </c>
      <c r="Q1046" s="11">
        <f>IF(AND(L1174&lt;&gt;"",L1174&gt;0,P1174&lt;&gt;""),P1174/L1174,"")</f>
        <v/>
      </c>
      <c r="R1046" s="16">
        <f>IF(AND(P1174&lt;&gt;"",P1174&gt;0),(I1174+J1174+K1174)/P1174,"")</f>
        <v/>
      </c>
    </row>
    <row r="1047" ht="81" customHeight="1">
      <c r="A1047" s="5" t="inlineStr">
        <is>
          <t>2026-06-21</t>
        </is>
      </c>
      <c r="B1047" s="5" t="inlineStr">
        <is>
          <t>25周</t>
        </is>
      </c>
      <c r="C1047" s="5" t="inlineStr">
        <is>
          <t>小红书</t>
        </is>
      </c>
      <c r="D1047" s="5" t="n"/>
      <c r="E1047" s="5" t="n"/>
      <c r="F1047" s="5" t="inlineStr">
        <is>
          <t>https://www.xiaohongshu.com/discovery/item/6a37dcf000000000210196e4?xsec_token=CBaHulL1NZiFeplukBwAzVZoLm-6QJZxyhJdlzEVrkyMc=&amp;xsec_source=app_share&amp;type=video</t>
        </is>
      </c>
      <c r="G1047" s="5" t="inlineStr">
        <is>
          <t>459</t>
        </is>
      </c>
      <c r="H1047" s="5" t="inlineStr">
        <is>
          <t>穿搭</t>
        </is>
      </c>
      <c r="I1047" s="5" t="n">
        <v>20.045</v>
      </c>
      <c r="J1047" s="5" t="n"/>
      <c r="K1047" s="5" t="n"/>
      <c r="L1047" s="5" t="n">
        <v>457</v>
      </c>
      <c r="M1047" s="5" t="n">
        <v>33</v>
      </c>
      <c r="N1047" s="5" t="n">
        <v>4</v>
      </c>
      <c r="O1047" s="5" t="n">
        <v>3</v>
      </c>
      <c r="P1047" s="8">
        <f>IF(AND(M1175&lt;&gt;"",M1175&gt;0),M1175+N1175+O1175,"")</f>
        <v/>
      </c>
      <c r="Q1047" s="11">
        <f>IF(AND(L1175&lt;&gt;"",L1175&gt;0,P1175&lt;&gt;""),P1175/L1175,"")</f>
        <v/>
      </c>
      <c r="R1047" s="16">
        <f>IF(AND(P1175&lt;&gt;"",P1175&gt;0),(I1175+J1175+K1175)/P1175,"")</f>
        <v/>
      </c>
    </row>
    <row r="1048" ht="67.5" customHeight="1">
      <c r="A1048" s="5" t="inlineStr">
        <is>
          <t>2026-06-22</t>
        </is>
      </c>
      <c r="B1048" s="5" t="inlineStr">
        <is>
          <t>26周</t>
        </is>
      </c>
      <c r="C1048" s="5" t="inlineStr">
        <is>
          <t>抖音</t>
        </is>
      </c>
      <c r="D1048" s="5" t="n"/>
      <c r="E1048" s="5" t="n"/>
      <c r="F1048" s="5" t="inlineStr">
        <is>
          <t>https://www.douyin.com/user/MS4wLjABAAAAxWBwBuL9MVzwxerHaQlKu-b1By4x7Cg5AUxynlIyCSSvanEspMmm_IOClD5HVrBu?from_tab_name=main&amp;modal_id=7654065378334871259</t>
        </is>
      </c>
      <c r="G1048" s="5" t="inlineStr">
        <is>
          <t>495</t>
        </is>
      </c>
      <c r="H1048" s="5" t="inlineStr">
        <is>
          <t>侯明昊</t>
        </is>
      </c>
      <c r="I1048" s="5" t="n">
        <v>97.86</v>
      </c>
      <c r="J1048" s="5" t="n"/>
      <c r="K1048" s="5" t="n"/>
      <c r="L1048" s="5" t="n">
        <v>6029</v>
      </c>
      <c r="M1048" s="5" t="n">
        <v>247</v>
      </c>
      <c r="N1048" s="5" t="n">
        <v>16</v>
      </c>
      <c r="O1048" s="5" t="n">
        <v>21</v>
      </c>
      <c r="P1048" s="8">
        <f>IF(AND(M1176&lt;&gt;"",M1176&gt;0),M1176+N1176+O1176,"")</f>
        <v/>
      </c>
      <c r="Q1048" s="11">
        <f>IF(AND(L1176&lt;&gt;"",L1176&gt;0,P1176&lt;&gt;""),P1176/L1176,"")</f>
        <v/>
      </c>
      <c r="R1048" s="16">
        <f>IF(AND(P1176&lt;&gt;"",P1176&gt;0),(I1176+J1176+K1176)/P1176,"")</f>
        <v/>
      </c>
    </row>
    <row r="1049" ht="67.5" customHeight="1">
      <c r="A1049" s="5" t="inlineStr">
        <is>
          <t>2026-06-22</t>
        </is>
      </c>
      <c r="B1049" s="5" t="inlineStr">
        <is>
          <t>26周</t>
        </is>
      </c>
      <c r="C1049" s="5" t="inlineStr">
        <is>
          <t>小红书</t>
        </is>
      </c>
      <c r="D1049" s="5" t="n"/>
      <c r="E1049" s="5" t="n"/>
      <c r="F1049" s="5" t="inlineStr">
        <is>
          <t>https://www.xiaohongshu.com/discovery/item/6a39192200000000080249c4?xsec_token=CBZyADPhgnbiBULThPwJTBoKJo1R3lMUaNz4yKXyRc-fY=&amp;xsec_source=app_share&amp;type=video</t>
        </is>
      </c>
      <c r="G1049" s="5" t="inlineStr">
        <is>
          <t>489</t>
        </is>
      </c>
      <c r="H1049" s="5" t="inlineStr">
        <is>
          <t>陈奕恒</t>
        </is>
      </c>
      <c r="I1049" s="5" t="n">
        <v>49.25</v>
      </c>
      <c r="J1049" s="5" t="n"/>
      <c r="K1049" s="5" t="n"/>
      <c r="L1049" s="5" t="n">
        <v>2970</v>
      </c>
      <c r="M1049" s="5" t="n">
        <v>364</v>
      </c>
      <c r="N1049" s="5" t="n">
        <v>39</v>
      </c>
      <c r="O1049" s="5" t="n">
        <v>94</v>
      </c>
      <c r="P1049" s="8">
        <f>IF(AND(M1177&lt;&gt;"",M1177&gt;0),M1177+N1177+O1177,"")</f>
        <v/>
      </c>
      <c r="Q1049" s="11">
        <f>IF(AND(L1177&lt;&gt;"",L1177&gt;0,P1177&lt;&gt;""),P1177/L1177,"")</f>
        <v/>
      </c>
      <c r="R1049" s="16">
        <f>IF(AND(P1177&lt;&gt;"",P1177&gt;0),(I1177+J1177+K1177)/P1177,"")</f>
        <v/>
      </c>
    </row>
    <row r="1050" ht="27" customHeight="1">
      <c r="A1050" s="5" t="inlineStr">
        <is>
          <t>2026-06-23</t>
        </is>
      </c>
      <c r="B1050" s="5" t="inlineStr">
        <is>
          <t>26周</t>
        </is>
      </c>
      <c r="C1050" s="5" t="inlineStr">
        <is>
          <t>抖音</t>
        </is>
      </c>
      <c r="D1050" s="5" t="n"/>
      <c r="E1050" s="5" t="n"/>
      <c r="F1050" s="5" t="inlineStr">
        <is>
          <t>https://www.douyin.com/user/self?from_tab_name=main&amp;modal_id=7654491280047355822&amp;showTab=like</t>
        </is>
      </c>
      <c r="G1050" s="5" t="inlineStr">
        <is>
          <t>492</t>
        </is>
      </c>
      <c r="H1050" s="5" t="inlineStr">
        <is>
          <t>好物口播</t>
        </is>
      </c>
      <c r="I1050" s="5" t="n">
        <v>69.7</v>
      </c>
      <c r="J1050" s="5" t="n"/>
      <c r="K1050" s="5" t="n"/>
      <c r="L1050" s="5" t="n">
        <v>11000</v>
      </c>
      <c r="M1050" s="5" t="n">
        <v>155</v>
      </c>
      <c r="N1050" s="5" t="n">
        <v>60</v>
      </c>
      <c r="O1050" s="5" t="n">
        <v>14</v>
      </c>
      <c r="P1050" s="8">
        <f>IF(AND(M1178&lt;&gt;"",M1178&gt;0),M1178+N1178+O1178,"")</f>
        <v/>
      </c>
      <c r="Q1050" s="11">
        <f>IF(AND(L1178&lt;&gt;"",L1178&gt;0,P1178&lt;&gt;""),P1178/L1178,"")</f>
        <v/>
      </c>
      <c r="R1050" s="16">
        <f>IF(AND(P1178&lt;&gt;"",P1178&gt;0),(I1178+J1178+K1178)/P1178,"")</f>
        <v/>
      </c>
    </row>
    <row r="1051" ht="27" customHeight="1">
      <c r="A1051" s="5" t="inlineStr">
        <is>
          <t>2026-06-24</t>
        </is>
      </c>
      <c r="B1051" s="5" t="inlineStr">
        <is>
          <t>26周</t>
        </is>
      </c>
      <c r="C1051" s="5" t="inlineStr">
        <is>
          <t>抖音</t>
        </is>
      </c>
      <c r="D1051" s="5" t="n"/>
      <c r="E1051" s="5" t="n"/>
      <c r="F1051" s="5" t="inlineStr">
        <is>
          <t>https://www.douyin.com/user/self?from_tab_name=main&amp;modal_id=7654837683693138617&amp;showSubTab=video&amp;showTab=like</t>
        </is>
      </c>
      <c r="G1051" s="5" t="inlineStr">
        <is>
          <t>489</t>
        </is>
      </c>
      <c r="H1051" s="5" t="inlineStr">
        <is>
          <t>赵露思</t>
        </is>
      </c>
      <c r="I1051" s="5" t="n">
        <v>49.25</v>
      </c>
      <c r="J1051" s="5" t="n"/>
      <c r="K1051" s="5" t="n"/>
      <c r="L1051" s="5" t="n">
        <v>5663</v>
      </c>
      <c r="M1051" s="5" t="n">
        <v>172</v>
      </c>
      <c r="N1051" s="5" t="n">
        <v>6</v>
      </c>
      <c r="O1051" s="5" t="n">
        <v>46</v>
      </c>
      <c r="P1051" s="8">
        <f>IF(AND(M1179&lt;&gt;"",M1179&gt;0),M1179+N1179+O1179,"")</f>
        <v/>
      </c>
      <c r="Q1051" s="11">
        <f>IF(AND(L1179&lt;&gt;"",L1179&gt;0,P1179&lt;&gt;""),P1179/L1179,"")</f>
        <v/>
      </c>
      <c r="R1051" s="16">
        <f>IF(AND(P1179&lt;&gt;"",P1179&gt;0),(I1179+J1179+K1179)/P1179,"")</f>
        <v/>
      </c>
    </row>
    <row r="1052" ht="40.5" customHeight="1">
      <c r="A1052" s="5" t="inlineStr">
        <is>
          <t>2026-06-24</t>
        </is>
      </c>
      <c r="B1052" s="5" t="inlineStr">
        <is>
          <t>26周</t>
        </is>
      </c>
      <c r="C1052" s="5" t="inlineStr">
        <is>
          <t>抖音</t>
        </is>
      </c>
      <c r="D1052" s="5" t="n"/>
      <c r="E1052" s="5" t="n"/>
      <c r="F1052" s="5" t="inlineStr">
        <is>
          <t>https://www.douyin.com/user/self/search/%E9%83%BD%E5%84%BF%E4%BA%86%E4%B8%AA%E5%98%B4?aid=d77a17ce-9c31-40dd-a2c3-f0ded513398b&amp;modal_id=7654939461843477083&amp;type=general</t>
        </is>
      </c>
      <c r="G1052" s="5" t="inlineStr">
        <is>
          <t>459</t>
        </is>
      </c>
      <c r="H1052" s="5" t="inlineStr">
        <is>
          <t>鞋子合集</t>
        </is>
      </c>
      <c r="I1052" s="5" t="n">
        <v>170.1</v>
      </c>
      <c r="J1052" s="5" t="n"/>
      <c r="K1052" s="5" t="n"/>
      <c r="L1052" s="5" t="n">
        <v>16000</v>
      </c>
      <c r="M1052" s="5" t="n">
        <v>162</v>
      </c>
      <c r="N1052" s="5" t="n">
        <v>38</v>
      </c>
      <c r="O1052" s="5" t="n">
        <v>49</v>
      </c>
      <c r="P1052" s="8">
        <f>IF(AND(M1180&lt;&gt;"",M1180&gt;0),M1180+N1180+O1180,"")</f>
        <v/>
      </c>
      <c r="Q1052" s="11">
        <f>IF(AND(L1180&lt;&gt;"",L1180&gt;0,P1180&lt;&gt;""),P1180/L1180,"")</f>
        <v/>
      </c>
      <c r="R1052" s="16">
        <f>IF(AND(P1180&lt;&gt;"",P1180&gt;0),(I1180+J1180+K1180)/P1180,"")</f>
        <v/>
      </c>
    </row>
    <row r="1053" ht="27" customHeight="1">
      <c r="A1053" s="5" t="inlineStr">
        <is>
          <t>2026-06-24</t>
        </is>
      </c>
      <c r="B1053" s="5" t="inlineStr">
        <is>
          <t>26周</t>
        </is>
      </c>
      <c r="C1053" s="5" t="inlineStr">
        <is>
          <t>小红书</t>
        </is>
      </c>
      <c r="D1053" s="5" t="n"/>
      <c r="E1053" s="5" t="n"/>
      <c r="F1053" s="5" t="inlineStr">
        <is>
          <t>https://www.xiaohongshu.com/discovery/item/6a3bcf6e00000000110061b8?xsec_token=CBKzPQtjvfzzZFuHXpx72lXSNw0UV_aHjXEt_J6QIcw68=&amp;xsec_source=app_share&amp;type=video</t>
        </is>
      </c>
      <c r="G1053" s="5" t="inlineStr">
        <is>
          <t>459</t>
        </is>
      </c>
      <c r="H1053" s="5" t="inlineStr">
        <is>
          <t>鞋子合集</t>
        </is>
      </c>
      <c r="I1053" s="5" t="n">
        <v>170</v>
      </c>
      <c r="J1053" s="5" t="n"/>
      <c r="K1053" s="5" t="n"/>
      <c r="L1053" s="5" t="n">
        <v>8291</v>
      </c>
      <c r="M1053" s="5" t="n">
        <v>279</v>
      </c>
      <c r="N1053" s="5" t="n">
        <v>125</v>
      </c>
      <c r="O1053" s="5" t="n">
        <v>40</v>
      </c>
      <c r="P1053" s="8">
        <f>IF(AND(M1181&lt;&gt;"",M1181&gt;0),M1181+N1181+O1181,"")</f>
        <v/>
      </c>
      <c r="Q1053" s="11">
        <f>IF(AND(L1181&lt;&gt;"",L1181&gt;0,P1181&lt;&gt;""),P1181/L1181,"")</f>
        <v/>
      </c>
      <c r="R1053" s="16">
        <f>IF(AND(P1181&lt;&gt;"",P1181&gt;0),(I1181+J1181+K1181)/P1181,"")</f>
        <v/>
      </c>
    </row>
    <row r="1054" ht="40.5" customHeight="1">
      <c r="A1054" s="5" t="inlineStr">
        <is>
          <t>2026-06-26</t>
        </is>
      </c>
      <c r="B1054" s="5" t="inlineStr">
        <is>
          <t>26周</t>
        </is>
      </c>
      <c r="C1054" s="5" t="inlineStr">
        <is>
          <t>抖音</t>
        </is>
      </c>
      <c r="D1054" s="5" t="n"/>
      <c r="E1054" s="5" t="n"/>
      <c r="F1054" s="5" t="inlineStr">
        <is>
          <t>https://www.douyin.com/user/MS4wLjABAAAAphvEqehTan1LsQzWMoyXRUijsiJ-xwkDq7yAicXdxTgebbexPLRhwcTNrBeGimoG?from_tab_name=main&amp;modal_id=7654212388250795619</t>
        </is>
      </c>
      <c r="G1054" s="5" t="inlineStr">
        <is>
          <t>0003A2</t>
        </is>
      </c>
      <c r="H1054" s="5" t="inlineStr">
        <is>
          <t>穿搭</t>
        </is>
      </c>
      <c r="I1054" s="5" t="n">
        <v>96.75</v>
      </c>
      <c r="J1054" s="5" t="n"/>
      <c r="K1054" s="5" t="n"/>
      <c r="L1054" s="5" t="n">
        <v>12000</v>
      </c>
      <c r="M1054" s="5" t="n">
        <v>211</v>
      </c>
      <c r="N1054" s="5" t="n">
        <v>39</v>
      </c>
      <c r="O1054" s="5" t="n">
        <v>9</v>
      </c>
      <c r="P1054" s="8">
        <f>IF(AND(M1182&lt;&gt;"",M1182&gt;0),M1182+N1182+O1182,"")</f>
        <v/>
      </c>
      <c r="Q1054" s="11">
        <f>IF(AND(L1182&lt;&gt;"",L1182&gt;0,P1182&lt;&gt;""),P1182/L1182,"")</f>
        <v/>
      </c>
      <c r="R1054" s="16">
        <f>IF(AND(P1182&lt;&gt;"",P1182&gt;0),(I1182+J1182+K1182)/P1182,"")</f>
        <v/>
      </c>
    </row>
    <row r="1055" ht="27" customHeight="1">
      <c r="A1055" s="5" t="inlineStr">
        <is>
          <t>2026-06-26</t>
        </is>
      </c>
      <c r="B1055" s="5" t="inlineStr">
        <is>
          <t>26周</t>
        </is>
      </c>
      <c r="C1055" s="5" t="inlineStr">
        <is>
          <t>抖音</t>
        </is>
      </c>
      <c r="D1055" s="5" t="n"/>
      <c r="E1055" s="5" t="n"/>
      <c r="F1055" s="5" t="inlineStr">
        <is>
          <t>https://www.douyin.com/user/MS4wLjABAAAAPwR-sBVZar6gtnUKwwavY78Z_reNUkkJKzxagBilPDg?from_tab_name=main&amp;modal_id=7655686758802294699&amp;vid=7655686758802294699</t>
        </is>
      </c>
      <c r="G1055" s="5" t="inlineStr">
        <is>
          <t>489</t>
        </is>
      </c>
      <c r="H1055" s="5" t="inlineStr">
        <is>
          <t>邓紫棋</t>
        </is>
      </c>
      <c r="I1055" s="5" t="n">
        <v>49.25</v>
      </c>
      <c r="J1055" s="5" t="n"/>
      <c r="K1055" s="5" t="n"/>
      <c r="L1055" s="5" t="n">
        <v>8201</v>
      </c>
      <c r="M1055" s="5" t="n">
        <v>581</v>
      </c>
      <c r="N1055" s="5" t="n">
        <v>13</v>
      </c>
      <c r="O1055" s="5" t="n">
        <v>230</v>
      </c>
      <c r="P1055" s="8">
        <f>IF(AND(M1183&lt;&gt;"",M1183&gt;0),M1183+N1183+O1183,"")</f>
        <v/>
      </c>
      <c r="Q1055" s="11">
        <f>IF(AND(L1183&lt;&gt;"",L1183&gt;0,P1183&lt;&gt;""),P1183/L1183,"")</f>
        <v/>
      </c>
      <c r="R1055" s="16">
        <f>IF(AND(P1183&lt;&gt;"",P1183&gt;0),(I1183+J1183+K1183)/P1183,"")</f>
        <v/>
      </c>
    </row>
    <row r="1056" ht="108" customHeight="1">
      <c r="A1056" s="5" t="inlineStr">
        <is>
          <t>2026-06-26</t>
        </is>
      </c>
      <c r="B1056" s="5" t="inlineStr">
        <is>
          <t>26周</t>
        </is>
      </c>
      <c r="C1056" s="5" t="inlineStr">
        <is>
          <t>抖音</t>
        </is>
      </c>
      <c r="D1056" s="5" t="n"/>
      <c r="E1056" s="5" t="n"/>
      <c r="F1056" s="5" t="inlineStr">
        <is>
          <t>https://www.douyin.com/user/MS4wLjABAAAAbeujkw6xp3P3S1m69Bgufaki8gFfItAcOLf1seWBm2c?from_tab_name=main&amp;modal_id=7654890931133900361</t>
        </is>
      </c>
      <c r="G1056" s="5" t="inlineStr">
        <is>
          <t>459</t>
        </is>
      </c>
      <c r="H1056" s="5" t="inlineStr">
        <is>
          <t>穿搭</t>
        </is>
      </c>
      <c r="I1056" s="5" t="n">
        <v>40.09</v>
      </c>
      <c r="J1056" s="5" t="n"/>
      <c r="K1056" s="5" t="n"/>
      <c r="L1056" s="5" t="n">
        <v>12000</v>
      </c>
      <c r="M1056" s="5" t="n">
        <v>700</v>
      </c>
      <c r="N1056" s="5" t="n">
        <v>25</v>
      </c>
      <c r="O1056" s="5" t="n">
        <v>22</v>
      </c>
      <c r="P1056" s="8">
        <f>IF(AND(M1184&lt;&gt;"",M1184&gt;0),M1184+N1184+O1184,"")</f>
        <v/>
      </c>
      <c r="Q1056" s="11">
        <f>IF(AND(L1184&lt;&gt;"",L1184&gt;0,P1184&lt;&gt;""),P1184/L1184,"")</f>
        <v/>
      </c>
      <c r="R1056" s="16">
        <f>IF(AND(P1184&lt;&gt;"",P1184&gt;0),(I1184+J1184+K1184)/P1184,"")</f>
        <v/>
      </c>
    </row>
    <row r="1057" ht="67.5" customHeight="1">
      <c r="A1057" s="5" t="inlineStr">
        <is>
          <t>2026-06-26</t>
        </is>
      </c>
      <c r="B1057" s="5" t="inlineStr">
        <is>
          <t>26周</t>
        </is>
      </c>
      <c r="C1057" s="5" t="inlineStr">
        <is>
          <t>抖音</t>
        </is>
      </c>
      <c r="D1057" s="5" t="n"/>
      <c r="E1057" s="5" t="n"/>
      <c r="F1057" s="5" t="inlineStr">
        <is>
          <t>https://www.douyin.com/user/MS4wLjABAAAADXcZw_MS3yv_2EZC27NcXCBCc8ZinN2SoAYOJNnsHBmNOHLty-ldbzAS2ayxADIU?from_tab_name=main&amp;modal_id=7653372332597771718</t>
        </is>
      </c>
      <c r="G1057" s="5" t="inlineStr">
        <is>
          <t>489</t>
        </is>
      </c>
      <c r="H1057" s="5" t="inlineStr">
        <is>
          <t>邓紫棋</t>
        </is>
      </c>
      <c r="I1057" s="5" t="n">
        <v>49.25</v>
      </c>
      <c r="J1057" s="5" t="n"/>
      <c r="K1057" s="5" t="n"/>
      <c r="L1057" s="5" t="n">
        <v>60000</v>
      </c>
      <c r="M1057" s="5" t="n">
        <v>3566</v>
      </c>
      <c r="N1057" s="5" t="n">
        <v>429</v>
      </c>
      <c r="O1057" s="5" t="n">
        <v>122</v>
      </c>
      <c r="P1057" s="8">
        <f>IF(AND(M1185&lt;&gt;"",M1185&gt;0),M1185+N1185+O1185,"")</f>
        <v/>
      </c>
      <c r="Q1057" s="11">
        <f>IF(AND(L1185&lt;&gt;"",L1185&gt;0,P1185&lt;&gt;""),P1185/L1185,"")</f>
        <v/>
      </c>
      <c r="R1057" s="16">
        <f>IF(AND(P1185&lt;&gt;"",P1185&gt;0),(I1185+J1185+K1185)/P1185,"")</f>
        <v/>
      </c>
    </row>
    <row r="1058" ht="81" customHeight="1">
      <c r="A1058" s="5" t="inlineStr">
        <is>
          <t>2026-06-26</t>
        </is>
      </c>
      <c r="B1058" s="5" t="inlineStr">
        <is>
          <t>26周</t>
        </is>
      </c>
      <c r="C1058" s="5" t="inlineStr">
        <is>
          <t>抖音</t>
        </is>
      </c>
      <c r="D1058" s="5" t="n"/>
      <c r="E1058" s="5" t="n"/>
      <c r="F1058" s="5" t="inlineStr">
        <is>
          <t>https://v.douyin.com/AFyXIJjSbcY/</t>
        </is>
      </c>
      <c r="G1058" s="5" t="inlineStr">
        <is>
          <t>495</t>
        </is>
      </c>
      <c r="H1058" s="5" t="inlineStr">
        <is>
          <t>侯明昊</t>
        </is>
      </c>
      <c r="I1058" s="5" t="n">
        <v>97.86</v>
      </c>
      <c r="J1058" s="5" t="n"/>
      <c r="K1058" s="5" t="n"/>
      <c r="L1058" s="5" t="n">
        <v>1580</v>
      </c>
      <c r="M1058" s="5" t="n">
        <v>67</v>
      </c>
      <c r="N1058" s="5" t="n">
        <v>15</v>
      </c>
      <c r="O1058" s="5" t="n">
        <v>5</v>
      </c>
      <c r="P1058" s="8">
        <f>IF(AND(M1186&lt;&gt;"",M1186&gt;0),M1186+N1186+O1186,"")</f>
        <v/>
      </c>
      <c r="Q1058" s="11">
        <f>IF(AND(L1186&lt;&gt;"",L1186&gt;0,P1186&lt;&gt;""),P1186/L1186,"")</f>
        <v/>
      </c>
      <c r="R1058" s="16">
        <f>IF(AND(P1186&lt;&gt;"",P1186&gt;0),(I1186+J1186+K1186)/P1186,"")</f>
        <v/>
      </c>
    </row>
    <row r="1059" ht="81" customHeight="1">
      <c r="A1059" s="5" t="inlineStr">
        <is>
          <t>2026-06-27</t>
        </is>
      </c>
      <c r="B1059" s="5" t="inlineStr">
        <is>
          <t>26周</t>
        </is>
      </c>
      <c r="C1059" s="5" t="inlineStr">
        <is>
          <t>抖音</t>
        </is>
      </c>
      <c r="D1059" s="5" t="n"/>
      <c r="E1059" s="5" t="n"/>
      <c r="F1059" s="5" t="inlineStr">
        <is>
          <t>https://v.douyin.com/72vPTzo8NYc/</t>
        </is>
      </c>
      <c r="G1059" s="5" t="inlineStr">
        <is>
          <t>459</t>
        </is>
      </c>
      <c r="H1059" s="5" t="inlineStr">
        <is>
          <t>生命力穿搭</t>
        </is>
      </c>
      <c r="I1059" s="5" t="n">
        <v>40.09</v>
      </c>
      <c r="J1059" s="5" t="n"/>
      <c r="K1059" s="5" t="n"/>
      <c r="L1059" s="5" t="n">
        <v>13000</v>
      </c>
      <c r="M1059" s="5" t="n">
        <v>406</v>
      </c>
      <c r="N1059" s="5" t="n">
        <v>61</v>
      </c>
      <c r="O1059" s="5" t="n">
        <v>20</v>
      </c>
      <c r="P1059" s="8">
        <f>IF(AND(M1187&lt;&gt;"",M1187&gt;0),M1187+N1187+O1187,"")</f>
        <v/>
      </c>
      <c r="Q1059" s="11">
        <f>IF(AND(L1187&lt;&gt;"",L1187&gt;0,P1187&lt;&gt;""),P1187/L1187,"")</f>
        <v/>
      </c>
      <c r="R1059" s="16">
        <f>IF(AND(P1187&lt;&gt;"",P1187&gt;0),(I1187+J1187+K1187)/P1187,"")</f>
        <v/>
      </c>
    </row>
    <row r="1060" ht="81" customHeight="1">
      <c r="A1060" s="5" t="inlineStr">
        <is>
          <t>2026-06-27</t>
        </is>
      </c>
      <c r="B1060" s="5" t="inlineStr">
        <is>
          <t>26周</t>
        </is>
      </c>
      <c r="C1060" s="5" t="inlineStr">
        <is>
          <t>抖音</t>
        </is>
      </c>
      <c r="D1060" s="5" t="n"/>
      <c r="E1060" s="5" t="n"/>
      <c r="F1060" s="5" t="inlineStr">
        <is>
          <t>https://v.douyin.com/1jSq9Lc_nyU/</t>
        </is>
      </c>
      <c r="G1060" s="5" t="inlineStr">
        <is>
          <t>489</t>
        </is>
      </c>
      <c r="H1060" s="5" t="inlineStr">
        <is>
          <t>陈奕恒</t>
        </is>
      </c>
      <c r="I1060" s="5" t="n">
        <v>49.25</v>
      </c>
      <c r="J1060" s="5" t="n"/>
      <c r="K1060" s="5" t="n"/>
      <c r="L1060" s="5" t="n">
        <v>2675</v>
      </c>
      <c r="M1060" s="5" t="n">
        <v>338</v>
      </c>
      <c r="N1060" s="5" t="n">
        <v>8</v>
      </c>
      <c r="O1060" s="5" t="n">
        <v>28</v>
      </c>
      <c r="P1060" s="8">
        <f>IF(AND(M1188&lt;&gt;"",M1188&gt;0),M1188+N1188+O1188,"")</f>
        <v/>
      </c>
      <c r="Q1060" s="11">
        <f>IF(AND(L1188&lt;&gt;"",L1188&gt;0,P1188&lt;&gt;""),P1188/L1188,"")</f>
        <v/>
      </c>
      <c r="R1060" s="16">
        <f>IF(AND(P1188&lt;&gt;"",P1188&gt;0),(I1188+J1188+K1188)/P1188,"")</f>
        <v/>
      </c>
    </row>
    <row r="1061" ht="27" customHeight="1">
      <c r="A1061" s="5" t="inlineStr">
        <is>
          <t>2026-06-27</t>
        </is>
      </c>
      <c r="B1061" s="5" t="inlineStr">
        <is>
          <t>26周</t>
        </is>
      </c>
      <c r="C1061" s="5" t="inlineStr">
        <is>
          <t>抖音</t>
        </is>
      </c>
      <c r="D1061" s="5" t="n"/>
      <c r="E1061" s="5" t="n"/>
      <c r="F1061" s="5" t="inlineStr">
        <is>
          <t>https://v.douyin.com/ABlBwIiLNdA/</t>
        </is>
      </c>
      <c r="G1061" s="5" t="inlineStr">
        <is>
          <t>489</t>
        </is>
      </c>
      <c r="H1061" s="5" t="inlineStr">
        <is>
          <t>购物开箱</t>
        </is>
      </c>
      <c r="I1061" s="5" t="n">
        <v>27.375</v>
      </c>
      <c r="J1061" s="5" t="n"/>
      <c r="K1061" s="5" t="n"/>
      <c r="L1061" s="5" t="n">
        <v>10000</v>
      </c>
      <c r="M1061" s="5" t="n">
        <v>599</v>
      </c>
      <c r="N1061" s="5" t="n">
        <v>69</v>
      </c>
      <c r="O1061" s="5" t="n">
        <v>51</v>
      </c>
      <c r="P1061" s="8">
        <f>IF(AND(M1189&lt;&gt;"",M1189&gt;0),M1189+N1189+O1189,"")</f>
        <v/>
      </c>
      <c r="Q1061" s="11">
        <f>IF(AND(L1189&lt;&gt;"",L1189&gt;0,P1189&lt;&gt;""),P1189/L1189,"")</f>
        <v/>
      </c>
      <c r="R1061" s="16">
        <f>IF(AND(P1189&lt;&gt;"",P1189&gt;0),(I1189+J1189+K1189)/P1189,"")</f>
        <v/>
      </c>
    </row>
    <row r="1062">
      <c r="A1062" s="5" t="inlineStr">
        <is>
          <t>2026-06-27</t>
        </is>
      </c>
      <c r="B1062" s="5" t="inlineStr">
        <is>
          <t>26周</t>
        </is>
      </c>
      <c r="C1062" s="5" t="inlineStr">
        <is>
          <t>抖音</t>
        </is>
      </c>
      <c r="D1062" s="5" t="n"/>
      <c r="E1062" s="5" t="n"/>
      <c r="F1062" s="5" t="inlineStr">
        <is>
          <t>https://v.douyin.com/C0x0AOFSC60/</t>
        </is>
      </c>
      <c r="G1062" s="5" t="inlineStr">
        <is>
          <t>0003A2</t>
        </is>
      </c>
      <c r="H1062" s="5" t="inlineStr">
        <is>
          <t>健身穿搭</t>
        </is>
      </c>
      <c r="I1062" s="5" t="n">
        <v>96.75</v>
      </c>
      <c r="J1062" s="5" t="n"/>
      <c r="K1062" s="5" t="n"/>
      <c r="L1062" s="5" t="n">
        <v>43000</v>
      </c>
      <c r="M1062" s="5" t="n">
        <v>1037</v>
      </c>
      <c r="N1062" s="5" t="n">
        <v>131</v>
      </c>
      <c r="O1062" s="5" t="n">
        <v>28</v>
      </c>
      <c r="P1062" s="8">
        <f>IF(AND(M1190&lt;&gt;"",M1190&gt;0),M1190+N1190+O1190,"")</f>
        <v/>
      </c>
      <c r="Q1062" s="11">
        <f>IF(AND(L1190&lt;&gt;"",L1190&gt;0,P1190&lt;&gt;""),P1190/L1190,"")</f>
        <v/>
      </c>
      <c r="R1062" s="16">
        <f>IF(AND(P1190&lt;&gt;"",P1190&gt;0),(I1190+J1190+K1190)/P1190,"")</f>
        <v/>
      </c>
    </row>
    <row r="1063" ht="27" customHeight="1">
      <c r="A1063" s="5" t="inlineStr">
        <is>
          <t>2026-06-27</t>
        </is>
      </c>
      <c r="B1063" s="5" t="inlineStr">
        <is>
          <t>26周</t>
        </is>
      </c>
      <c r="C1063" s="5" t="inlineStr">
        <is>
          <t>抖音</t>
        </is>
      </c>
      <c r="D1063" s="5" t="n"/>
      <c r="E1063" s="5" t="n"/>
      <c r="F1063" s="5" t="inlineStr">
        <is>
          <t>https://v.douyin.com/qv52cM3qx9g/</t>
        </is>
      </c>
      <c r="G1063" s="5" t="inlineStr">
        <is>
          <t>0002A1</t>
        </is>
      </c>
      <c r="H1063" s="5" t="inlineStr">
        <is>
          <t>应援色</t>
        </is>
      </c>
      <c r="I1063" s="5" t="n">
        <v>110.36</v>
      </c>
      <c r="J1063" s="5" t="n"/>
      <c r="K1063" s="5" t="n"/>
      <c r="L1063" s="5" t="n">
        <v>69000</v>
      </c>
      <c r="M1063" s="5" t="n">
        <v>2314</v>
      </c>
      <c r="N1063" s="5" t="n">
        <v>509</v>
      </c>
      <c r="O1063" s="5" t="n">
        <v>92</v>
      </c>
      <c r="P1063" s="8">
        <f>IF(AND(M1191&lt;&gt;"",M1191&gt;0),M1191+N1191+O1191,"")</f>
        <v/>
      </c>
      <c r="Q1063" s="11">
        <f>IF(AND(L1191&lt;&gt;"",L1191&gt;0,P1191&lt;&gt;""),P1191/L1191,"")</f>
        <v/>
      </c>
      <c r="R1063" s="16">
        <f>IF(AND(P1191&lt;&gt;"",P1191&gt;0),(I1191+J1191+K1191)/P1191,"")</f>
        <v/>
      </c>
    </row>
    <row r="1064" ht="27" customHeight="1">
      <c r="A1064" s="5" t="inlineStr">
        <is>
          <t>2026-06-27</t>
        </is>
      </c>
      <c r="B1064" s="5" t="inlineStr">
        <is>
          <t>26周</t>
        </is>
      </c>
      <c r="C1064" s="5" t="inlineStr">
        <is>
          <t>抖音</t>
        </is>
      </c>
      <c r="D1064" s="5" t="n"/>
      <c r="E1064" s="5" t="n"/>
      <c r="F1064" s="5" t="inlineStr">
        <is>
          <t>https://v.douyin.com/dLSnuSqByXY/</t>
        </is>
      </c>
      <c r="G1064" s="5" t="inlineStr">
        <is>
          <t>459</t>
        </is>
      </c>
      <c r="H1064" s="5" t="inlineStr">
        <is>
          <t>跳舞穿搭</t>
        </is>
      </c>
      <c r="I1064" s="5" t="n">
        <v>40.09</v>
      </c>
      <c r="J1064" s="5" t="n"/>
      <c r="K1064" s="5" t="n"/>
      <c r="L1064" s="5" t="n">
        <v>129000</v>
      </c>
      <c r="M1064" s="5" t="n">
        <v>1415</v>
      </c>
      <c r="N1064" s="5" t="n">
        <v>141</v>
      </c>
      <c r="O1064" s="5" t="n">
        <v>57</v>
      </c>
      <c r="P1064" s="8">
        <f>IF(AND(M1192&lt;&gt;"",M1192&gt;0),M1192+N1192+O1192,"")</f>
        <v/>
      </c>
      <c r="Q1064" s="11">
        <f>IF(AND(L1192&lt;&gt;"",L1192&gt;0,P1192&lt;&gt;""),P1192/L1192,"")</f>
        <v/>
      </c>
      <c r="R1064" s="16">
        <f>IF(AND(P1192&lt;&gt;"",P1192&gt;0),(I1192+J1192+K1192)/P1192,"")</f>
        <v/>
      </c>
    </row>
    <row r="1065" ht="27" customHeight="1">
      <c r="A1065" s="5" t="inlineStr">
        <is>
          <t>2026-06-27</t>
        </is>
      </c>
      <c r="B1065" s="5" t="inlineStr">
        <is>
          <t>26周</t>
        </is>
      </c>
      <c r="C1065" s="5" t="inlineStr">
        <is>
          <t>小红书</t>
        </is>
      </c>
      <c r="D1065" s="5" t="n"/>
      <c r="E1065" s="5" t="n"/>
      <c r="F1065" s="5" t="inlineStr">
        <is>
          <t>https://www.xiaohongshu.com/discovery/item/6a3fa20b0000000007011666?xsec_token=CBrLZt_NhEPqa_n4pdkJ7ANNKVZzY5oq3pc8gsXFhydEs=&amp;xsec_source=app_share&amp;type=video</t>
        </is>
      </c>
      <c r="G1065" s="5" t="inlineStr">
        <is>
          <t>489</t>
        </is>
      </c>
      <c r="H1065" s="5" t="inlineStr">
        <is>
          <t>购物开箱</t>
        </is>
      </c>
      <c r="I1065" s="5" t="n">
        <v>27.375</v>
      </c>
      <c r="J1065" s="5" t="n"/>
      <c r="K1065" s="5" t="n"/>
      <c r="L1065" s="5" t="n">
        <v>1661</v>
      </c>
      <c r="M1065" s="5" t="n">
        <v>95</v>
      </c>
      <c r="N1065" s="5" t="n">
        <v>12</v>
      </c>
      <c r="O1065" s="5" t="n">
        <v>18</v>
      </c>
      <c r="P1065" s="8">
        <f>IF(AND(M1193&lt;&gt;"",M1193&gt;0),M1193+N1193+O1193,"")</f>
        <v/>
      </c>
      <c r="Q1065" s="11">
        <f>IF(AND(L1193&lt;&gt;"",L1193&gt;0,P1193&lt;&gt;""),P1193/L1193,"")</f>
        <v/>
      </c>
      <c r="R1065" s="16">
        <f>IF(AND(P1193&lt;&gt;"",P1193&gt;0),(I1193+J1193+K1193)/P1193,"")</f>
        <v/>
      </c>
    </row>
    <row r="1066" ht="27" customHeight="1">
      <c r="A1066" s="5" t="inlineStr">
        <is>
          <t>2026-06-28</t>
        </is>
      </c>
      <c r="B1066" s="5" t="inlineStr">
        <is>
          <t>26周</t>
        </is>
      </c>
      <c r="C1066" s="5" t="inlineStr">
        <is>
          <t>抖音</t>
        </is>
      </c>
      <c r="D1066" s="5" t="n"/>
      <c r="E1066" s="5" t="n"/>
      <c r="F1066" s="5" t="inlineStr">
        <is>
          <t>https://v.douyin.com/MMXxejPYUME/</t>
        </is>
      </c>
      <c r="G1066" s="5" t="inlineStr">
        <is>
          <t>489</t>
        </is>
      </c>
      <c r="H1066" s="5" t="inlineStr">
        <is>
          <t>陈奕恒</t>
        </is>
      </c>
      <c r="I1066" s="5" t="n">
        <v>49.25</v>
      </c>
      <c r="J1066" s="5" t="n"/>
      <c r="K1066" s="5" t="n"/>
      <c r="L1066" s="5" t="n">
        <v>1300</v>
      </c>
      <c r="M1066" s="5" t="n">
        <v>343</v>
      </c>
      <c r="N1066" s="5" t="n">
        <v>6</v>
      </c>
      <c r="O1066" s="5" t="n">
        <v>78</v>
      </c>
      <c r="P1066" s="8">
        <f>IF(AND(M1194&lt;&gt;"",M1194&gt;0),M1194+N1194+O1194,"")</f>
        <v/>
      </c>
      <c r="Q1066" s="11">
        <f>IF(AND(L1194&lt;&gt;"",L1194&gt;0,P1194&lt;&gt;""),P1194/L1194,"")</f>
        <v/>
      </c>
      <c r="R1066" s="16">
        <f>IF(AND(P1194&lt;&gt;"",P1194&gt;0),(I1194+J1194+K1194)/P1194,"")</f>
        <v/>
      </c>
    </row>
    <row r="1067" ht="27" customHeight="1">
      <c r="A1067" s="5" t="inlineStr">
        <is>
          <t>2026-06-28</t>
        </is>
      </c>
      <c r="B1067" s="5" t="inlineStr">
        <is>
          <t>26周</t>
        </is>
      </c>
      <c r="C1067" s="5" t="inlineStr">
        <is>
          <t>抖音</t>
        </is>
      </c>
      <c r="D1067" s="5" t="n"/>
      <c r="E1067" s="5" t="n"/>
      <c r="F1067" s="5" t="inlineStr">
        <is>
          <t>https://v.douyin.com/YH08rHQwI6c/</t>
        </is>
      </c>
      <c r="G1067" s="5" t="inlineStr">
        <is>
          <t>489</t>
        </is>
      </c>
      <c r="H1067" s="5" t="inlineStr">
        <is>
          <t>赵露思</t>
        </is>
      </c>
      <c r="I1067" s="5" t="n">
        <v>49.25</v>
      </c>
      <c r="J1067" s="5" t="n"/>
      <c r="K1067" s="5" t="n"/>
      <c r="L1067" s="5" t="n">
        <v>7671</v>
      </c>
      <c r="M1067" s="5" t="n">
        <v>662</v>
      </c>
      <c r="N1067" s="5" t="n">
        <v>28</v>
      </c>
      <c r="O1067" s="5" t="n">
        <v>276</v>
      </c>
      <c r="P1067" s="8">
        <f>IF(AND(M1195&lt;&gt;"",M1195&gt;0),M1195+N1195+O1195,"")</f>
        <v/>
      </c>
      <c r="Q1067" s="11">
        <f>IF(AND(L1195&lt;&gt;"",L1195&gt;0,P1195&lt;&gt;""),P1195/L1195,"")</f>
        <v/>
      </c>
      <c r="R1067" s="16">
        <f>IF(AND(P1195&lt;&gt;"",P1195&gt;0),(I1195+J1195+K1195)/P1195,"")</f>
        <v/>
      </c>
    </row>
    <row r="1068" ht="27" customHeight="1">
      <c r="A1068" s="5" t="inlineStr">
        <is>
          <t>2026-06-28</t>
        </is>
      </c>
      <c r="B1068" s="5" t="inlineStr">
        <is>
          <t>26周</t>
        </is>
      </c>
      <c r="C1068" s="5" t="inlineStr">
        <is>
          <t>抖音</t>
        </is>
      </c>
      <c r="D1068" s="5" t="n"/>
      <c r="E1068" s="5" t="n"/>
      <c r="F1068" s="5" t="inlineStr">
        <is>
          <t>https://v.douyin.com/i0aSXMCVMig/</t>
        </is>
      </c>
      <c r="G1068" s="5" t="inlineStr">
        <is>
          <t>489</t>
        </is>
      </c>
      <c r="H1068" s="5" t="inlineStr">
        <is>
          <t>陈奕恒</t>
        </is>
      </c>
      <c r="I1068" s="5" t="n">
        <v>49.25</v>
      </c>
      <c r="J1068" s="5" t="n"/>
      <c r="K1068" s="5" t="n"/>
      <c r="L1068" s="5" t="n">
        <v>2900</v>
      </c>
      <c r="M1068" s="5" t="n">
        <v>666</v>
      </c>
      <c r="N1068" s="5" t="n">
        <v>26</v>
      </c>
      <c r="O1068" s="5" t="n">
        <v>35</v>
      </c>
      <c r="P1068" s="8">
        <f>IF(AND(M1196&lt;&gt;"",M1196&gt;0),M1196+N1196+O1196,"")</f>
        <v/>
      </c>
      <c r="Q1068" s="11">
        <f>IF(AND(L1196&lt;&gt;"",L1196&gt;0,P1196&lt;&gt;""),P1196/L1196,"")</f>
        <v/>
      </c>
      <c r="R1068" s="16">
        <f>IF(AND(P1196&lt;&gt;"",P1196&gt;0),(I1196+J1196+K1196)/P1196,"")</f>
        <v/>
      </c>
    </row>
    <row r="1069" ht="27" customHeight="1">
      <c r="A1069" s="5" t="inlineStr">
        <is>
          <t>2026-06-28</t>
        </is>
      </c>
      <c r="B1069" s="5" t="inlineStr">
        <is>
          <t>26周</t>
        </is>
      </c>
      <c r="C1069" s="5" t="inlineStr">
        <is>
          <t>小红书</t>
        </is>
      </c>
      <c r="D1069" s="5" t="n"/>
      <c r="E1069" s="5" t="n"/>
      <c r="F1069" s="5" t="inlineStr">
        <is>
          <t>https://www.xiaohongshu.com/discovery/item/6a40ce320000000006020436?xsec_token=CB3FnCRjh0A19H4M1hvpwMd2R-5uE8O8VHjc2LdWkt9pY=&amp;xsec_source=app_share&amp;type=video</t>
        </is>
      </c>
      <c r="G1069" s="5" t="inlineStr">
        <is>
          <t>489</t>
        </is>
      </c>
      <c r="H1069" s="5" t="inlineStr">
        <is>
          <t>陈奕恒</t>
        </is>
      </c>
      <c r="I1069" s="5" t="n">
        <v>24.625</v>
      </c>
      <c r="J1069" s="5" t="n"/>
      <c r="K1069" s="5" t="n"/>
      <c r="L1069" s="5" t="n">
        <v>301</v>
      </c>
      <c r="M1069" s="5" t="n">
        <v>27</v>
      </c>
      <c r="N1069" s="5" t="n">
        <v>3</v>
      </c>
      <c r="O1069" s="5" t="n">
        <v>0</v>
      </c>
      <c r="P1069" s="8">
        <f>IF(AND(M1197&lt;&gt;"",M1197&gt;0),M1197+N1197+O1197,"")</f>
        <v/>
      </c>
      <c r="Q1069" s="11">
        <f>IF(AND(L1197&lt;&gt;"",L1197&gt;0,P1197&lt;&gt;""),P1197/L1197,"")</f>
        <v/>
      </c>
      <c r="R1069" s="16">
        <f>IF(AND(P1197&lt;&gt;"",P1197&gt;0),(I1197+J1197+K1197)/P1197,"")</f>
        <v/>
      </c>
    </row>
    <row r="1070" ht="27" customHeight="1">
      <c r="A1070" s="5" t="inlineStr">
        <is>
          <t>2026-06-29</t>
        </is>
      </c>
      <c r="B1070" s="5" t="inlineStr">
        <is>
          <t>27周</t>
        </is>
      </c>
      <c r="C1070" s="5" t="inlineStr">
        <is>
          <t>抖音</t>
        </is>
      </c>
      <c r="D1070" s="5" t="n"/>
      <c r="E1070" s="5" t="n"/>
      <c r="F1070" s="5" t="inlineStr">
        <is>
          <t>https://www.douyin.com/note/7656719093177988219</t>
        </is>
      </c>
      <c r="G1070" s="5" t="inlineStr">
        <is>
          <t>495</t>
        </is>
      </c>
      <c r="H1070" s="5" t="inlineStr">
        <is>
          <t>侯明昊</t>
        </is>
      </c>
      <c r="I1070" s="5" t="n">
        <v>97.86</v>
      </c>
      <c r="J1070" s="5" t="n"/>
      <c r="K1070" s="5" t="n"/>
      <c r="L1070" s="5" t="n">
        <v>264</v>
      </c>
      <c r="M1070" s="5" t="n">
        <v>74</v>
      </c>
      <c r="N1070" s="5" t="n">
        <v>5</v>
      </c>
      <c r="O1070" s="5" t="n">
        <v>0</v>
      </c>
      <c r="P1070" s="8">
        <f>IF(AND(M1198&lt;&gt;"",M1198&gt;0),M1198+N1198+O1198,"")</f>
        <v/>
      </c>
      <c r="Q1070" s="11">
        <f>IF(AND(L1198&lt;&gt;"",L1198&gt;0,P1198&lt;&gt;""),P1198/L1198,"")</f>
        <v/>
      </c>
      <c r="R1070" s="16">
        <f>IF(AND(P1198&lt;&gt;"",P1198&gt;0),(I1198+J1198+K1198)/P1198,"")</f>
        <v/>
      </c>
    </row>
    <row r="1071" ht="27" customHeight="1">
      <c r="A1071" s="5" t="inlineStr">
        <is>
          <t>2026-06-30</t>
        </is>
      </c>
      <c r="B1071" s="5" t="inlineStr">
        <is>
          <t>27周</t>
        </is>
      </c>
      <c r="C1071" s="5" t="inlineStr">
        <is>
          <t>抖音</t>
        </is>
      </c>
      <c r="D1071" s="5" t="n"/>
      <c r="E1071" s="5" t="n"/>
      <c r="F1071" s="5" t="inlineStr">
        <is>
          <t>https://www.douyin.com/user/MS4wLjABAAAAA0eKPAKExuGqdCbR9u51QF5pZIcJV_I1hQ6qhZxbrDWUipT2pNk6lSlrXVad7hX0?from_tab_name=main&amp;modal_id=7657046740691962280&amp;relation=0&amp;vid=7657046740691962280</t>
        </is>
      </c>
      <c r="G1071" s="5" t="inlineStr">
        <is>
          <t>489</t>
        </is>
      </c>
      <c r="H1071" s="5" t="inlineStr">
        <is>
          <t>马嘉祺</t>
        </is>
      </c>
      <c r="I1071" s="5" t="n">
        <v>49.25</v>
      </c>
      <c r="J1071" s="5" t="n"/>
      <c r="K1071" s="5" t="n"/>
      <c r="L1071" s="5" t="n">
        <v>5048</v>
      </c>
      <c r="M1071" s="5" t="n">
        <v>616</v>
      </c>
      <c r="N1071" s="5" t="n">
        <v>28</v>
      </c>
      <c r="O1071" s="5" t="n">
        <v>20</v>
      </c>
      <c r="P1071" s="8">
        <f>IF(AND(M1199&lt;&gt;"",M1199&gt;0),M1199+N1199+O1199,"")</f>
        <v/>
      </c>
      <c r="Q1071" s="11">
        <f>IF(AND(L1199&lt;&gt;"",L1199&gt;0,P1199&lt;&gt;""),P1199/L1199,"")</f>
        <v/>
      </c>
      <c r="R1071" s="16">
        <f>IF(AND(P1199&lt;&gt;"",P1199&gt;0),(I1199+J1199+K1199)/P1199,"")</f>
        <v/>
      </c>
    </row>
    <row r="1072" ht="27" customHeight="1">
      <c r="A1072" s="5" t="inlineStr">
        <is>
          <t>2026-06-30</t>
        </is>
      </c>
      <c r="B1072" s="5" t="inlineStr">
        <is>
          <t>27周</t>
        </is>
      </c>
      <c r="C1072" s="5" t="inlineStr">
        <is>
          <t>抖音</t>
        </is>
      </c>
      <c r="D1072" s="5" t="n"/>
      <c r="E1072" s="5" t="n"/>
      <c r="F1072" s="5" t="inlineStr">
        <is>
          <t>https://v.douyin.com/5DTaRCJcrwA/</t>
        </is>
      </c>
      <c r="G1072" s="5" t="inlineStr">
        <is>
          <t>459</t>
        </is>
      </c>
      <c r="H1072" s="5" t="inlineStr">
        <is>
          <t>穿搭</t>
        </is>
      </c>
      <c r="I1072" s="5" t="n">
        <v>40.09</v>
      </c>
      <c r="J1072" s="5" t="n"/>
      <c r="K1072" s="5" t="n"/>
      <c r="L1072" s="5" t="n">
        <v>5648</v>
      </c>
      <c r="M1072" s="5" t="n">
        <v>514</v>
      </c>
      <c r="N1072" s="5" t="n">
        <v>15</v>
      </c>
      <c r="O1072" s="5" t="n">
        <v>44</v>
      </c>
      <c r="P1072" s="8">
        <f>IF(AND(M1200&lt;&gt;"",M1200&gt;0),M1200+N1200+O1200,"")</f>
        <v/>
      </c>
      <c r="Q1072" s="11">
        <f>IF(AND(L1200&lt;&gt;"",L1200&gt;0,P1200&lt;&gt;""),P1200/L1200,"")</f>
        <v/>
      </c>
      <c r="R1072" s="16">
        <f>IF(AND(P1200&lt;&gt;"",P1200&gt;0),(I1200+J1200+K1200)/P1200,"")</f>
        <v/>
      </c>
    </row>
    <row r="1073" ht="27" customHeight="1">
      <c r="A1073" s="5" t="inlineStr">
        <is>
          <t>2026-06-30</t>
        </is>
      </c>
      <c r="B1073" s="5" t="inlineStr">
        <is>
          <t>27周</t>
        </is>
      </c>
      <c r="C1073" s="5" t="inlineStr">
        <is>
          <t>抖音</t>
        </is>
      </c>
      <c r="D1073" s="5" t="n"/>
      <c r="E1073" s="5" t="n"/>
      <c r="F1073" s="5" t="inlineStr">
        <is>
          <t>https://www.douyin.com/user/MS4wLjABAAAAogxWreutAylzi8jCYO5IJAO72EMGQ1Br--bG_VWMapfQBBtTUbi0BQWDDdo_V8Ex?from_tab_name=main&amp;modal_id=7656763894987478246</t>
        </is>
      </c>
      <c r="G1073" s="5" t="inlineStr">
        <is>
          <t>459</t>
        </is>
      </c>
      <c r="H1073" s="5" t="inlineStr">
        <is>
          <t>穿搭</t>
        </is>
      </c>
      <c r="I1073" s="5" t="n">
        <v>70.09999999999999</v>
      </c>
      <c r="J1073" s="5" t="n"/>
      <c r="K1073" s="5" t="n"/>
      <c r="L1073" s="5" t="n">
        <v>10000</v>
      </c>
      <c r="M1073" s="5" t="n">
        <v>1014</v>
      </c>
      <c r="N1073" s="5" t="n">
        <v>40</v>
      </c>
      <c r="O1073" s="5" t="n">
        <v>12</v>
      </c>
      <c r="P1073" s="8">
        <f>IF(AND(M1201&lt;&gt;"",M1201&gt;0),M1201+N1201+O1201,"")</f>
        <v/>
      </c>
      <c r="Q1073" s="11">
        <f>IF(AND(L1201&lt;&gt;"",L1201&gt;0,P1201&lt;&gt;""),P1201/L1201,"")</f>
        <v/>
      </c>
      <c r="R1073" s="16">
        <f>IF(AND(P1201&lt;&gt;"",P1201&gt;0),(I1201+J1201+K1201)/P1201,"")</f>
        <v/>
      </c>
    </row>
    <row r="1074" ht="27" customHeight="1">
      <c r="A1074" s="5" t="inlineStr">
        <is>
          <t>2026-07-01</t>
        </is>
      </c>
      <c r="B1074" s="5" t="inlineStr">
        <is>
          <t>27周</t>
        </is>
      </c>
      <c r="C1074" s="5" t="inlineStr">
        <is>
          <t>抖音</t>
        </is>
      </c>
      <c r="D1074" s="5" t="n"/>
      <c r="E1074" s="5" t="n"/>
      <c r="F1074" s="5" t="inlineStr">
        <is>
          <t>https://www.douyin.com/video/7657459119443479834</t>
        </is>
      </c>
      <c r="G1074" s="5" t="inlineStr">
        <is>
          <t>495</t>
        </is>
      </c>
      <c r="H1074" s="5" t="inlineStr">
        <is>
          <t>侯明昊</t>
        </is>
      </c>
      <c r="I1074" s="5" t="n">
        <v>73.93000000000001</v>
      </c>
      <c r="J1074" s="5" t="n"/>
      <c r="K1074" s="5" t="n"/>
      <c r="L1074" s="5" t="n">
        <v>43000</v>
      </c>
      <c r="M1074" s="5" t="n">
        <v>3853</v>
      </c>
      <c r="N1074" s="5" t="n">
        <v>176</v>
      </c>
      <c r="O1074" s="5" t="n">
        <v>101</v>
      </c>
      <c r="P1074" s="8">
        <f>IF(AND(M1202&lt;&gt;"",M1202&gt;0),M1202+N1202+O1202,"")</f>
        <v/>
      </c>
      <c r="Q1074" s="11">
        <f>IF(AND(L1202&lt;&gt;"",L1202&gt;0,P1202&lt;&gt;""),P1202/L1202,"")</f>
        <v/>
      </c>
      <c r="R1074" s="16">
        <f>IF(AND(P1202&lt;&gt;"",P1202&gt;0),(I1202+J1202+K1202)/P1202,"")</f>
        <v/>
      </c>
    </row>
    <row r="1075" ht="94.5" customHeight="1">
      <c r="A1075" s="5" t="inlineStr">
        <is>
          <t>2026-07-01</t>
        </is>
      </c>
      <c r="B1075" s="5" t="inlineStr">
        <is>
          <t>27周</t>
        </is>
      </c>
      <c r="C1075" s="5" t="inlineStr">
        <is>
          <t>抖音</t>
        </is>
      </c>
      <c r="D1075" s="5" t="n"/>
      <c r="E1075" s="5" t="n"/>
      <c r="F1075" s="5" t="inlineStr">
        <is>
          <t>https://v.douyin.com/pqX-6NrOcok/</t>
        </is>
      </c>
      <c r="G1075" s="5" t="inlineStr">
        <is>
          <t>459</t>
        </is>
      </c>
      <c r="H1075" s="5" t="inlineStr">
        <is>
          <t>生命力穿搭</t>
        </is>
      </c>
      <c r="I1075" s="5" t="n">
        <v>63.36</v>
      </c>
      <c r="J1075" s="5" t="n"/>
      <c r="K1075" s="5" t="n"/>
      <c r="L1075" s="5" t="n">
        <v>114000</v>
      </c>
      <c r="M1075" s="5" t="n">
        <v>3080</v>
      </c>
      <c r="N1075" s="5" t="n">
        <v>278</v>
      </c>
      <c r="O1075" s="5" t="n">
        <v>157</v>
      </c>
      <c r="P1075" s="8">
        <f>IF(AND(M1203&lt;&gt;"",M1203&gt;0),M1203+N1203+O1203,"")</f>
        <v/>
      </c>
      <c r="Q1075" s="11">
        <f>IF(AND(L1203&lt;&gt;"",L1203&gt;0,P1203&lt;&gt;""),P1203/L1203,"")</f>
        <v/>
      </c>
      <c r="R1075" s="16">
        <f>IF(AND(P1203&lt;&gt;"",P1203&gt;0),(I1203+J1203+K1203)/P1203,"")</f>
        <v/>
      </c>
    </row>
    <row r="1076">
      <c r="A1076" s="5" t="inlineStr">
        <is>
          <t>2026-07-01</t>
        </is>
      </c>
      <c r="B1076" s="5" t="inlineStr">
        <is>
          <t>27周</t>
        </is>
      </c>
      <c r="C1076" s="5" t="inlineStr">
        <is>
          <t>得物</t>
        </is>
      </c>
      <c r="D1076" s="5" t="n"/>
      <c r="E1076" s="5" t="n"/>
      <c r="F1076" s="5" t="inlineStr">
        <is>
          <t>https://dw4.co/t/A/1vqdJJ9JR</t>
        </is>
      </c>
      <c r="G1076" s="5" t="inlineStr">
        <is>
          <t>459</t>
        </is>
      </c>
      <c r="H1076" s="5" t="inlineStr">
        <is>
          <t>生命力穿搭</t>
        </is>
      </c>
      <c r="I1076" s="5" t="n">
        <v>13.36</v>
      </c>
      <c r="J1076" s="5" t="n"/>
      <c r="K1076" s="5" t="n"/>
      <c r="L1076" s="5" t="n">
        <v>50</v>
      </c>
      <c r="M1076" s="5" t="n">
        <v>7</v>
      </c>
      <c r="N1076" s="5" t="n">
        <v>0</v>
      </c>
      <c r="O1076" s="5" t="n">
        <v>5</v>
      </c>
      <c r="P1076" s="8">
        <f>IF(AND(M1204&lt;&gt;"",M1204&gt;0),M1204+N1204+O1204,"")</f>
        <v/>
      </c>
      <c r="Q1076" s="11">
        <f>IF(AND(L1204&lt;&gt;"",L1204&gt;0,P1204&lt;&gt;""),P1204/L1204,"")</f>
        <v/>
      </c>
      <c r="R1076" s="16">
        <f>IF(AND(P1204&lt;&gt;"",P1204&gt;0),(I1204+J1204+K1204)/P1204,"")</f>
        <v/>
      </c>
    </row>
    <row r="1077" ht="27" customHeight="1">
      <c r="A1077" s="5" t="inlineStr">
        <is>
          <t>2026-07-01</t>
        </is>
      </c>
      <c r="B1077" s="5" t="inlineStr">
        <is>
          <t>27周</t>
        </is>
      </c>
      <c r="C1077" s="5" t="inlineStr">
        <is>
          <t>抖音</t>
        </is>
      </c>
      <c r="D1077" s="5" t="n"/>
      <c r="E1077" s="5" t="n"/>
      <c r="F1077" s="5" t="inlineStr">
        <is>
          <t>https://v.douyin.com/oPJXKL8VEcc/</t>
        </is>
      </c>
      <c r="G1077" s="5" t="inlineStr">
        <is>
          <t>0003A2</t>
        </is>
      </c>
      <c r="H1077" s="5" t="inlineStr">
        <is>
          <t>穿搭</t>
        </is>
      </c>
      <c r="I1077" s="5" t="n">
        <v>185.5</v>
      </c>
      <c r="J1077" s="5" t="n"/>
      <c r="K1077" s="5" t="n"/>
      <c r="L1077" s="5" t="n">
        <v>5500</v>
      </c>
      <c r="M1077" s="5" t="n">
        <v>313</v>
      </c>
      <c r="N1077" s="5" t="n">
        <v>49</v>
      </c>
      <c r="O1077" s="5" t="n">
        <v>34</v>
      </c>
      <c r="P1077" s="8">
        <f>IF(AND(M1205&lt;&gt;"",M1205&gt;0),M1205+N1205+O1205,"")</f>
        <v/>
      </c>
      <c r="Q1077" s="11">
        <f>IF(AND(L1205&lt;&gt;"",L1205&gt;0,P1205&lt;&gt;""),P1205/L1205,"")</f>
        <v/>
      </c>
      <c r="R1077" s="16">
        <f>IF(AND(P1205&lt;&gt;"",P1205&gt;0),(I1205+J1205+K1205)/P1205,"")</f>
        <v/>
      </c>
    </row>
    <row r="1078" ht="27" customHeight="1">
      <c r="A1078" s="5" t="inlineStr">
        <is>
          <t>2026-07-01</t>
        </is>
      </c>
      <c r="B1078" s="5" t="inlineStr">
        <is>
          <t>27周</t>
        </is>
      </c>
      <c r="C1078" s="5" t="inlineStr">
        <is>
          <t>抖音</t>
        </is>
      </c>
      <c r="D1078" s="5" t="n"/>
      <c r="E1078" s="5" t="n"/>
      <c r="F1078" s="5" t="inlineStr">
        <is>
          <t>https://v.douyin.com/EIFZ3sGAczs/ GvS:/ :</t>
        </is>
      </c>
      <c r="G1078" s="5" t="inlineStr">
        <is>
          <t>489</t>
        </is>
      </c>
      <c r="H1078" s="5" t="inlineStr">
        <is>
          <t>陈奕恒</t>
        </is>
      </c>
      <c r="I1078" s="5" t="n">
        <v>49.25</v>
      </c>
      <c r="J1078" s="5" t="n"/>
      <c r="K1078" s="5" t="n"/>
      <c r="L1078" s="5" t="n">
        <v>9800</v>
      </c>
      <c r="M1078" s="5" t="n">
        <v>1011</v>
      </c>
      <c r="N1078" s="5" t="n">
        <v>24</v>
      </c>
      <c r="O1078" s="5" t="n">
        <v>183</v>
      </c>
      <c r="P1078" s="8">
        <f>IF(AND(M1206&lt;&gt;"",M1206&gt;0),M1206+N1206+O1206,"")</f>
        <v/>
      </c>
      <c r="Q1078" s="11">
        <f>IF(AND(L1206&lt;&gt;"",L1206&gt;0,P1206&lt;&gt;""),P1206/L1206,"")</f>
        <v/>
      </c>
      <c r="R1078" s="16">
        <f>IF(AND(P1206&lt;&gt;"",P1206&gt;0),(I1206+J1206+K1206)/P1206,"")</f>
        <v/>
      </c>
    </row>
    <row r="1079">
      <c r="A1079" s="5" t="inlineStr">
        <is>
          <t>2026-07-01</t>
        </is>
      </c>
      <c r="B1079" s="5" t="inlineStr">
        <is>
          <t>27周</t>
        </is>
      </c>
      <c r="C1079" s="5" t="inlineStr">
        <is>
          <t>抖音</t>
        </is>
      </c>
      <c r="D1079" s="5" t="n"/>
      <c r="E1079" s="5" t="n"/>
      <c r="F1079" s="5" t="inlineStr">
        <is>
          <t>https://www.douyin.com/user/MS4wLjABAAAALK460nm-OV6DklF6Oa3LpCC_tLKOqOf4XVqfNdE5uvs?from_tab_name=main&amp;modal_id=7657520892507485001</t>
        </is>
      </c>
      <c r="G1079" s="5" t="inlineStr">
        <is>
          <t>489</t>
        </is>
      </c>
      <c r="H1079" s="5" t="inlineStr">
        <is>
          <t>杨紫</t>
        </is>
      </c>
      <c r="I1079" s="5" t="n">
        <v>49.25</v>
      </c>
      <c r="J1079" s="5" t="n"/>
      <c r="K1079" s="5" t="n"/>
      <c r="L1079" s="5" t="n">
        <v>1165</v>
      </c>
      <c r="M1079" s="5" t="n">
        <v>114</v>
      </c>
      <c r="N1079" s="5" t="n">
        <v>5</v>
      </c>
      <c r="O1079" s="5" t="n">
        <v>9</v>
      </c>
      <c r="P1079" s="8">
        <f>IF(AND(M1207&lt;&gt;"",M1207&gt;0),M1207+N1207+O1207,"")</f>
        <v/>
      </c>
      <c r="Q1079" s="11">
        <f>IF(AND(L1207&lt;&gt;"",L1207&gt;0,P1207&lt;&gt;""),P1207/L1207,"")</f>
        <v/>
      </c>
      <c r="R1079" s="16">
        <f>IF(AND(P1207&lt;&gt;"",P1207&gt;0),(I1207+J1207+K1207)/P1207,"")</f>
        <v/>
      </c>
    </row>
    <row r="1080" ht="40.5" customHeight="1">
      <c r="A1080" s="5" t="inlineStr">
        <is>
          <t>2026-07-01</t>
        </is>
      </c>
      <c r="B1080" s="5" t="inlineStr">
        <is>
          <t>27周</t>
        </is>
      </c>
      <c r="C1080" s="5" t="inlineStr">
        <is>
          <t>抖音</t>
        </is>
      </c>
      <c r="D1080" s="5" t="n"/>
      <c r="E1080" s="5" t="n"/>
      <c r="F1080" s="5" t="inlineStr">
        <is>
          <t>https://www.douyin.com/user/MS4wLjABAAAA-qIoq1VhHEY0XEJ7EwOI_jYLoi97WCPaugUb0R-kf0yqPxtZMycIzd4TwIkWRzF7/search/%E8%81%AA%E6%98%8E%E5%A4%A7%E7%8E%8B?aid=17263c51-917d-4243-a493-1443b8ac4c3c&amp;modal_id=7657075531061901055&amp;type=general</t>
        </is>
      </c>
      <c r="G1080" s="5" t="inlineStr">
        <is>
          <t>489</t>
        </is>
      </c>
      <c r="H1080" s="5" t="inlineStr">
        <is>
          <t>鞋子合集</t>
        </is>
      </c>
      <c r="I1080" s="5" t="n">
        <v>149.25</v>
      </c>
      <c r="J1080" s="5" t="n"/>
      <c r="K1080" s="5" t="n"/>
      <c r="L1080" s="5" t="n">
        <v>12000</v>
      </c>
      <c r="M1080" s="5" t="n">
        <v>176</v>
      </c>
      <c r="N1080" s="5" t="n">
        <v>97</v>
      </c>
      <c r="O1080" s="5" t="n">
        <v>7</v>
      </c>
      <c r="P1080" s="8">
        <f>IF(AND(M1208&lt;&gt;"",M1208&gt;0),M1208+N1208+O1208,"")</f>
        <v/>
      </c>
      <c r="Q1080" s="11">
        <f>IF(AND(L1208&lt;&gt;"",L1208&gt;0,P1208&lt;&gt;""),P1208/L1208,"")</f>
        <v/>
      </c>
      <c r="R1080" s="16">
        <f>IF(AND(P1208&lt;&gt;"",P1208&gt;0),(I1208+J1208+K1208)/P1208,"")</f>
        <v/>
      </c>
    </row>
    <row r="1081">
      <c r="A1081" s="5" t="inlineStr">
        <is>
          <t>2026-07-01</t>
        </is>
      </c>
      <c r="B1081" s="5" t="inlineStr">
        <is>
          <t>27周</t>
        </is>
      </c>
      <c r="C1081" s="5" t="inlineStr">
        <is>
          <t>抖音</t>
        </is>
      </c>
      <c r="D1081" s="5" t="n"/>
      <c r="E1081" s="5" t="n"/>
      <c r="F1081" s="5" t="inlineStr">
        <is>
          <t>https://v.douyin.com/_9fvgR9VG9M/ tRk:/ :2pm 09/17 N@J.vF</t>
        </is>
      </c>
      <c r="G1081" s="5" t="inlineStr">
        <is>
          <t>0003A2</t>
        </is>
      </c>
      <c r="H1081" s="5" t="inlineStr">
        <is>
          <t>穿搭</t>
        </is>
      </c>
      <c r="I1081" s="5" t="n">
        <v>48.375</v>
      </c>
      <c r="J1081" s="5" t="n"/>
      <c r="K1081" s="5" t="n"/>
      <c r="L1081" s="5" t="n">
        <v>4339</v>
      </c>
      <c r="M1081" s="5" t="n">
        <v>224</v>
      </c>
      <c r="N1081" s="5" t="n">
        <v>26</v>
      </c>
      <c r="O1081" s="5" t="n">
        <v>10</v>
      </c>
      <c r="P1081" s="8">
        <f>IF(AND(M1209&lt;&gt;"",M1209&gt;0),M1209+N1209+O1209,"")</f>
        <v/>
      </c>
      <c r="Q1081" s="11">
        <f>IF(AND(L1209&lt;&gt;"",L1209&gt;0,P1209&lt;&gt;""),P1209/L1209,"")</f>
        <v/>
      </c>
      <c r="R1081" s="16">
        <f>IF(AND(P1209&lt;&gt;"",P1209&gt;0),(I1209+J1209+K1209)/P1209,"")</f>
        <v/>
      </c>
    </row>
    <row r="1082" ht="216" customHeight="1">
      <c r="A1082" s="5" t="inlineStr">
        <is>
          <t>2026-07-01</t>
        </is>
      </c>
      <c r="B1082" s="5" t="inlineStr">
        <is>
          <t>27周</t>
        </is>
      </c>
      <c r="C1082" s="5" t="inlineStr">
        <is>
          <t>抖音</t>
        </is>
      </c>
      <c r="D1082" s="5" t="n"/>
      <c r="E1082" s="5" t="n"/>
      <c r="F1082" s="5" t="inlineStr">
        <is>
          <t>https://v.douyin.com/O6xovqI2T4o/</t>
        </is>
      </c>
      <c r="G1082" s="5" t="inlineStr">
        <is>
          <t>489</t>
        </is>
      </c>
      <c r="H1082" s="5" t="inlineStr">
        <is>
          <t>杨紫</t>
        </is>
      </c>
      <c r="I1082" s="5" t="n">
        <v>49.25</v>
      </c>
      <c r="J1082" s="5" t="n"/>
      <c r="K1082" s="5" t="n"/>
      <c r="L1082" s="5" t="n">
        <v>798</v>
      </c>
      <c r="M1082" s="5" t="n">
        <v>102</v>
      </c>
      <c r="N1082" s="5" t="n">
        <v>1</v>
      </c>
      <c r="O1082" s="5" t="n">
        <v>1</v>
      </c>
      <c r="P1082" s="8">
        <f>IF(AND(M1210&lt;&gt;"",M1210&gt;0),M1210+N1210+O1210,"")</f>
        <v/>
      </c>
      <c r="Q1082" s="11">
        <f>IF(AND(L1210&lt;&gt;"",L1210&gt;0,P1210&lt;&gt;""),P1210/L1210,"")</f>
        <v/>
      </c>
      <c r="R1082" s="16">
        <f>IF(AND(P1210&lt;&gt;"",P1210&gt;0),(I1210+J1210+K1210)/P1210,"")</f>
        <v/>
      </c>
    </row>
    <row r="1083">
      <c r="A1083" s="5" t="inlineStr">
        <is>
          <t>2026-07-01</t>
        </is>
      </c>
      <c r="B1083" s="5" t="inlineStr">
        <is>
          <t>27周</t>
        </is>
      </c>
      <c r="C1083" s="5" t="inlineStr">
        <is>
          <t>小红书</t>
        </is>
      </c>
      <c r="D1083" s="5" t="n"/>
      <c r="E1083" s="5" t="n"/>
      <c r="F1083" s="5" t="inlineStr">
        <is>
          <t>https://www.xiaohongshu.com/discovery/item/6a44c326000000001003c5a9?xsec_token=CBSmtPZceoysiO-bMxxIUkK2TawhsNxrXG-YdrjLoGE6s=&amp;xsec_source=app_share&amp;type=video</t>
        </is>
      </c>
      <c r="G1083" s="5" t="inlineStr">
        <is>
          <t>495</t>
        </is>
      </c>
      <c r="H1083" s="5" t="inlineStr">
        <is>
          <t>侯明昊</t>
        </is>
      </c>
      <c r="I1083" s="5" t="n">
        <v>73.375</v>
      </c>
      <c r="J1083" s="5" t="n"/>
      <c r="K1083" s="5" t="n"/>
      <c r="L1083" s="5" t="n">
        <v>2742</v>
      </c>
      <c r="M1083" s="5" t="n">
        <v>206</v>
      </c>
      <c r="N1083" s="5" t="n">
        <v>24</v>
      </c>
      <c r="O1083" s="5" t="n">
        <v>9</v>
      </c>
      <c r="P1083" s="8">
        <f>IF(AND(M1211&lt;&gt;"",M1211&gt;0),M1211+N1211+O1211,"")</f>
        <v/>
      </c>
      <c r="Q1083" s="11">
        <f>IF(AND(L1211&lt;&gt;"",L1211&gt;0,P1211&lt;&gt;""),P1211/L1211,"")</f>
        <v/>
      </c>
      <c r="R1083" s="16">
        <f>IF(AND(P1211&lt;&gt;"",P1211&gt;0),(I1211+J1211+K1211)/P1211,"")</f>
        <v/>
      </c>
    </row>
    <row r="1084" ht="81" customHeight="1">
      <c r="A1084" s="5" t="inlineStr">
        <is>
          <t>2026-07-01</t>
        </is>
      </c>
      <c r="B1084" s="5" t="inlineStr">
        <is>
          <t>27周</t>
        </is>
      </c>
      <c r="C1084" s="5" t="inlineStr">
        <is>
          <t>小红书</t>
        </is>
      </c>
      <c r="D1084" s="5" t="n"/>
      <c r="E1084" s="5" t="n"/>
      <c r="F1084" s="5" t="inlineStr">
        <is>
          <t>https://www.xiaohongshu.com/discovery/item/6a44efb400000000110191a1?xsec_token=CBSmtPZceoysiO-bMxxIUkK3SKQR5AJw3XYWH6MarUxYQ=&amp;xsec_source=app_share</t>
        </is>
      </c>
      <c r="G1084" s="5" t="inlineStr">
        <is>
          <t>459</t>
        </is>
      </c>
      <c r="H1084" s="5" t="inlineStr">
        <is>
          <t>穿搭</t>
        </is>
      </c>
      <c r="I1084" s="5" t="n">
        <v>13.36</v>
      </c>
      <c r="J1084" s="5" t="n"/>
      <c r="K1084" s="5" t="n"/>
      <c r="L1084" s="5" t="n">
        <v>88</v>
      </c>
      <c r="M1084" s="5" t="n">
        <v>7</v>
      </c>
      <c r="N1084" s="5" t="n">
        <v>2</v>
      </c>
      <c r="O1084" s="5" t="n">
        <v>0</v>
      </c>
      <c r="P1084" s="8">
        <f>IF(AND(M1212&lt;&gt;"",M1212&gt;0),M1212+N1212+O1212,"")</f>
        <v/>
      </c>
      <c r="Q1084" s="11">
        <f>IF(AND(L1212&lt;&gt;"",L1212&gt;0,P1212&lt;&gt;""),P1212/L1212,"")</f>
        <v/>
      </c>
      <c r="R1084" s="16">
        <f>IF(AND(P1212&lt;&gt;"",P1212&gt;0),(I1212+J1212+K1212)/P1212,"")</f>
        <v/>
      </c>
    </row>
    <row r="1085" ht="81" customHeight="1">
      <c r="A1085" s="5" t="inlineStr">
        <is>
          <t>2026-07-01</t>
        </is>
      </c>
      <c r="B1085" s="5" t="inlineStr">
        <is>
          <t>27周</t>
        </is>
      </c>
      <c r="C1085" s="5" t="inlineStr">
        <is>
          <t>小红书</t>
        </is>
      </c>
      <c r="D1085" s="5" t="n"/>
      <c r="E1085" s="5" t="n"/>
      <c r="F1085" s="5" t="inlineStr">
        <is>
          <t>https://www.xiaohongshu.com/discovery/item/6a44fba7000000001502750f?xsec_token=CBSmtPZceoysiO-bMxxIUkKyJrF42JhPFXGK8L2asBT7E=&amp;xsec_source=app_share&amp;type=video</t>
        </is>
      </c>
      <c r="G1085" s="5" t="inlineStr">
        <is>
          <t>0003A2</t>
        </is>
      </c>
      <c r="H1085" s="5" t="inlineStr">
        <is>
          <t>穿搭</t>
        </is>
      </c>
      <c r="I1085" s="5" t="n">
        <v>96.75</v>
      </c>
      <c r="J1085" s="5" t="n"/>
      <c r="K1085" s="5" t="n"/>
      <c r="L1085" s="5" t="n">
        <v>2346</v>
      </c>
      <c r="M1085" s="5" t="n">
        <v>119</v>
      </c>
      <c r="N1085" s="5" t="n">
        <v>53</v>
      </c>
      <c r="O1085" s="5" t="n">
        <v>19</v>
      </c>
      <c r="P1085" s="8">
        <f>IF(AND(M1213&lt;&gt;"",M1213&gt;0),M1213+N1213+O1213,"")</f>
        <v/>
      </c>
      <c r="Q1085" s="11">
        <f>IF(AND(L1213&lt;&gt;"",L1213&gt;0,P1213&lt;&gt;""),P1213/L1213,"")</f>
        <v/>
      </c>
      <c r="R1085" s="16">
        <f>IF(AND(P1213&lt;&gt;"",P1213&gt;0),(I1213+J1213+K1213)/P1213,"")</f>
        <v/>
      </c>
    </row>
    <row r="1086" ht="81" customHeight="1">
      <c r="A1086" s="5" t="inlineStr">
        <is>
          <t>2026-07-02</t>
        </is>
      </c>
      <c r="B1086" s="5" t="inlineStr">
        <is>
          <t>27周</t>
        </is>
      </c>
      <c r="C1086" s="5" t="inlineStr">
        <is>
          <t>抖音</t>
        </is>
      </c>
      <c r="D1086" s="5" t="n"/>
      <c r="E1086" s="5" t="n"/>
      <c r="F1086" s="5" t="inlineStr">
        <is>
          <t>https://v.douyin.com/6Rot52rRDxg/</t>
        </is>
      </c>
      <c r="G1086" s="5" t="inlineStr">
        <is>
          <t>489</t>
        </is>
      </c>
      <c r="H1086" s="5" t="inlineStr">
        <is>
          <t>赵露思</t>
        </is>
      </c>
      <c r="I1086" s="5" t="n">
        <v>49.25</v>
      </c>
      <c r="J1086" s="5" t="n"/>
      <c r="K1086" s="5" t="n"/>
      <c r="L1086" s="5" t="n">
        <v>1235</v>
      </c>
      <c r="M1086" s="5" t="n">
        <v>113</v>
      </c>
      <c r="N1086" s="5" t="n">
        <v>3</v>
      </c>
      <c r="O1086" s="5" t="n">
        <v>3</v>
      </c>
      <c r="P1086" s="8">
        <f>IF(AND(M1214&lt;&gt;"",M1214&gt;0),M1214+N1214+O1214,"")</f>
        <v/>
      </c>
      <c r="Q1086" s="11">
        <f>IF(AND(L1214&lt;&gt;"",L1214&gt;0,P1214&lt;&gt;""),P1214/L1214,"")</f>
        <v/>
      </c>
      <c r="R1086" s="16">
        <f>IF(AND(P1214&lt;&gt;"",P1214&gt;0),(I1214+J1214+K1214)/P1214,"")</f>
        <v/>
      </c>
    </row>
    <row r="1087" ht="27" customHeight="1">
      <c r="A1087" s="5" t="inlineStr">
        <is>
          <t>2026-07-02</t>
        </is>
      </c>
      <c r="B1087" s="5" t="inlineStr">
        <is>
          <t>27周</t>
        </is>
      </c>
      <c r="C1087" s="5" t="inlineStr">
        <is>
          <t>抖音</t>
        </is>
      </c>
      <c r="D1087" s="5" t="n"/>
      <c r="E1087" s="5" t="n"/>
      <c r="F1087" s="5" t="inlineStr">
        <is>
          <t>https://v.douyin.com/h6913AvEu1E/</t>
        </is>
      </c>
      <c r="G1087" s="5" t="inlineStr">
        <is>
          <t>489</t>
        </is>
      </c>
      <c r="H1087" s="5" t="inlineStr">
        <is>
          <t>穿搭</t>
        </is>
      </c>
      <c r="I1087" s="5" t="n">
        <v>99.25</v>
      </c>
      <c r="J1087" s="5" t="n"/>
      <c r="K1087" s="5" t="n"/>
      <c r="L1087" s="5" t="n">
        <v>3520</v>
      </c>
      <c r="M1087" s="5" t="n">
        <v>319</v>
      </c>
      <c r="N1087" s="5" t="n">
        <v>4</v>
      </c>
      <c r="O1087" s="5" t="n">
        <v>22</v>
      </c>
      <c r="P1087" s="8">
        <f>IF(AND(M1215&lt;&gt;"",M1215&gt;0),M1215+N1215+O1215,"")</f>
        <v/>
      </c>
      <c r="Q1087" s="11">
        <f>IF(AND(L1215&lt;&gt;"",L1215&gt;0,P1215&lt;&gt;""),P1215/L1215,"")</f>
        <v/>
      </c>
      <c r="R1087" s="16">
        <f>IF(AND(P1215&lt;&gt;"",P1215&gt;0),(I1215+J1215+K1215)/P1215,"")</f>
        <v/>
      </c>
    </row>
    <row r="1088" ht="27" customHeight="1">
      <c r="A1088" s="5" t="inlineStr">
        <is>
          <t>2026-07-02</t>
        </is>
      </c>
      <c r="B1088" s="5" t="inlineStr">
        <is>
          <t>27周</t>
        </is>
      </c>
      <c r="C1088" s="5" t="inlineStr">
        <is>
          <t>抖音</t>
        </is>
      </c>
      <c r="D1088" s="5" t="n"/>
      <c r="E1088" s="5" t="n"/>
      <c r="F1088" s="5" t="inlineStr">
        <is>
          <t>https://v.douyin.com/EpRm3Cmha4A/ 7@8.com :1pm</t>
        </is>
      </c>
      <c r="G1088" s="5" t="inlineStr">
        <is>
          <t>489</t>
        </is>
      </c>
      <c r="H1088" s="5" t="inlineStr">
        <is>
          <t>生命力穿搭</t>
        </is>
      </c>
      <c r="I1088" s="5" t="n">
        <v>24.625</v>
      </c>
      <c r="J1088" s="5" t="n"/>
      <c r="K1088" s="5" t="n"/>
      <c r="L1088" s="5" t="n">
        <v>7063</v>
      </c>
      <c r="M1088" s="5" t="n">
        <v>242</v>
      </c>
      <c r="N1088" s="5" t="n">
        <v>15</v>
      </c>
      <c r="O1088" s="5" t="n">
        <v>17</v>
      </c>
      <c r="P1088" s="8">
        <f>IF(AND(M1216&lt;&gt;"",M1216&gt;0),M1216+N1216+O1216,"")</f>
        <v/>
      </c>
      <c r="Q1088" s="11">
        <f>IF(AND(L1216&lt;&gt;"",L1216&gt;0,P1216&lt;&gt;""),P1216/L1216,"")</f>
        <v/>
      </c>
      <c r="R1088" s="16">
        <f>IF(AND(P1216&lt;&gt;"",P1216&gt;0),(I1216+J1216+K1216)/P1216,"")</f>
        <v/>
      </c>
    </row>
    <row r="1089" ht="40.5" customHeight="1">
      <c r="A1089" s="5" t="inlineStr">
        <is>
          <t>2026-07-02</t>
        </is>
      </c>
      <c r="B1089" s="5" t="inlineStr">
        <is>
          <t>27周</t>
        </is>
      </c>
      <c r="C1089" s="5" t="inlineStr">
        <is>
          <t>小红书</t>
        </is>
      </c>
      <c r="D1089" s="5" t="n"/>
      <c r="E1089" s="5" t="n"/>
      <c r="F1089" s="5" t="inlineStr">
        <is>
          <t>https://www.xiaohongshu.com/discovery/item/6a46380f0000000007026364?xsec_token=CBYuQD9otfGokQ4JGJtp8Qm2Jk-oKjb7zobSnhsujZaJY=&amp;xsec_source=app_share</t>
        </is>
      </c>
      <c r="G1089" s="5" t="inlineStr">
        <is>
          <t>489</t>
        </is>
      </c>
      <c r="H1089" s="5" t="inlineStr">
        <is>
          <t>生命力穿搭</t>
        </is>
      </c>
      <c r="I1089" s="5" t="n">
        <v>24.625</v>
      </c>
      <c r="J1089" s="5" t="n"/>
      <c r="K1089" s="5" t="n"/>
      <c r="L1089" s="5" t="n">
        <v>93</v>
      </c>
      <c r="M1089" s="5" t="n">
        <v>2</v>
      </c>
      <c r="N1089" s="5" t="n">
        <v>1</v>
      </c>
      <c r="O1089" s="5" t="n">
        <v>1</v>
      </c>
      <c r="P1089" s="8">
        <f>IF(AND(M1217&lt;&gt;"",M1217&gt;0),M1217+N1217+O1217,"")</f>
        <v/>
      </c>
      <c r="Q1089" s="11">
        <f>IF(AND(L1217&lt;&gt;"",L1217&gt;0,P1217&lt;&gt;""),P1217/L1217,"")</f>
        <v/>
      </c>
      <c r="R1089" s="16">
        <f>IF(AND(P1217&lt;&gt;"",P1217&gt;0),(I1217+J1217+K1217)/P1217,"")</f>
        <v/>
      </c>
    </row>
    <row r="1090" ht="81" customHeight="1">
      <c r="A1090" s="5" t="inlineStr">
        <is>
          <t>2026-07-03</t>
        </is>
      </c>
      <c r="B1090" s="5" t="inlineStr">
        <is>
          <t>27周</t>
        </is>
      </c>
      <c r="C1090" s="5" t="inlineStr">
        <is>
          <t>抖音</t>
        </is>
      </c>
      <c r="D1090" s="5" t="n"/>
      <c r="E1090" s="5" t="n"/>
      <c r="F1090" s="5" t="inlineStr">
        <is>
          <t>https://v.douyin.com/Nue6KPg0rmw/</t>
        </is>
      </c>
      <c r="G1090" s="5" t="inlineStr">
        <is>
          <t>489</t>
        </is>
      </c>
      <c r="H1090" s="5" t="inlineStr">
        <is>
          <t>赵露思</t>
        </is>
      </c>
      <c r="I1090" s="5" t="n">
        <v>24.625</v>
      </c>
      <c r="J1090" s="5" t="n"/>
      <c r="K1090" s="5" t="n"/>
      <c r="L1090" s="5" t="n">
        <v>6000</v>
      </c>
      <c r="M1090" s="5" t="n">
        <v>460</v>
      </c>
      <c r="N1090" s="5" t="n">
        <v>24</v>
      </c>
      <c r="O1090" s="5" t="n">
        <v>57</v>
      </c>
      <c r="P1090" s="8">
        <f>IF(AND(M1218&lt;&gt;"",M1218&gt;0),M1218+N1218+O1218,"")</f>
        <v/>
      </c>
      <c r="Q1090" s="11">
        <f>IF(AND(L1218&lt;&gt;"",L1218&gt;0,P1218&lt;&gt;""),P1218/L1218,"")</f>
        <v/>
      </c>
      <c r="R1090" s="16">
        <f>IF(AND(P1218&lt;&gt;"",P1218&gt;0),(I1218+J1218+K1218)/P1218,"")</f>
        <v/>
      </c>
    </row>
    <row r="1091" ht="27" customHeight="1">
      <c r="A1091" s="5" t="inlineStr">
        <is>
          <t>2026-07-03</t>
        </is>
      </c>
      <c r="B1091" s="5" t="inlineStr">
        <is>
          <t>27周</t>
        </is>
      </c>
      <c r="C1091" s="5" t="inlineStr">
        <is>
          <t>抖音</t>
        </is>
      </c>
      <c r="D1091" s="5" t="n"/>
      <c r="E1091" s="5" t="n"/>
      <c r="F1091" s="5" t="inlineStr">
        <is>
          <t>https://www.douyin.com/user/MS4wLjABAAAApx6QApyPmc9-JU7aSp29wrXmxkzgv6fY-BjnHQ1PvFA?from_tab_name=main&amp;modal_id=7658235650961936313</t>
        </is>
      </c>
      <c r="G1091" s="5" t="inlineStr">
        <is>
          <t>0003A2</t>
        </is>
      </c>
      <c r="H1091" s="5" t="inlineStr">
        <is>
          <t>穿搭</t>
        </is>
      </c>
      <c r="I1091" s="5" t="n">
        <v>148.375</v>
      </c>
      <c r="J1091" s="5" t="n"/>
      <c r="K1091" s="5" t="n"/>
      <c r="L1091" s="5" t="n">
        <v>24000</v>
      </c>
      <c r="M1091" s="5" t="n">
        <v>1460</v>
      </c>
      <c r="N1091" s="5" t="n">
        <v>40</v>
      </c>
      <c r="O1091" s="5" t="n">
        <v>57</v>
      </c>
      <c r="P1091" s="8">
        <f>IF(AND(M1219&lt;&gt;"",M1219&gt;0),M1219+N1219+O1219,"")</f>
        <v/>
      </c>
      <c r="Q1091" s="11">
        <f>IF(AND(L1219&lt;&gt;"",L1219&gt;0,P1219&lt;&gt;""),P1219/L1219,"")</f>
        <v/>
      </c>
      <c r="R1091" s="16">
        <f>IF(AND(P1219&lt;&gt;"",P1219&gt;0),(I1219+J1219+K1219)/P1219,"")</f>
        <v/>
      </c>
    </row>
    <row r="1092" ht="67.5" customHeight="1">
      <c r="A1092" s="5" t="inlineStr">
        <is>
          <t>2026-07-03</t>
        </is>
      </c>
      <c r="B1092" s="5" t="inlineStr">
        <is>
          <t>27周</t>
        </is>
      </c>
      <c r="C1092" s="5" t="inlineStr">
        <is>
          <t>抖音</t>
        </is>
      </c>
      <c r="D1092" s="5" t="n"/>
      <c r="E1092" s="5" t="n"/>
      <c r="F1092" s="5" t="inlineStr">
        <is>
          <t>https://www.douyin.com/user/MS4wLjABAAAAXjXVhp_98MnC9W1WK14rrVt-29HhKlCZ8G3NpZhwDxUbC4v0lxJzAtnBM_E9ocZK?from_tab_name=main&amp;modal_id=7658247357339865774</t>
        </is>
      </c>
      <c r="G1092" s="5" t="inlineStr">
        <is>
          <t>489</t>
        </is>
      </c>
      <c r="H1092" s="5" t="inlineStr">
        <is>
          <t>陈奕恒</t>
        </is>
      </c>
      <c r="I1092" s="5" t="n">
        <v>49.25</v>
      </c>
      <c r="J1092" s="5" t="n"/>
      <c r="K1092" s="5" t="n"/>
      <c r="L1092" s="5" t="n">
        <v>2158</v>
      </c>
      <c r="M1092" s="5" t="n">
        <v>234</v>
      </c>
      <c r="N1092" s="5" t="n">
        <v>6</v>
      </c>
      <c r="O1092" s="5" t="n">
        <v>5</v>
      </c>
      <c r="P1092" s="8">
        <f>IF(AND(M1220&lt;&gt;"",M1220&gt;0),M1220+N1220+O1220,"")</f>
        <v/>
      </c>
      <c r="Q1092" s="11">
        <f>IF(AND(L1220&lt;&gt;"",L1220&gt;0,P1220&lt;&gt;""),P1220/L1220,"")</f>
        <v/>
      </c>
      <c r="R1092" s="16">
        <f>IF(AND(P1220&lt;&gt;"",P1220&gt;0),(I1220+J1220+K1220)/P1220,"")</f>
        <v/>
      </c>
    </row>
    <row r="1093" ht="81" customHeight="1">
      <c r="A1093" s="5" t="inlineStr">
        <is>
          <t>2026-07-03</t>
        </is>
      </c>
      <c r="B1093" s="5" t="inlineStr">
        <is>
          <t>27周</t>
        </is>
      </c>
      <c r="C1093" s="5" t="inlineStr">
        <is>
          <t>抖音</t>
        </is>
      </c>
      <c r="D1093" s="5" t="n"/>
      <c r="E1093" s="5" t="n"/>
      <c r="F1093" s="5" t="inlineStr">
        <is>
          <t>https://www.douyin.com/user/MS4wLjABAAAAQI-JVF9aV75qNJ_mwY313IOe6dahyhEDr9NX3yQzvBnwtkun1ynO0UH_i1R3TLj8?from_tab_name=main&amp;modal_id=7658914343446506233</t>
        </is>
      </c>
      <c r="G1093" s="5" t="inlineStr">
        <is>
          <t>489</t>
        </is>
      </c>
      <c r="H1093" s="5" t="inlineStr">
        <is>
          <t>赵露思</t>
        </is>
      </c>
      <c r="I1093" s="5" t="n">
        <v>49.25</v>
      </c>
      <c r="J1093" s="5" t="n"/>
      <c r="K1093" s="5" t="n"/>
      <c r="L1093" s="5" t="n">
        <v>20000</v>
      </c>
      <c r="M1093" s="5" t="n">
        <v>3023</v>
      </c>
      <c r="N1093" s="5" t="n">
        <v>227</v>
      </c>
      <c r="O1093" s="5" t="n">
        <v>36</v>
      </c>
      <c r="P1093" s="8">
        <f>IF(AND(M1221&lt;&gt;"",M1221&gt;0),M1221+N1221+O1221,"")</f>
        <v/>
      </c>
      <c r="Q1093" s="11">
        <f>IF(AND(L1221&lt;&gt;"",L1221&gt;0,P1221&lt;&gt;""),P1221/L1221,"")</f>
        <v/>
      </c>
      <c r="R1093" s="16">
        <f>IF(AND(P1221&lt;&gt;"",P1221&gt;0),(I1221+J1221+K1221)/P1221,"")</f>
        <v/>
      </c>
    </row>
    <row r="1094" ht="67.5" customHeight="1">
      <c r="A1094" s="5" t="inlineStr">
        <is>
          <t>2026-07-03</t>
        </is>
      </c>
      <c r="B1094" s="5" t="inlineStr">
        <is>
          <t>27周</t>
        </is>
      </c>
      <c r="C1094" s="5" t="inlineStr">
        <is>
          <t>抖音</t>
        </is>
      </c>
      <c r="D1094" s="5" t="n"/>
      <c r="E1094" s="5" t="n"/>
      <c r="F1094" s="5" t="inlineStr">
        <is>
          <t>https://www.douyin.com/user/MS4wLjABAAAAQkjFoJnpaW-H85nVE6opepx_s3zWCRJNd7chlrE1-eLWu5T0uD_BBD5q9b3MkyL_?from_tab_name=main&amp;modal_id=7658170182678143899</t>
        </is>
      </c>
      <c r="G1094" s="5" t="inlineStr">
        <is>
          <t>489</t>
        </is>
      </c>
      <c r="H1094" s="5" t="inlineStr">
        <is>
          <t>陈奕恒</t>
        </is>
      </c>
      <c r="I1094" s="5" t="n">
        <v>49.25</v>
      </c>
      <c r="J1094" s="5" t="n"/>
      <c r="K1094" s="5" t="n"/>
      <c r="L1094" s="5" t="n">
        <v>174</v>
      </c>
      <c r="M1094" s="5" t="n">
        <v>101</v>
      </c>
      <c r="N1094" s="5" t="n">
        <v>1</v>
      </c>
      <c r="O1094" s="5" t="n">
        <v>55</v>
      </c>
      <c r="P1094" s="8">
        <f>IF(AND(M1222&lt;&gt;"",M1222&gt;0),M1222+N1222+O1222,"")</f>
        <v/>
      </c>
      <c r="Q1094" s="11">
        <f>IF(AND(L1222&lt;&gt;"",L1222&gt;0,P1222&lt;&gt;""),P1222/L1222,"")</f>
        <v/>
      </c>
      <c r="R1094" s="16">
        <f>IF(AND(P1222&lt;&gt;"",P1222&gt;0),(I1222+J1222+K1222)/P1222,"")</f>
        <v/>
      </c>
    </row>
    <row r="1095" ht="81" customHeight="1">
      <c r="A1095" s="5" t="inlineStr">
        <is>
          <t>2026-07-03</t>
        </is>
      </c>
      <c r="B1095" s="5" t="inlineStr">
        <is>
          <t>27周</t>
        </is>
      </c>
      <c r="C1095" s="5" t="inlineStr">
        <is>
          <t>抖音</t>
        </is>
      </c>
      <c r="D1095" s="5" t="n"/>
      <c r="E1095" s="5" t="n"/>
      <c r="F1095" s="5" t="inlineStr">
        <is>
          <t>https://v.douyin.com/4KZtCLIWlPM/</t>
        </is>
      </c>
      <c r="G1095" s="5" t="inlineStr">
        <is>
          <t>0003A2</t>
        </is>
      </c>
      <c r="H1095" s="5" t="inlineStr">
        <is>
          <t>刘轩丞</t>
        </is>
      </c>
      <c r="I1095" s="5" t="n">
        <v>49.375</v>
      </c>
      <c r="J1095" s="5" t="n"/>
      <c r="K1095" s="5" t="n"/>
      <c r="L1095" s="5" t="n">
        <v>9348</v>
      </c>
      <c r="M1095" s="5" t="n">
        <v>652</v>
      </c>
      <c r="N1095" s="5" t="n">
        <v>50</v>
      </c>
      <c r="O1095" s="5" t="n">
        <v>13</v>
      </c>
      <c r="P1095" s="8">
        <f>IF(AND(M1223&lt;&gt;"",M1223&gt;0),M1223+N1223+O1223,"")</f>
        <v/>
      </c>
      <c r="Q1095" s="11">
        <f>IF(AND(L1223&lt;&gt;"",L1223&gt;0,P1223&lt;&gt;""),P1223/L1223,"")</f>
        <v/>
      </c>
      <c r="R1095" s="16">
        <f>IF(AND(P1223&lt;&gt;"",P1223&gt;0),(I1223+J1223+K1223)/P1223,"")</f>
        <v/>
      </c>
    </row>
    <row r="1096" ht="27" customHeight="1">
      <c r="A1096" s="5" t="inlineStr">
        <is>
          <t>2026-07-03</t>
        </is>
      </c>
      <c r="B1096" s="5" t="inlineStr">
        <is>
          <t>27周</t>
        </is>
      </c>
      <c r="C1096" s="5" t="inlineStr">
        <is>
          <t>小红书</t>
        </is>
      </c>
      <c r="D1096" s="5" t="n"/>
      <c r="E1096" s="5" t="n"/>
      <c r="F1096" s="5" t="inlineStr">
        <is>
          <t>https://www.xiaohongshu.com/discovery/item/6a47510e00000000060312a5?xsec_token=CBhfd_FQ8L8r1JoiBpmheEs_6ABkgbHb5b0pCyD3iTQZE=&amp;xsec_source=app_share</t>
        </is>
      </c>
      <c r="G1096" s="5" t="inlineStr">
        <is>
          <t>489</t>
        </is>
      </c>
      <c r="H1096" s="5" t="inlineStr">
        <is>
          <t>赵露思</t>
        </is>
      </c>
      <c r="I1096" s="5" t="n">
        <v>24.625</v>
      </c>
      <c r="J1096" s="5" t="n"/>
      <c r="K1096" s="5" t="n"/>
      <c r="L1096" s="5" t="n">
        <v>199</v>
      </c>
      <c r="M1096" s="5" t="n">
        <v>11</v>
      </c>
      <c r="N1096" s="5" t="n">
        <v>0</v>
      </c>
      <c r="O1096" s="5" t="n">
        <v>3</v>
      </c>
      <c r="P1096" s="8">
        <f>IF(AND(M1224&lt;&gt;"",M1224&gt;0),M1224+N1224+O1224,"")</f>
        <v/>
      </c>
      <c r="Q1096" s="11">
        <f>IF(AND(L1224&lt;&gt;"",L1224&gt;0,P1224&lt;&gt;""),P1224/L1224,"")</f>
        <v/>
      </c>
      <c r="R1096" s="16">
        <f>IF(AND(P1224&lt;&gt;"",P1224&gt;0),(I1224+J1224+K1224)/P1224,"")</f>
        <v/>
      </c>
    </row>
    <row r="1097" ht="27" customHeight="1">
      <c r="A1097" s="5" t="inlineStr">
        <is>
          <t>2026-07-03</t>
        </is>
      </c>
      <c r="B1097" s="5" t="inlineStr">
        <is>
          <t>27周</t>
        </is>
      </c>
      <c r="C1097" s="5" t="inlineStr">
        <is>
          <t>小红书</t>
        </is>
      </c>
      <c r="D1097" s="5" t="n"/>
      <c r="E1097" s="5" t="n"/>
      <c r="F1097" s="5" t="inlineStr">
        <is>
          <t>https://www.xiaohongshu.com/discovery/item/6a47be44000000001102decd?xsec_token=CBhfd_FQ8L8r1JoiBpmheEs14D-DGcoELFG3UgFJEzxJY=&amp;xsec_source=app_share&amp;type=video</t>
        </is>
      </c>
      <c r="G1097" s="5" t="inlineStr">
        <is>
          <t>492</t>
        </is>
      </c>
      <c r="H1097" s="5" t="inlineStr">
        <is>
          <t>穿搭</t>
        </is>
      </c>
      <c r="I1097" s="5" t="n">
        <v>169.7</v>
      </c>
      <c r="J1097" s="5" t="n"/>
      <c r="K1097" s="5" t="n"/>
      <c r="L1097" s="5" t="n">
        <v>4597</v>
      </c>
      <c r="M1097" s="5" t="n">
        <v>267</v>
      </c>
      <c r="N1097" s="5" t="n">
        <v>109</v>
      </c>
      <c r="O1097" s="5" t="n">
        <v>31</v>
      </c>
      <c r="P1097" s="8">
        <f>IF(AND(M1225&lt;&gt;"",M1225&gt;0),M1225+N1225+O1225,"")</f>
        <v/>
      </c>
      <c r="Q1097" s="11">
        <f>IF(AND(L1225&lt;&gt;"",L1225&gt;0,P1225&lt;&gt;""),P1225/L1225,"")</f>
        <v/>
      </c>
      <c r="R1097" s="16">
        <f>IF(AND(P1225&lt;&gt;"",P1225&gt;0),(I1225+J1225+K1225)/P1225,"")</f>
        <v/>
      </c>
    </row>
    <row r="1098" ht="27" customHeight="1">
      <c r="A1098" s="5" t="inlineStr">
        <is>
          <t>2026-07-04</t>
        </is>
      </c>
      <c r="B1098" s="5" t="inlineStr">
        <is>
          <t>27周</t>
        </is>
      </c>
      <c r="C1098" s="5" t="inlineStr">
        <is>
          <t>抖音</t>
        </is>
      </c>
      <c r="D1098" s="5" t="n"/>
      <c r="E1098" s="5" t="n"/>
      <c r="F1098" s="5" t="inlineStr">
        <is>
          <t>https://v.douyin.com/Tsvs677aCbE/</t>
        </is>
      </c>
      <c r="G1098" s="5" t="inlineStr">
        <is>
          <t>489</t>
        </is>
      </c>
      <c r="H1098" s="5" t="inlineStr">
        <is>
          <t>马嘉祺</t>
        </is>
      </c>
      <c r="I1098" s="5" t="n">
        <v>24.625</v>
      </c>
      <c r="J1098" s="5" t="n"/>
      <c r="K1098" s="5" t="n"/>
      <c r="L1098" s="5" t="n">
        <v>293</v>
      </c>
      <c r="M1098" s="5" t="n">
        <v>32</v>
      </c>
      <c r="N1098" s="5" t="n">
        <v>0</v>
      </c>
      <c r="O1098" s="5" t="n">
        <v>4</v>
      </c>
      <c r="P1098" s="8">
        <f>IF(AND(M1226&lt;&gt;"",M1226&gt;0),M1226+N1226+O1226,"")</f>
        <v/>
      </c>
      <c r="Q1098" s="11">
        <f>IF(AND(L1226&lt;&gt;"",L1226&gt;0,P1226&lt;&gt;""),P1226/L1226,"")</f>
        <v/>
      </c>
      <c r="R1098" s="16">
        <f>IF(AND(P1226&lt;&gt;"",P1226&gt;0),(I1226+J1226+K1226)/P1226,"")</f>
        <v/>
      </c>
    </row>
    <row r="1099" ht="27" customHeight="1">
      <c r="A1099" s="5" t="inlineStr">
        <is>
          <t>2026-07-04</t>
        </is>
      </c>
      <c r="B1099" s="5" t="inlineStr">
        <is>
          <t>27周</t>
        </is>
      </c>
      <c r="C1099" s="5" t="inlineStr">
        <is>
          <t>抖音</t>
        </is>
      </c>
      <c r="D1099" s="5" t="n"/>
      <c r="E1099" s="5" t="n"/>
      <c r="F1099" s="5" t="inlineStr">
        <is>
          <t>https://v.douyin.com/Efk130wiruw/</t>
        </is>
      </c>
      <c r="G1099" s="5" t="inlineStr">
        <is>
          <t>0003A2</t>
        </is>
      </c>
      <c r="H1099" s="5" t="inlineStr">
        <is>
          <t>刘轩丞</t>
        </is>
      </c>
      <c r="I1099" s="5" t="n">
        <v>49.375</v>
      </c>
      <c r="J1099" s="5" t="n"/>
      <c r="K1099" s="5" t="n"/>
      <c r="L1099" s="5" t="n">
        <v>11000</v>
      </c>
      <c r="M1099" s="5" t="n">
        <v>500</v>
      </c>
      <c r="N1099" s="5" t="n">
        <v>64</v>
      </c>
      <c r="O1099" s="5" t="n">
        <v>48</v>
      </c>
      <c r="P1099" s="8">
        <f>IF(AND(M1227&lt;&gt;"",M1227&gt;0),M1227+N1227+O1227,"")</f>
        <v/>
      </c>
      <c r="Q1099" s="11">
        <f>IF(AND(L1227&lt;&gt;"",L1227&gt;0,P1227&lt;&gt;""),P1227/L1227,"")</f>
        <v/>
      </c>
      <c r="R1099" s="16">
        <f>IF(AND(P1227&lt;&gt;"",P1227&gt;0),(I1227+J1227+K1227)/P1227,"")</f>
        <v/>
      </c>
    </row>
    <row r="1100" ht="27" customHeight="1">
      <c r="A1100" s="5" t="inlineStr">
        <is>
          <t>2026-07-04</t>
        </is>
      </c>
      <c r="B1100" s="5" t="inlineStr">
        <is>
          <t>27周</t>
        </is>
      </c>
      <c r="C1100" s="5" t="inlineStr">
        <is>
          <t>抖音</t>
        </is>
      </c>
      <c r="D1100" s="5" t="n"/>
      <c r="E1100" s="5" t="n"/>
      <c r="F1100" s="5" t="inlineStr">
        <is>
          <t>https://v.douyin.com/S7OHbBC5E3g/</t>
        </is>
      </c>
      <c r="G1100" s="5" t="inlineStr">
        <is>
          <t>0003A2</t>
        </is>
      </c>
      <c r="H1100" s="5" t="inlineStr">
        <is>
          <t>健身穿搭</t>
        </is>
      </c>
      <c r="I1100" s="5" t="n">
        <v>48.375</v>
      </c>
      <c r="J1100" s="5" t="n"/>
      <c r="K1100" s="5" t="n"/>
      <c r="L1100" s="5" t="n">
        <v>3000</v>
      </c>
      <c r="M1100" s="5" t="n">
        <v>187</v>
      </c>
      <c r="N1100" s="5" t="n">
        <v>14</v>
      </c>
      <c r="O1100" s="5" t="n">
        <v>5</v>
      </c>
      <c r="P1100" s="8">
        <f>IF(AND(M1228&lt;&gt;"",M1228&gt;0),M1228+N1228+O1228,"")</f>
        <v/>
      </c>
      <c r="Q1100" s="11">
        <f>IF(AND(L1228&lt;&gt;"",L1228&gt;0,P1228&lt;&gt;""),P1228/L1228,"")</f>
        <v/>
      </c>
      <c r="R1100" s="16">
        <f>IF(AND(P1228&lt;&gt;"",P1228&gt;0),(I1228+J1228+K1228)/P1228,"")</f>
        <v/>
      </c>
    </row>
    <row r="1101" ht="27" customHeight="1">
      <c r="A1101" s="5" t="inlineStr">
        <is>
          <t>2026-07-04</t>
        </is>
      </c>
      <c r="B1101" s="5" t="inlineStr">
        <is>
          <t>27周</t>
        </is>
      </c>
      <c r="C1101" s="5" t="inlineStr">
        <is>
          <t>抖音</t>
        </is>
      </c>
      <c r="D1101" s="5" t="n"/>
      <c r="E1101" s="5" t="n"/>
      <c r="F1101" s="5" t="inlineStr">
        <is>
          <t>https://v.douyin.com/AllTtBSSgko/ :7pm 06/19 dNw:/ K@w.fo</t>
        </is>
      </c>
      <c r="G1101" s="5" t="inlineStr">
        <is>
          <t>495</t>
        </is>
      </c>
      <c r="H1101" s="5" t="inlineStr">
        <is>
          <t>侯明昊</t>
        </is>
      </c>
      <c r="I1101" s="5" t="n">
        <v>48.93</v>
      </c>
      <c r="J1101" s="5" t="n"/>
      <c r="K1101" s="5" t="n"/>
      <c r="L1101" s="5" t="n">
        <v>1754</v>
      </c>
      <c r="M1101" s="5" t="n">
        <v>148</v>
      </c>
      <c r="N1101" s="5" t="n">
        <v>5</v>
      </c>
      <c r="O1101" s="5" t="n">
        <v>19</v>
      </c>
      <c r="P1101" s="8">
        <f>IF(AND(M1229&lt;&gt;"",M1229&gt;0),M1229+N1229+O1229,"")</f>
        <v/>
      </c>
      <c r="Q1101" s="11">
        <f>IF(AND(L1229&lt;&gt;"",L1229&gt;0,P1229&lt;&gt;""),P1229/L1229,"")</f>
        <v/>
      </c>
      <c r="R1101" s="16">
        <f>IF(AND(P1229&lt;&gt;"",P1229&gt;0),(I1229+J1229+K1229)/P1229,"")</f>
        <v/>
      </c>
    </row>
    <row r="1102" ht="81" customHeight="1">
      <c r="A1102" s="5" t="inlineStr">
        <is>
          <t>2026-07-04</t>
        </is>
      </c>
      <c r="B1102" s="5" t="inlineStr">
        <is>
          <t>27周</t>
        </is>
      </c>
      <c r="C1102" s="5" t="inlineStr">
        <is>
          <t>抖音</t>
        </is>
      </c>
      <c r="D1102" s="5" t="n"/>
      <c r="E1102" s="5" t="n"/>
      <c r="F1102" s="5" t="inlineStr">
        <is>
          <t>https://v.douyin.com/uPaBYwNP6lo/</t>
        </is>
      </c>
      <c r="G1102" s="5" t="inlineStr">
        <is>
          <t>1093W</t>
        </is>
      </c>
      <c r="H1102" s="5" t="inlineStr">
        <is>
          <t>张桂源</t>
        </is>
      </c>
      <c r="I1102" s="5" t="n">
        <v>23.835</v>
      </c>
      <c r="J1102" s="5" t="n"/>
      <c r="K1102" s="5" t="n"/>
      <c r="L1102" s="5" t="n">
        <v>13000</v>
      </c>
      <c r="M1102" s="5" t="n">
        <v>1157</v>
      </c>
      <c r="N1102" s="5" t="n">
        <v>132</v>
      </c>
      <c r="O1102" s="5" t="n">
        <v>106</v>
      </c>
      <c r="P1102" s="8">
        <f>IF(AND(M1230&lt;&gt;"",M1230&gt;0),M1230+N1230+O1230,"")</f>
        <v/>
      </c>
      <c r="Q1102" s="11">
        <f>IF(AND(L1230&lt;&gt;"",L1230&gt;0,P1230&lt;&gt;""),P1230/L1230,"")</f>
        <v/>
      </c>
      <c r="R1102" s="16">
        <f>IF(AND(P1230&lt;&gt;"",P1230&gt;0),(I1230+J1230+K1230)/P1230,"")</f>
        <v/>
      </c>
    </row>
    <row r="1103" ht="67.5" customHeight="1">
      <c r="A1103" s="5" t="inlineStr">
        <is>
          <t>2026-07-04</t>
        </is>
      </c>
      <c r="B1103" s="5" t="inlineStr">
        <is>
          <t>27周</t>
        </is>
      </c>
      <c r="C1103" s="5" t="inlineStr">
        <is>
          <t>抖音</t>
        </is>
      </c>
      <c r="D1103" s="5" t="n"/>
      <c r="E1103" s="5" t="n"/>
      <c r="F1103" s="5" t="inlineStr">
        <is>
          <t>https://v.douyin.com/A3k8URQAv0g/ i</t>
        </is>
      </c>
      <c r="G1103" s="5" t="inlineStr">
        <is>
          <t>489</t>
        </is>
      </c>
      <c r="H1103" s="5" t="inlineStr">
        <is>
          <t>赵露思</t>
        </is>
      </c>
      <c r="I1103" s="5" t="n">
        <v>49.25</v>
      </c>
      <c r="J1103" s="5" t="n"/>
      <c r="K1103" s="5" t="n"/>
      <c r="L1103" s="5" t="n">
        <v>686</v>
      </c>
      <c r="M1103" s="5" t="n">
        <v>142</v>
      </c>
      <c r="N1103" s="5" t="n">
        <v>1</v>
      </c>
      <c r="O1103" s="5" t="n">
        <v>30</v>
      </c>
      <c r="P1103" s="8">
        <f>IF(AND(M1231&lt;&gt;"",M1231&gt;0),M1231+N1231+O1231,"")</f>
        <v/>
      </c>
      <c r="Q1103" s="11">
        <f>IF(AND(L1231&lt;&gt;"",L1231&gt;0,P1231&lt;&gt;""),P1231/L1231,"")</f>
        <v/>
      </c>
      <c r="R1103" s="16">
        <f>IF(AND(P1231&lt;&gt;"",P1231&gt;0),(I1231+J1231+K1231)/P1231,"")</f>
        <v/>
      </c>
    </row>
    <row r="1104" ht="81" customHeight="1">
      <c r="A1104" s="5" t="inlineStr">
        <is>
          <t>2026-07-04</t>
        </is>
      </c>
      <c r="B1104" s="5" t="inlineStr">
        <is>
          <t>27周</t>
        </is>
      </c>
      <c r="C1104" s="5" t="inlineStr">
        <is>
          <t>小红书</t>
        </is>
      </c>
      <c r="D1104" s="5" t="n"/>
      <c r="E1104" s="5" t="n"/>
      <c r="F1104" s="5" t="inlineStr">
        <is>
          <t>https://www.xiaohongshu.com/discovery/item/6a4883240000000020038ead?xsec_token=CBsjquibJ-JKCR4GD09kS1BrilxY4zzUs75VAwMLj-vzw=&amp;xsec_source=app_share</t>
        </is>
      </c>
      <c r="G1104" s="5" t="inlineStr">
        <is>
          <t>489</t>
        </is>
      </c>
      <c r="H1104" s="5" t="inlineStr">
        <is>
          <t>赵露思</t>
        </is>
      </c>
      <c r="I1104" s="5" t="n">
        <v>24.625</v>
      </c>
      <c r="J1104" s="5" t="n"/>
      <c r="K1104" s="5" t="n"/>
      <c r="L1104" s="5" t="n">
        <v>66</v>
      </c>
      <c r="M1104" s="5" t="n">
        <v>3</v>
      </c>
      <c r="N1104" s="5" t="n">
        <v>0</v>
      </c>
      <c r="O1104" s="5" t="n">
        <v>0</v>
      </c>
      <c r="P1104" s="8">
        <f>IF(AND(M1232&lt;&gt;"",M1232&gt;0),M1232+N1232+O1232,"")</f>
        <v/>
      </c>
      <c r="Q1104" s="11">
        <f>IF(AND(L1232&lt;&gt;"",L1232&gt;0,P1232&lt;&gt;""),P1232/L1232,"")</f>
        <v/>
      </c>
      <c r="R1104" s="16">
        <f>IF(AND(P1232&lt;&gt;"",P1232&gt;0),(I1232+J1232+K1232)/P1232,"")</f>
        <v/>
      </c>
    </row>
    <row r="1105" ht="27" customHeight="1">
      <c r="A1105" s="5" t="inlineStr">
        <is>
          <t>2026-07-04</t>
        </is>
      </c>
      <c r="B1105" s="5" t="inlineStr">
        <is>
          <t>27周</t>
        </is>
      </c>
      <c r="C1105" s="5" t="inlineStr">
        <is>
          <t>小红书</t>
        </is>
      </c>
      <c r="D1105" s="5" t="n"/>
      <c r="E1105" s="5" t="n"/>
      <c r="F1105" s="5" t="inlineStr">
        <is>
          <t>https://www.xiaohongshu.com/discovery/item/6a48a2ac000000001503f539?xsec_token=CBBJmBk6Z6dxURt1P6VlV7RDPsTCqLravbFRi-aOD9V5w=&amp;xsec_source=app_share</t>
        </is>
      </c>
      <c r="G1105" s="5" t="inlineStr">
        <is>
          <t>0003A2</t>
        </is>
      </c>
      <c r="H1105" s="5" t="inlineStr">
        <is>
          <t>刘轩丞</t>
        </is>
      </c>
      <c r="I1105" s="5" t="n">
        <v>49.375</v>
      </c>
      <c r="J1105" s="5" t="n"/>
      <c r="K1105" s="5" t="n"/>
      <c r="L1105" s="5" t="n">
        <v>345</v>
      </c>
      <c r="M1105" s="5" t="n">
        <v>20</v>
      </c>
      <c r="N1105" s="5" t="n">
        <v>3</v>
      </c>
      <c r="O1105" s="5" t="n">
        <v>4</v>
      </c>
      <c r="P1105" s="8">
        <f>IF(AND(M1233&lt;&gt;"",M1233&gt;0),M1233+N1233+O1233,"")</f>
        <v/>
      </c>
      <c r="Q1105" s="11">
        <f>IF(AND(L1233&lt;&gt;"",L1233&gt;0,P1233&lt;&gt;""),P1233/L1233,"")</f>
        <v/>
      </c>
      <c r="R1105" s="16">
        <f>IF(AND(P1233&lt;&gt;"",P1233&gt;0),(I1233+J1233+K1233)/P1233,"")</f>
        <v/>
      </c>
    </row>
    <row r="1106" ht="27" customHeight="1">
      <c r="A1106" s="5" t="inlineStr">
        <is>
          <t>2026-07-04</t>
        </is>
      </c>
      <c r="B1106" s="5" t="inlineStr">
        <is>
          <t>27周</t>
        </is>
      </c>
      <c r="C1106" s="5" t="inlineStr">
        <is>
          <t>小红书</t>
        </is>
      </c>
      <c r="D1106" s="5" t="n"/>
      <c r="E1106" s="5" t="n"/>
      <c r="F1106" s="5" t="inlineStr">
        <is>
          <t>https://www.xiaohongshu.com/discovery/item/6a48f8ea0000000006020be0?xsec_token=CBTWQ7NpuhqGvcexFRCMpoVSqVdUQlmgg-qwawnPOcYKU=&amp;xsec_source=app_share&amp;type=video</t>
        </is>
      </c>
      <c r="G1106" s="5" t="inlineStr">
        <is>
          <t>1093W</t>
        </is>
      </c>
      <c r="H1106" s="5" t="inlineStr">
        <is>
          <t>张桂源</t>
        </is>
      </c>
      <c r="I1106" s="5" t="n">
        <v>23.835</v>
      </c>
      <c r="J1106" s="5" t="n"/>
      <c r="K1106" s="5" t="n"/>
      <c r="L1106" s="5" t="n">
        <v>2306</v>
      </c>
      <c r="M1106" s="5" t="n">
        <v>169</v>
      </c>
      <c r="N1106" s="5" t="n">
        <v>30</v>
      </c>
      <c r="O1106" s="5" t="n">
        <v>9</v>
      </c>
      <c r="P1106" s="8">
        <f>IF(AND(M1234&lt;&gt;"",M1234&gt;0),M1234+N1234+O1234,"")</f>
        <v/>
      </c>
      <c r="Q1106" s="11">
        <f>IF(AND(L1234&lt;&gt;"",L1234&gt;0,P1234&lt;&gt;""),P1234/L1234,"")</f>
        <v/>
      </c>
      <c r="R1106" s="16">
        <f>IF(AND(P1234&lt;&gt;"",P1234&gt;0),(I1234+J1234+K1234)/P1234,"")</f>
        <v/>
      </c>
    </row>
    <row r="1107" ht="81" customHeight="1">
      <c r="A1107" s="5" t="inlineStr">
        <is>
          <t>2026-07-05</t>
        </is>
      </c>
      <c r="B1107" s="5" t="inlineStr">
        <is>
          <t>27周</t>
        </is>
      </c>
      <c r="C1107" s="5" t="inlineStr">
        <is>
          <t>抖音</t>
        </is>
      </c>
      <c r="D1107" s="5" t="n"/>
      <c r="E1107" s="5" t="n"/>
      <c r="F1107" s="5" t="inlineStr">
        <is>
          <t>https://www.douyin.com/user/MS4wLjABAAAA-qIoq1VhHEY0XEJ7EwOI_jYLoi97WCPaugUb0R-kf0yqPxtZMycIzd4TwIkWRzF7?modal_id=7658931578005757801</t>
        </is>
      </c>
      <c r="G1107" s="5" t="inlineStr">
        <is>
          <t>0003A2</t>
        </is>
      </c>
      <c r="H1107" s="5" t="inlineStr">
        <is>
          <t>鞋子合集</t>
        </is>
      </c>
      <c r="I1107" s="5" t="n">
        <v>173.375</v>
      </c>
      <c r="J1107" s="5" t="n"/>
      <c r="K1107" s="5" t="n"/>
      <c r="L1107" s="5" t="n">
        <v>200000</v>
      </c>
      <c r="M1107" s="5" t="n">
        <v>5111</v>
      </c>
      <c r="N1107" s="5" t="n">
        <v>2999</v>
      </c>
      <c r="O1107" s="5" t="n">
        <v>130</v>
      </c>
      <c r="P1107" s="8">
        <f>IF(AND(M1235&lt;&gt;"",M1235&gt;0),M1235+N1235+O1235,"")</f>
        <v/>
      </c>
      <c r="Q1107" s="11">
        <f>IF(AND(L1235&lt;&gt;"",L1235&gt;0,P1235&lt;&gt;""),P1235/L1235,"")</f>
        <v/>
      </c>
      <c r="R1107" s="16">
        <f>IF(AND(P1235&lt;&gt;"",P1235&gt;0),(I1235+J1235+K1235)/P1235,"")</f>
        <v/>
      </c>
    </row>
    <row r="1108" ht="27" customHeight="1">
      <c r="A1108" s="5" t="inlineStr">
        <is>
          <t>2026-07-05</t>
        </is>
      </c>
      <c r="B1108" s="5" t="inlineStr">
        <is>
          <t>27周</t>
        </is>
      </c>
      <c r="C1108" s="5" t="inlineStr">
        <is>
          <t>抖音</t>
        </is>
      </c>
      <c r="D1108" s="5" t="n"/>
      <c r="E1108" s="5" t="n"/>
      <c r="F1108" s="5" t="inlineStr">
        <is>
          <t>https://v.douyin.com/8xA6kgriA4U/</t>
        </is>
      </c>
      <c r="G1108" s="5" t="inlineStr">
        <is>
          <t>0003A2</t>
        </is>
      </c>
      <c r="H1108" s="5" t="inlineStr">
        <is>
          <t>地铁穿搭</t>
        </is>
      </c>
      <c r="I1108" s="5" t="n">
        <v>48.375</v>
      </c>
      <c r="J1108" s="5" t="n"/>
      <c r="K1108" s="5" t="n"/>
      <c r="L1108" s="5" t="n">
        <v>53000</v>
      </c>
      <c r="M1108" s="5" t="n">
        <v>2111</v>
      </c>
      <c r="N1108" s="5" t="n">
        <v>220</v>
      </c>
      <c r="O1108" s="5" t="n">
        <v>64</v>
      </c>
      <c r="P1108" s="8">
        <f>IF(AND(M1236&lt;&gt;"",M1236&gt;0),M1236+N1236+O1236,"")</f>
        <v/>
      </c>
      <c r="Q1108" s="11">
        <f>IF(AND(L1236&lt;&gt;"",L1236&gt;0,P1236&lt;&gt;""),P1236/L1236,"")</f>
        <v/>
      </c>
      <c r="R1108" s="16">
        <f>IF(AND(P1236&lt;&gt;"",P1236&gt;0),(I1236+J1236+K1236)/P1236,"")</f>
        <v/>
      </c>
    </row>
    <row r="1109" ht="67.5" customHeight="1">
      <c r="A1109" s="5" t="inlineStr">
        <is>
          <t>2026-07-05</t>
        </is>
      </c>
      <c r="B1109" s="5" t="inlineStr">
        <is>
          <t>27周</t>
        </is>
      </c>
      <c r="C1109" s="5" t="inlineStr">
        <is>
          <t>抖音</t>
        </is>
      </c>
      <c r="D1109" s="5" t="n"/>
      <c r="E1109" s="5" t="n"/>
      <c r="F1109" s="5" t="inlineStr">
        <is>
          <t>https://v.douyin.com/3pLkuoiGdVM/</t>
        </is>
      </c>
      <c r="G1109" s="5" t="inlineStr">
        <is>
          <t>489</t>
        </is>
      </c>
      <c r="H1109" s="5" t="inlineStr">
        <is>
          <t>赵露思</t>
        </is>
      </c>
      <c r="I1109" s="5" t="n">
        <v>24.625</v>
      </c>
      <c r="J1109" s="5" t="n"/>
      <c r="K1109" s="5" t="n"/>
      <c r="L1109" s="5" t="n">
        <v>1000</v>
      </c>
      <c r="M1109" s="5" t="n">
        <v>112</v>
      </c>
      <c r="N1109" s="5" t="n">
        <v>4</v>
      </c>
      <c r="O1109" s="5" t="n">
        <v>4</v>
      </c>
      <c r="P1109" s="8">
        <f>IF(AND(M1237&lt;&gt;"",M1237&gt;0),M1237+N1237+O1237,"")</f>
        <v/>
      </c>
      <c r="Q1109" s="11">
        <f>IF(AND(L1237&lt;&gt;"",L1237&gt;0,P1237&lt;&gt;""),P1237/L1237,"")</f>
        <v/>
      </c>
      <c r="R1109" s="16">
        <f>IF(AND(P1237&lt;&gt;"",P1237&gt;0),(I1237+J1237+K1237)/P1237,"")</f>
        <v/>
      </c>
    </row>
    <row r="1110" ht="67.5" customHeight="1">
      <c r="A1110" s="5" t="inlineStr">
        <is>
          <t>2026-07-05</t>
        </is>
      </c>
      <c r="B1110" s="5" t="inlineStr">
        <is>
          <t>27周</t>
        </is>
      </c>
      <c r="C1110" s="5" t="inlineStr">
        <is>
          <t>抖音</t>
        </is>
      </c>
      <c r="D1110" s="5" t="n"/>
      <c r="E1110" s="5" t="n"/>
      <c r="F1110" s="5" t="inlineStr">
        <is>
          <t>https://v.douyin.com/C8SD6id0nnE/</t>
        </is>
      </c>
      <c r="G1110" s="5" t="inlineStr">
        <is>
          <t>489</t>
        </is>
      </c>
      <c r="H1110" s="5" t="inlineStr">
        <is>
          <t>鞋子合集</t>
        </is>
      </c>
      <c r="I1110" s="5" t="n">
        <v>299.375</v>
      </c>
      <c r="J1110" s="5" t="n"/>
      <c r="K1110" s="5" t="n"/>
      <c r="L1110" s="5" t="n">
        <v>16000</v>
      </c>
      <c r="M1110" s="5" t="n">
        <v>354</v>
      </c>
      <c r="N1110" s="5" t="n">
        <v>148</v>
      </c>
      <c r="O1110" s="5" t="n">
        <v>23</v>
      </c>
      <c r="P1110" s="8">
        <f>IF(AND(M1238&lt;&gt;"",M1238&gt;0),M1238+N1238+O1238,"")</f>
        <v/>
      </c>
      <c r="Q1110" s="11">
        <f>IF(AND(L1238&lt;&gt;"",L1238&gt;0,P1238&lt;&gt;""),P1238/L1238,"")</f>
        <v/>
      </c>
      <c r="R1110" s="16">
        <f>IF(AND(P1238&lt;&gt;"",P1238&gt;0),(I1238+J1238+K1238)/P1238,"")</f>
        <v/>
      </c>
    </row>
    <row r="1111" ht="27" customHeight="1">
      <c r="A1111" s="5" t="inlineStr">
        <is>
          <t>2026-07-05</t>
        </is>
      </c>
      <c r="B1111" s="5" t="inlineStr">
        <is>
          <t>27周</t>
        </is>
      </c>
      <c r="C1111" s="5" t="inlineStr">
        <is>
          <t>抖音</t>
        </is>
      </c>
      <c r="D1111" s="5" t="n"/>
      <c r="E1111" s="5" t="n"/>
      <c r="F1111" s="5" t="inlineStr">
        <is>
          <t>https://v.douyin.com/bPIjCjMZz3E/</t>
        </is>
      </c>
      <c r="G1111" s="5" t="inlineStr">
        <is>
          <t>459</t>
        </is>
      </c>
      <c r="H1111" s="5" t="inlineStr">
        <is>
          <t>生命力穿搭</t>
        </is>
      </c>
      <c r="I1111" s="5" t="n">
        <v>20.045</v>
      </c>
      <c r="J1111" s="5" t="n"/>
      <c r="K1111" s="5" t="n"/>
      <c r="L1111" s="5" t="n">
        <v>2242</v>
      </c>
      <c r="M1111" s="5" t="n">
        <v>430</v>
      </c>
      <c r="N1111" s="5" t="n">
        <v>30</v>
      </c>
      <c r="O1111" s="5" t="n">
        <v>35</v>
      </c>
      <c r="P1111" s="8">
        <f>IF(AND(M1239&lt;&gt;"",M1239&gt;0),M1239+N1239+O1239,"")</f>
        <v/>
      </c>
      <c r="Q1111" s="11">
        <f>IF(AND(L1239&lt;&gt;"",L1239&gt;0,P1239&lt;&gt;""),P1239/L1239,"")</f>
        <v/>
      </c>
      <c r="R1111" s="16">
        <f>IF(AND(P1239&lt;&gt;"",P1239&gt;0),(I1239+J1239+K1239)/P1239,"")</f>
        <v/>
      </c>
    </row>
    <row r="1112" ht="67.5" customHeight="1">
      <c r="A1112" s="5" t="inlineStr">
        <is>
          <t>2026-07-05</t>
        </is>
      </c>
      <c r="B1112" s="5" t="inlineStr">
        <is>
          <t>27周</t>
        </is>
      </c>
      <c r="C1112" s="5" t="inlineStr">
        <is>
          <t>小红书</t>
        </is>
      </c>
      <c r="D1112" s="5" t="n"/>
      <c r="E1112" s="5" t="n"/>
      <c r="F1112" s="5" t="inlineStr">
        <is>
          <t>https://www.xiaohongshu.com/discovery/item/6a49feda000000000f004d81?xsec_token=CBBZZVQdnkpsHgNHOLs5-dASsLwjsvSwnN8ZU-LZJvlgM=&amp;xsec_source=app_share</t>
        </is>
      </c>
      <c r="G1112" s="5" t="inlineStr">
        <is>
          <t>0003A2</t>
        </is>
      </c>
      <c r="H1112" s="5" t="inlineStr">
        <is>
          <t>鞋子合集</t>
        </is>
      </c>
      <c r="I1112" s="5" t="n">
        <v>173.375</v>
      </c>
      <c r="J1112" s="5" t="n"/>
      <c r="K1112" s="5" t="n"/>
      <c r="L1112" s="5" t="n">
        <v>1471</v>
      </c>
      <c r="M1112" s="5" t="n">
        <v>91</v>
      </c>
      <c r="N1112" s="5" t="n">
        <v>34</v>
      </c>
      <c r="O1112" s="5" t="n">
        <v>9</v>
      </c>
      <c r="P1112" s="8">
        <f>IF(AND(M1240&lt;&gt;"",M1240&gt;0),M1240+N1240+O1240,"")</f>
        <v/>
      </c>
      <c r="Q1112" s="11">
        <f>IF(AND(L1240&lt;&gt;"",L1240&gt;0,P1240&lt;&gt;""),P1240/L1240,"")</f>
        <v/>
      </c>
      <c r="R1112" s="16">
        <f>IF(AND(P1240&lt;&gt;"",P1240&gt;0),(I1240+J1240+K1240)/P1240,"")</f>
        <v/>
      </c>
    </row>
    <row r="1113" ht="67.5" customHeight="1">
      <c r="A1113" s="5" t="inlineStr">
        <is>
          <t>2026-07-05</t>
        </is>
      </c>
      <c r="B1113" s="5" t="inlineStr">
        <is>
          <t>27周</t>
        </is>
      </c>
      <c r="C1113" s="5" t="inlineStr">
        <is>
          <t>小红书</t>
        </is>
      </c>
      <c r="D1113" s="5" t="n"/>
      <c r="E1113" s="5" t="n"/>
      <c r="F1113" s="5" t="inlineStr">
        <is>
          <t>https://www.xiaohongshu.com/discovery/item/6a4a36d2000000001101135f?xsec_token=CBZzrb6h89K4Nf-kJgSxtv75MKOacCKhccj6-QLyDZfUE=&amp;xsec_source=app_share&amp;type=video</t>
        </is>
      </c>
      <c r="G1113" s="5" t="inlineStr">
        <is>
          <t>489</t>
        </is>
      </c>
      <c r="H1113" s="5" t="inlineStr">
        <is>
          <t>鞋子合集</t>
        </is>
      </c>
      <c r="I1113" s="5" t="n"/>
      <c r="J1113" s="5" t="n"/>
      <c r="K1113" s="5" t="n"/>
      <c r="L1113" s="5" t="n">
        <v>1533</v>
      </c>
      <c r="M1113" s="5" t="n">
        <v>84</v>
      </c>
      <c r="N1113" s="5" t="n">
        <v>38</v>
      </c>
      <c r="O1113" s="5" t="n">
        <v>10</v>
      </c>
      <c r="P1113" s="8">
        <f>IF(AND(M1241&lt;&gt;"",M1241&gt;0),M1241+N1241+O1241,"")</f>
        <v/>
      </c>
      <c r="Q1113" s="11">
        <f>IF(AND(L1241&lt;&gt;"",L1241&gt;0,P1241&lt;&gt;""),P1241/L1241,"")</f>
        <v/>
      </c>
      <c r="R1113" s="16">
        <f>IF(AND(P1241&lt;&gt;"",P1241&gt;0),(I1241+J1241+K1241)/P1241,"")</f>
        <v/>
      </c>
    </row>
    <row r="1114" ht="27" customHeight="1">
      <c r="A1114" s="5" t="inlineStr">
        <is>
          <t>2026-07-05</t>
        </is>
      </c>
      <c r="B1114" s="5" t="inlineStr">
        <is>
          <t>27周</t>
        </is>
      </c>
      <c r="C1114" s="5" t="inlineStr">
        <is>
          <t>小红书</t>
        </is>
      </c>
      <c r="D1114" s="5" t="n"/>
      <c r="E1114" s="5" t="n"/>
      <c r="F1114" s="5" t="inlineStr">
        <is>
          <t>https://www.xiaohongshu.com/discovery/item/6a4a3c62000000002100903b?xsec_token=CBZzrb6h89K4Nf-kJgSxtv783Mj4Uwm_KoLX_d6npZOXk=&amp;xsec_source=app_share</t>
        </is>
      </c>
      <c r="G1114" s="5" t="inlineStr">
        <is>
          <t>0003A2</t>
        </is>
      </c>
      <c r="H1114" s="5" t="inlineStr">
        <is>
          <t>地铁穿搭</t>
        </is>
      </c>
      <c r="I1114" s="5" t="n">
        <v>48.375</v>
      </c>
      <c r="J1114" s="5" t="n"/>
      <c r="K1114" s="5" t="n"/>
      <c r="L1114" s="5" t="n">
        <v>1012</v>
      </c>
      <c r="M1114" s="5" t="n">
        <v>45</v>
      </c>
      <c r="N1114" s="5" t="n">
        <v>6</v>
      </c>
      <c r="O1114" s="5" t="n">
        <v>10</v>
      </c>
      <c r="P1114" s="8">
        <f>IF(AND(M1242&lt;&gt;"",M1242&gt;0),M1242+N1242+O1242,"")</f>
        <v/>
      </c>
      <c r="Q1114" s="11">
        <f>IF(AND(L1242&lt;&gt;"",L1242&gt;0,P1242&lt;&gt;""),P1242/L1242,"")</f>
        <v/>
      </c>
      <c r="R1114" s="16">
        <f>IF(AND(P1242&lt;&gt;"",P1242&gt;0),(I1242+J1242+K1242)/P1242,"")</f>
        <v/>
      </c>
    </row>
    <row r="1115" ht="27" customHeight="1">
      <c r="A1115" s="5" t="inlineStr">
        <is>
          <t>2026-07-06</t>
        </is>
      </c>
      <c r="B1115" s="5" t="inlineStr">
        <is>
          <t>28周</t>
        </is>
      </c>
      <c r="C1115" s="5" t="inlineStr">
        <is>
          <t>小红书</t>
        </is>
      </c>
      <c r="D1115" s="5" t="n"/>
      <c r="E1115" s="5" t="n"/>
      <c r="F1115" s="5" t="inlineStr">
        <is>
          <t>https://www.xiaohongshu.com/discovery/item/6a4b1817000000000f02b5f8?xsec_token=CBw6ZAd-CSgGPLNhGq5hJe22q5kkcwPJMH0R5umxeuLX8=&amp;xsec_source=app_share</t>
        </is>
      </c>
      <c r="G1115" s="5" t="inlineStr">
        <is>
          <t>489</t>
        </is>
      </c>
      <c r="H1115" s="5" t="inlineStr">
        <is>
          <t>马嘉祺</t>
        </is>
      </c>
      <c r="I1115" s="5" t="n">
        <v>24.625</v>
      </c>
      <c r="J1115" s="5" t="n"/>
      <c r="K1115" s="5" t="n"/>
      <c r="L1115" s="5" t="n">
        <v>141</v>
      </c>
      <c r="M1115" s="5" t="n">
        <v>13</v>
      </c>
      <c r="N1115" s="5" t="n">
        <v>1</v>
      </c>
      <c r="O1115" s="5" t="n">
        <v>0</v>
      </c>
      <c r="P1115" s="8">
        <f>IF(AND(M1243&lt;&gt;"",M1243&gt;0),M1243+N1243+O1243,"")</f>
        <v/>
      </c>
      <c r="Q1115" s="11">
        <f>IF(AND(L1243&lt;&gt;"",L1243&gt;0,P1243&lt;&gt;""),P1243/L1243,"")</f>
        <v/>
      </c>
      <c r="R1115" s="16">
        <f>IF(AND(P1243&lt;&gt;"",P1243&gt;0),(I1243+J1243+K1243)/P1243,"")</f>
        <v/>
      </c>
    </row>
    <row r="1116" ht="40.5" customHeight="1">
      <c r="A1116" s="5" t="inlineStr">
        <is>
          <t>2026-07-07</t>
        </is>
      </c>
      <c r="B1116" s="5" t="inlineStr">
        <is>
          <t>28周</t>
        </is>
      </c>
      <c r="C1116" s="5" t="inlineStr">
        <is>
          <t>抖音</t>
        </is>
      </c>
      <c r="D1116" s="5" t="n"/>
      <c r="E1116" s="5" t="n"/>
      <c r="F1116" s="5" t="inlineStr">
        <is>
          <t>https://v.douyin.com/bhme9D35w70/</t>
        </is>
      </c>
      <c r="G1116" s="5" t="inlineStr">
        <is>
          <t>459</t>
        </is>
      </c>
      <c r="H1116" s="5" t="inlineStr">
        <is>
          <t>生命力穿搭</t>
        </is>
      </c>
      <c r="I1116" s="5" t="n">
        <v>40.09</v>
      </c>
      <c r="J1116" s="5" t="n"/>
      <c r="K1116" s="5" t="n"/>
      <c r="L1116" s="5" t="n">
        <v>16000</v>
      </c>
      <c r="M1116" s="5" t="n">
        <v>300</v>
      </c>
      <c r="N1116" s="5" t="n">
        <v>38</v>
      </c>
      <c r="O1116" s="5" t="n">
        <v>37</v>
      </c>
      <c r="P1116" s="8">
        <f>IF(AND(M1244&lt;&gt;"",M1244&gt;0),M1244+N1244+O1244,"")</f>
        <v/>
      </c>
      <c r="Q1116" s="11">
        <f>IF(AND(L1244&lt;&gt;"",L1244&gt;0,P1244&lt;&gt;""),P1244/L1244,"")</f>
        <v/>
      </c>
      <c r="R1116" s="16">
        <f>IF(AND(P1244&lt;&gt;"",P1244&gt;0),(I1244+J1244+K1244)/P1244,"")</f>
        <v/>
      </c>
    </row>
    <row r="1117" ht="67.5" customHeight="1">
      <c r="A1117" s="5" t="inlineStr">
        <is>
          <t>2026-07-07</t>
        </is>
      </c>
      <c r="B1117" s="5" t="inlineStr">
        <is>
          <t>28周</t>
        </is>
      </c>
      <c r="C1117" s="5" t="inlineStr">
        <is>
          <t>抖音</t>
        </is>
      </c>
      <c r="D1117" s="5" t="n"/>
      <c r="E1117" s="5" t="n"/>
      <c r="F1117" s="5" t="inlineStr">
        <is>
          <t>https://v.douyin.com/kVJB9Vknd3g/</t>
        </is>
      </c>
      <c r="G1117" s="5" t="inlineStr">
        <is>
          <t>0003A2</t>
        </is>
      </c>
      <c r="H1117" s="5" t="inlineStr">
        <is>
          <t>情侣穿搭</t>
        </is>
      </c>
      <c r="I1117" s="5" t="n">
        <v>193.5</v>
      </c>
      <c r="J1117" s="5" t="n"/>
      <c r="K1117" s="5" t="n"/>
      <c r="L1117" s="5" t="n">
        <v>6047</v>
      </c>
      <c r="M1117" s="5" t="n">
        <v>488</v>
      </c>
      <c r="N1117" s="5" t="n">
        <v>7</v>
      </c>
      <c r="O1117" s="5" t="n">
        <v>37</v>
      </c>
      <c r="P1117" s="8">
        <f>IF(AND(M1245&lt;&gt;"",M1245&gt;0),M1245+N1245+O1245,"")</f>
        <v/>
      </c>
      <c r="Q1117" s="11">
        <f>IF(AND(L1245&lt;&gt;"",L1245&gt;0,P1245&lt;&gt;""),P1245/L1245,"")</f>
        <v/>
      </c>
      <c r="R1117" s="16">
        <f>IF(AND(P1245&lt;&gt;"",P1245&gt;0),(I1245+J1245+K1245)/P1245,"")</f>
        <v/>
      </c>
    </row>
    <row r="1118" ht="81" customHeight="1">
      <c r="A1118" s="5" t="inlineStr">
        <is>
          <t>2026-07-07</t>
        </is>
      </c>
      <c r="B1118" s="5" t="inlineStr">
        <is>
          <t>28周</t>
        </is>
      </c>
      <c r="C1118" s="5" t="inlineStr">
        <is>
          <t>小红书</t>
        </is>
      </c>
      <c r="D1118" s="5" t="n"/>
      <c r="E1118" s="5" t="n"/>
      <c r="F1118" s="5" t="inlineStr">
        <is>
          <t>https://www.xiaohongshu.com/discovery/item/6a4d18fd000000000f004c82?xsec_token=CBLaz1bfLL8Fv384IWWSu9y2E4rbGeC0ZLBPupAPmkChM=&amp;xsec_source=app_share&amp;type=video</t>
        </is>
      </c>
      <c r="G1118" s="5" t="inlineStr">
        <is>
          <t>492</t>
        </is>
      </c>
      <c r="H1118" s="5" t="inlineStr">
        <is>
          <t>穿搭</t>
        </is>
      </c>
      <c r="I1118" s="5" t="n">
        <v>119.7</v>
      </c>
      <c r="J1118" s="5" t="n"/>
      <c r="K1118" s="5" t="n"/>
      <c r="L1118" s="5" t="n">
        <v>14657</v>
      </c>
      <c r="M1118" s="5" t="n">
        <v>920</v>
      </c>
      <c r="N1118" s="5" t="n">
        <v>349</v>
      </c>
      <c r="O1118" s="5" t="n">
        <v>51</v>
      </c>
      <c r="P1118" s="8">
        <f>IF(AND(M1246&lt;&gt;"",M1246&gt;0),M1246+N1246+O1246,"")</f>
        <v/>
      </c>
      <c r="Q1118" s="11">
        <f>IF(AND(L1246&lt;&gt;"",L1246&gt;0,P1246&lt;&gt;""),P1246/L1246,"")</f>
        <v/>
      </c>
      <c r="R1118" s="16">
        <f>IF(AND(P1246&lt;&gt;"",P1246&gt;0),(I1246+J1246+K1246)/P1246,"")</f>
        <v/>
      </c>
    </row>
    <row r="1119" ht="81" customHeight="1">
      <c r="A1119" s="5" t="inlineStr">
        <is>
          <t>2026-07-08</t>
        </is>
      </c>
      <c r="B1119" s="5" t="inlineStr">
        <is>
          <t>28周</t>
        </is>
      </c>
      <c r="C1119" s="5" t="inlineStr">
        <is>
          <t>快手</t>
        </is>
      </c>
      <c r="D1119" s="5" t="n"/>
      <c r="E1119" s="5" t="n"/>
      <c r="F1119" s="5" t="inlineStr">
        <is>
          <t>https://v.kuaishou.com/K7m6YFMI</t>
        </is>
      </c>
      <c r="G1119" s="5" t="inlineStr">
        <is>
          <t>1093W</t>
        </is>
      </c>
      <c r="H1119" s="5" t="inlineStr">
        <is>
          <t>张桂源</t>
        </is>
      </c>
      <c r="I1119" s="5" t="n">
        <v>23.835</v>
      </c>
      <c r="J1119" s="5" t="n"/>
      <c r="K1119" s="5" t="n"/>
      <c r="L1119" s="5" t="n">
        <v>4007</v>
      </c>
      <c r="M1119" s="5" t="n">
        <v>21</v>
      </c>
      <c r="N1119" s="5" t="n">
        <v>0</v>
      </c>
      <c r="O1119" s="5" t="n">
        <v>3</v>
      </c>
      <c r="P1119" s="8">
        <f>IF(AND(M1247&lt;&gt;"",M1247&gt;0),M1247+N1247+O1247,"")</f>
        <v/>
      </c>
      <c r="Q1119" s="11">
        <f>IF(AND(L1247&lt;&gt;"",L1247&gt;0,P1247&lt;&gt;""),P1247/L1247,"")</f>
        <v/>
      </c>
      <c r="R1119" s="16">
        <f>IF(AND(P1247&lt;&gt;"",P1247&gt;0),(I1247+J1247+K1247)/P1247,"")</f>
        <v/>
      </c>
    </row>
    <row r="1120" ht="27" customHeight="1">
      <c r="A1120" s="5" t="inlineStr">
        <is>
          <t>2026-07-08</t>
        </is>
      </c>
      <c r="B1120" s="5" t="inlineStr">
        <is>
          <t>28周</t>
        </is>
      </c>
      <c r="C1120" s="5" t="inlineStr">
        <is>
          <t>抖音</t>
        </is>
      </c>
      <c r="D1120" s="5" t="n"/>
      <c r="E1120" s="5" t="n"/>
      <c r="F1120" s="5" t="inlineStr">
        <is>
          <t>https://v.douyin.com/HA6Kdzke0XA/</t>
        </is>
      </c>
      <c r="G1120" s="5" t="inlineStr">
        <is>
          <t>0003A2</t>
        </is>
      </c>
      <c r="H1120" s="5" t="inlineStr">
        <is>
          <t>上班穿搭</t>
        </is>
      </c>
      <c r="I1120" s="5" t="n">
        <v>168.375</v>
      </c>
      <c r="J1120" s="5" t="n"/>
      <c r="K1120" s="5" t="n"/>
      <c r="L1120" s="5" t="n">
        <v>29000</v>
      </c>
      <c r="M1120" s="5" t="n">
        <v>324</v>
      </c>
      <c r="N1120" s="5" t="n">
        <v>70</v>
      </c>
      <c r="O1120" s="5" t="n">
        <v>11</v>
      </c>
      <c r="P1120" s="8">
        <f>IF(AND(M1248&lt;&gt;"",M1248&gt;0),M1248+N1248+O1248,"")</f>
        <v/>
      </c>
      <c r="Q1120" s="11">
        <f>IF(AND(L1248&lt;&gt;"",L1248&gt;0,P1248&lt;&gt;""),P1248/L1248,"")</f>
        <v/>
      </c>
      <c r="R1120" s="16">
        <f>IF(AND(P1248&lt;&gt;"",P1248&gt;0),(I1248+J1248+K1248)/P1248,"")</f>
        <v/>
      </c>
    </row>
    <row r="1121" ht="27" customHeight="1">
      <c r="A1121" s="5" t="inlineStr">
        <is>
          <t>2026-07-08</t>
        </is>
      </c>
      <c r="B1121" s="5" t="inlineStr">
        <is>
          <t>28周</t>
        </is>
      </c>
      <c r="C1121" s="5" t="inlineStr">
        <is>
          <t>抖音</t>
        </is>
      </c>
      <c r="D1121" s="5" t="n"/>
      <c r="E1121" s="5" t="n"/>
      <c r="F1121" s="5" t="inlineStr">
        <is>
          <t>https://v.douyin.com/dPAzxsKq5DA/</t>
        </is>
      </c>
      <c r="G1121" s="5" t="inlineStr">
        <is>
          <t>1093W</t>
        </is>
      </c>
      <c r="H1121" s="5" t="inlineStr">
        <is>
          <t>张桂源</t>
        </is>
      </c>
      <c r="I1121" s="5" t="n">
        <v>23.835</v>
      </c>
      <c r="J1121" s="5" t="n"/>
      <c r="K1121" s="5" t="n"/>
      <c r="L1121" s="5" t="n">
        <v>2044</v>
      </c>
      <c r="M1121" s="5" t="n">
        <v>444</v>
      </c>
      <c r="N1121" s="5" t="n">
        <v>12</v>
      </c>
      <c r="O1121" s="5" t="n">
        <v>197</v>
      </c>
      <c r="P1121" s="8">
        <f>IF(AND(M1249&lt;&gt;"",M1249&gt;0),M1249+N1249+O1249,"")</f>
        <v/>
      </c>
      <c r="Q1121" s="11">
        <f>IF(AND(L1249&lt;&gt;"",L1249&gt;0,P1249&lt;&gt;""),P1249/L1249,"")</f>
        <v/>
      </c>
      <c r="R1121" s="16">
        <f>IF(AND(P1249&lt;&gt;"",P1249&gt;0),(I1249+J1249+K1249)/P1249,"")</f>
        <v/>
      </c>
    </row>
    <row r="1122" ht="81" customHeight="1">
      <c r="A1122" s="5" t="inlineStr">
        <is>
          <t>2026-07-09</t>
        </is>
      </c>
      <c r="B1122" s="5" t="inlineStr">
        <is>
          <t>28周</t>
        </is>
      </c>
      <c r="C1122" s="5" t="inlineStr">
        <is>
          <t>抖音</t>
        </is>
      </c>
      <c r="D1122" s="5" t="n"/>
      <c r="E1122" s="5" t="n"/>
      <c r="F1122" s="5" t="inlineStr">
        <is>
          <t>https://v.douyin.com/v0NY99RZQfc/</t>
        </is>
      </c>
      <c r="G1122" s="5" t="inlineStr">
        <is>
          <t>459</t>
        </is>
      </c>
      <c r="H1122" s="5" t="inlineStr">
        <is>
          <t>生命力穿搭</t>
        </is>
      </c>
      <c r="I1122" s="5" t="n">
        <v>90.09</v>
      </c>
      <c r="J1122" s="5" t="n"/>
      <c r="K1122" s="5" t="n"/>
      <c r="L1122" s="5" t="n">
        <v>6803</v>
      </c>
      <c r="M1122" s="5" t="n">
        <v>461</v>
      </c>
      <c r="N1122" s="5" t="n">
        <v>16</v>
      </c>
      <c r="O1122" s="5" t="n">
        <v>47</v>
      </c>
      <c r="P1122" s="8">
        <f>IF(AND(M1250&lt;&gt;"",M1250&gt;0),M1250+N1250+O1250,"")</f>
        <v/>
      </c>
      <c r="Q1122" s="11">
        <f>IF(AND(L1250&lt;&gt;"",L1250&gt;0,P1250&lt;&gt;""),P1250/L1250,"")</f>
        <v/>
      </c>
      <c r="R1122" s="16">
        <f>IF(AND(P1250&lt;&gt;"",P1250&gt;0),(I1250+J1250+K1250)/P1250,"")</f>
        <v/>
      </c>
    </row>
    <row r="1123" ht="81" customHeight="1">
      <c r="A1123" s="5" t="inlineStr">
        <is>
          <t>2026-07-09</t>
        </is>
      </c>
      <c r="B1123" s="5" t="inlineStr">
        <is>
          <t>28周</t>
        </is>
      </c>
      <c r="C1123" s="5" t="inlineStr">
        <is>
          <t>抖音</t>
        </is>
      </c>
      <c r="D1123" s="5" t="n"/>
      <c r="E1123" s="5" t="n"/>
      <c r="F1123" s="5" t="inlineStr">
        <is>
          <t>https://v.douyin.com/JLoQlz8U1mY/</t>
        </is>
      </c>
      <c r="G1123" s="5" t="inlineStr">
        <is>
          <t>1093W</t>
        </is>
      </c>
      <c r="H1123" s="5" t="inlineStr">
        <is>
          <t>鞠婧祎</t>
        </is>
      </c>
      <c r="I1123" s="5" t="n">
        <v>47.67</v>
      </c>
      <c r="J1123" s="5" t="n"/>
      <c r="K1123" s="5" t="n"/>
      <c r="L1123" s="5" t="n">
        <v>11000</v>
      </c>
      <c r="M1123" s="5" t="n">
        <v>3213</v>
      </c>
      <c r="N1123" s="5" t="n">
        <v>312</v>
      </c>
      <c r="O1123" s="5" t="n">
        <v>56</v>
      </c>
      <c r="P1123" s="8">
        <f>IF(AND(M1251&lt;&gt;"",M1251&gt;0),M1251+N1251+O1251,"")</f>
        <v/>
      </c>
      <c r="Q1123" s="11">
        <f>IF(AND(L1251&lt;&gt;"",L1251&gt;0,P1251&lt;&gt;""),P1251/L1251,"")</f>
        <v/>
      </c>
      <c r="R1123" s="16">
        <f>IF(AND(P1251&lt;&gt;"",P1251&gt;0),(I1251+J1251+K1251)/P1251,"")</f>
        <v/>
      </c>
    </row>
    <row r="1124" ht="27" customHeight="1">
      <c r="A1124" s="5" t="inlineStr">
        <is>
          <t>2026-07-09</t>
        </is>
      </c>
      <c r="B1124" s="5" t="inlineStr">
        <is>
          <t>28周</t>
        </is>
      </c>
      <c r="C1124" s="5" t="inlineStr">
        <is>
          <t>抖音</t>
        </is>
      </c>
      <c r="D1124" s="5" t="n"/>
      <c r="E1124" s="5" t="n"/>
      <c r="F1124" s="5" t="inlineStr">
        <is>
          <t>https://v.douyin.com/lluTRLD_XmI/</t>
        </is>
      </c>
      <c r="G1124" s="5" t="inlineStr">
        <is>
          <t>1093W</t>
        </is>
      </c>
      <c r="H1124" s="5" t="inlineStr">
        <is>
          <t>左奇函</t>
        </is>
      </c>
      <c r="I1124" s="5" t="n">
        <v>47.67</v>
      </c>
      <c r="J1124" s="5" t="n"/>
      <c r="K1124" s="5" t="n"/>
      <c r="L1124" s="5" t="n">
        <v>120000</v>
      </c>
      <c r="M1124" s="5" t="n">
        <v>34000</v>
      </c>
      <c r="N1124" s="5" t="n">
        <v>1986</v>
      </c>
      <c r="O1124" s="5" t="n">
        <v>850</v>
      </c>
      <c r="P1124" s="8">
        <f>IF(AND(M1252&lt;&gt;"",M1252&gt;0),M1252+N1252+O1252,"")</f>
        <v/>
      </c>
      <c r="Q1124" s="11">
        <f>IF(AND(L1252&lt;&gt;"",L1252&gt;0,P1252&lt;&gt;""),P1252/L1252,"")</f>
        <v/>
      </c>
      <c r="R1124" s="16">
        <f>IF(AND(P1252&lt;&gt;"",P1252&gt;0),(I1252+J1252+K1252)/P1252,"")</f>
        <v/>
      </c>
    </row>
    <row r="1125" ht="27" customHeight="1">
      <c r="A1125" s="5" t="inlineStr">
        <is>
          <t>2026-07-09</t>
        </is>
      </c>
      <c r="B1125" s="5" t="inlineStr">
        <is>
          <t>28周</t>
        </is>
      </c>
      <c r="C1125" s="5" t="inlineStr">
        <is>
          <t>抖音</t>
        </is>
      </c>
      <c r="D1125" s="5" t="n"/>
      <c r="E1125" s="5" t="n"/>
      <c r="F1125" s="5" t="inlineStr">
        <is>
          <t>https://v.douyin.com/cHRE8QRbJuk/</t>
        </is>
      </c>
      <c r="G1125" s="5" t="inlineStr">
        <is>
          <t>489</t>
        </is>
      </c>
      <c r="H1125" s="5" t="inlineStr">
        <is>
          <t>陈奕恒</t>
        </is>
      </c>
      <c r="I1125" s="5" t="n">
        <v>49.25</v>
      </c>
      <c r="J1125" s="5" t="n"/>
      <c r="K1125" s="5" t="n"/>
      <c r="L1125" s="5" t="n">
        <v>672</v>
      </c>
      <c r="M1125" s="5" t="n">
        <v>201</v>
      </c>
      <c r="N1125" s="5" t="n">
        <v>7</v>
      </c>
      <c r="O1125" s="5" t="n">
        <v>111</v>
      </c>
      <c r="P1125" s="8">
        <f>IF(AND(M1253&lt;&gt;"",M1253&gt;0),M1253+N1253+O1253,"")</f>
        <v/>
      </c>
      <c r="Q1125" s="11">
        <f>IF(AND(L1253&lt;&gt;"",L1253&gt;0,P1253&lt;&gt;""),P1253/L1253,"")</f>
        <v/>
      </c>
      <c r="R1125" s="16">
        <f>IF(AND(P1253&lt;&gt;"",P1253&gt;0),(I1253+J1253+K1253)/P1253,"")</f>
        <v/>
      </c>
    </row>
    <row r="1126" ht="27" customHeight="1">
      <c r="A1126" s="5" t="inlineStr">
        <is>
          <t>2026-07-09</t>
        </is>
      </c>
      <c r="B1126" s="5" t="inlineStr">
        <is>
          <t>28周</t>
        </is>
      </c>
      <c r="C1126" s="5" t="inlineStr">
        <is>
          <t>抖音</t>
        </is>
      </c>
      <c r="D1126" s="5" t="n"/>
      <c r="E1126" s="5" t="n"/>
      <c r="F1126" s="5" t="inlineStr">
        <is>
          <t>https://v.douyin.com/hmEevuvSQ-0/</t>
        </is>
      </c>
      <c r="G1126" s="5" t="inlineStr">
        <is>
          <t>0003A2</t>
        </is>
      </c>
      <c r="H1126" s="5" t="inlineStr">
        <is>
          <t>vlog</t>
        </is>
      </c>
      <c r="I1126" s="5" t="n">
        <v>496.75</v>
      </c>
      <c r="J1126" s="5" t="n"/>
      <c r="K1126" s="5" t="n"/>
      <c r="L1126" s="5" t="n">
        <v>25000</v>
      </c>
      <c r="M1126" s="5" t="n">
        <v>1334</v>
      </c>
      <c r="N1126" s="5" t="n">
        <v>103</v>
      </c>
      <c r="O1126" s="5" t="n">
        <v>73</v>
      </c>
      <c r="P1126" s="8">
        <f>IF(AND(M1254&lt;&gt;"",M1254&gt;0),M1254+N1254+O1254,"")</f>
        <v/>
      </c>
      <c r="Q1126" s="11">
        <f>IF(AND(L1254&lt;&gt;"",L1254&gt;0,P1254&lt;&gt;""),P1254/L1254,"")</f>
        <v/>
      </c>
      <c r="R1126" s="16">
        <f>IF(AND(P1254&lt;&gt;"",P1254&gt;0),(I1254+J1254+K1254)/P1254,"")</f>
        <v/>
      </c>
    </row>
    <row r="1127" ht="67.5" customHeight="1">
      <c r="A1127" s="5" t="inlineStr">
        <is>
          <t>2026-07-09</t>
        </is>
      </c>
      <c r="B1127" s="5" t="inlineStr">
        <is>
          <t>28周</t>
        </is>
      </c>
      <c r="C1127" s="5" t="inlineStr">
        <is>
          <t>抖音</t>
        </is>
      </c>
      <c r="D1127" s="5" t="n"/>
      <c r="E1127" s="5" t="n"/>
      <c r="F1127" s="5" t="inlineStr">
        <is>
          <t>https://v.douyin.com/QOGJWVRYVTU/</t>
        </is>
      </c>
      <c r="G1127" s="5" t="inlineStr">
        <is>
          <t>459</t>
        </is>
      </c>
      <c r="H1127" s="5" t="inlineStr">
        <is>
          <t>群像穿搭</t>
        </is>
      </c>
      <c r="I1127" s="5" t="n">
        <v>20.045</v>
      </c>
      <c r="J1127" s="5" t="n"/>
      <c r="K1127" s="5" t="n"/>
      <c r="L1127" s="5" t="n">
        <v>7544</v>
      </c>
      <c r="M1127" s="5" t="n">
        <v>499</v>
      </c>
      <c r="N1127" s="5" t="n">
        <v>38</v>
      </c>
      <c r="O1127" s="5" t="n">
        <v>2</v>
      </c>
      <c r="P1127" s="8">
        <f>IF(AND(M1255&lt;&gt;"",M1255&gt;0),M1255+N1255+O1255,"")</f>
        <v/>
      </c>
      <c r="Q1127" s="11">
        <f>IF(AND(L1255&lt;&gt;"",L1255&gt;0,P1255&lt;&gt;""),P1255/L1255,"")</f>
        <v/>
      </c>
      <c r="R1127" s="16">
        <f>IF(AND(P1255&lt;&gt;"",P1255&gt;0),(I1255+J1255+K1255)/P1255,"")</f>
        <v/>
      </c>
    </row>
    <row r="1128" ht="27" customHeight="1">
      <c r="A1128" s="5" t="inlineStr">
        <is>
          <t>2026-07-09</t>
        </is>
      </c>
      <c r="B1128" s="5" t="inlineStr">
        <is>
          <t>28周</t>
        </is>
      </c>
      <c r="C1128" s="5" t="inlineStr">
        <is>
          <t>小红书</t>
        </is>
      </c>
      <c r="D1128" s="5" t="n"/>
      <c r="E1128" s="5" t="n"/>
      <c r="F1128" s="5" t="inlineStr">
        <is>
          <t>https://www.xiaohongshu.com/discovery/item/6a4f717e0000000007029cb1?xsec_token=CBcB49GmvB_KPltJAkRLmDgXCf8laROTZ2XtyW5hcXDh0=&amp;xsec_source=app_share&amp;type=video</t>
        </is>
      </c>
      <c r="G1128" s="5" t="inlineStr">
        <is>
          <t>1093W</t>
        </is>
      </c>
      <c r="H1128" s="5" t="inlineStr">
        <is>
          <t>购物分享</t>
        </is>
      </c>
      <c r="I1128" s="5" t="n">
        <v>320.045</v>
      </c>
      <c r="J1128" s="5" t="n"/>
      <c r="K1128" s="5" t="n"/>
      <c r="L1128" s="5" t="n">
        <v>16090</v>
      </c>
      <c r="M1128" s="5" t="n">
        <v>1390</v>
      </c>
      <c r="N1128" s="5" t="n">
        <v>465</v>
      </c>
      <c r="O1128" s="5" t="n">
        <v>55</v>
      </c>
      <c r="P1128" s="8">
        <f>IF(AND(M1256&lt;&gt;"",M1256&gt;0),M1256+N1256+O1256,"")</f>
        <v/>
      </c>
      <c r="Q1128" s="11">
        <f>IF(AND(L1256&lt;&gt;"",L1256&gt;0,P1256&lt;&gt;""),P1256/L1256,"")</f>
        <v/>
      </c>
      <c r="R1128" s="16">
        <f>IF(AND(P1256&lt;&gt;"",P1256&gt;0),(I1256+J1256+K1256)/P1256,"")</f>
        <v/>
      </c>
    </row>
    <row r="1129" ht="27" customHeight="1">
      <c r="A1129" s="5" t="inlineStr">
        <is>
          <t>2026-07-09</t>
        </is>
      </c>
      <c r="B1129" s="5" t="inlineStr">
        <is>
          <t>28周</t>
        </is>
      </c>
      <c r="C1129" s="5" t="inlineStr">
        <is>
          <t>小红书</t>
        </is>
      </c>
      <c r="D1129" s="5" t="n"/>
      <c r="E1129" s="5" t="n"/>
      <c r="F1129" s="5" t="inlineStr">
        <is>
          <t>https://www.xiaohongshu.com/discovery/item/6a4f88da0000000007013641?xsec_token=CBcB49GmvB_KPltJAkRLmDgY7KsDw5gn4KkRB0VIpD8uA=&amp;xsec_source=app_share&amp;type=video</t>
        </is>
      </c>
      <c r="G1129" s="5" t="inlineStr">
        <is>
          <t>459</t>
        </is>
      </c>
      <c r="H1129" s="5" t="inlineStr">
        <is>
          <t>鞋子合集</t>
        </is>
      </c>
      <c r="I1129" s="5" t="n">
        <v>290.045</v>
      </c>
      <c r="J1129" s="5" t="n"/>
      <c r="K1129" s="5" t="n"/>
      <c r="L1129" s="5" t="n">
        <v>2413</v>
      </c>
      <c r="M1129" s="5" t="n">
        <v>145</v>
      </c>
      <c r="N1129" s="5" t="n">
        <v>56</v>
      </c>
      <c r="O1129" s="5" t="n">
        <v>10</v>
      </c>
      <c r="P1129" s="8">
        <f>IF(AND(M1257&lt;&gt;"",M1257&gt;0),M1257+N1257+O1257,"")</f>
        <v/>
      </c>
      <c r="Q1129" s="11">
        <f>IF(AND(L1257&lt;&gt;"",L1257&gt;0,P1257&lt;&gt;""),P1257/L1257,"")</f>
        <v/>
      </c>
      <c r="R1129" s="16">
        <f>IF(AND(P1257&lt;&gt;"",P1257&gt;0),(I1257+J1257+K1257)/P1257,"")</f>
        <v/>
      </c>
    </row>
    <row r="1130" ht="81" customHeight="1">
      <c r="A1130" s="5" t="inlineStr">
        <is>
          <t>2026-07-10</t>
        </is>
      </c>
      <c r="B1130" s="5" t="inlineStr">
        <is>
          <t>28周</t>
        </is>
      </c>
      <c r="C1130" s="5" t="inlineStr">
        <is>
          <t>抖音</t>
        </is>
      </c>
      <c r="D1130" s="5" t="n"/>
      <c r="E1130" s="5" t="n"/>
      <c r="F1130" s="5" t="inlineStr">
        <is>
          <t>https://v.douyin.com/6OLIrYbusws/</t>
        </is>
      </c>
      <c r="G1130" s="5" t="inlineStr">
        <is>
          <t>1093W</t>
        </is>
      </c>
      <c r="H1130" s="5" t="inlineStr">
        <is>
          <t>购物分享</t>
        </is>
      </c>
      <c r="I1130" s="5" t="n">
        <v>320.045</v>
      </c>
      <c r="J1130" s="5" t="n"/>
      <c r="K1130" s="5" t="n"/>
      <c r="L1130" s="5" t="n">
        <v>53000</v>
      </c>
      <c r="M1130" s="5" t="n">
        <v>1705</v>
      </c>
      <c r="N1130" s="5" t="n">
        <v>948</v>
      </c>
      <c r="O1130" s="5" t="n">
        <v>97</v>
      </c>
      <c r="P1130" s="8">
        <f>IF(AND(M1258&lt;&gt;"",M1258&gt;0),M1258+N1258+O1258,"")</f>
        <v/>
      </c>
      <c r="Q1130" s="11">
        <f>IF(AND(L1258&lt;&gt;"",L1258&gt;0,P1258&lt;&gt;""),P1258/L1258,"")</f>
        <v/>
      </c>
      <c r="R1130" s="16">
        <f>IF(AND(P1258&lt;&gt;"",P1258&gt;0),(I1258+J1258+K1258)/P1258,"")</f>
        <v/>
      </c>
    </row>
    <row r="1131" ht="67.5" customHeight="1">
      <c r="A1131" s="5" t="inlineStr">
        <is>
          <t>2026-07-10</t>
        </is>
      </c>
      <c r="B1131" s="5" t="inlineStr">
        <is>
          <t>28周</t>
        </is>
      </c>
      <c r="C1131" s="5" t="inlineStr">
        <is>
          <t>抖音</t>
        </is>
      </c>
      <c r="D1131" s="5" t="n"/>
      <c r="E1131" s="5" t="n"/>
      <c r="F1131" s="5" t="inlineStr">
        <is>
          <t>https://v.douyin.com/qDvTUsS4MLE/</t>
        </is>
      </c>
      <c r="G1131" s="5" t="inlineStr">
        <is>
          <t>1093W</t>
        </is>
      </c>
      <c r="H1131" s="5" t="inlineStr">
        <is>
          <t>张桂源</t>
        </is>
      </c>
      <c r="I1131" s="5" t="n">
        <v>23.835</v>
      </c>
      <c r="J1131" s="5" t="n"/>
      <c r="K1131" s="5" t="n"/>
      <c r="L1131" s="5" t="n">
        <v>25100</v>
      </c>
      <c r="M1131" s="5" t="n">
        <v>2455</v>
      </c>
      <c r="N1131" s="5" t="n">
        <v>274</v>
      </c>
      <c r="O1131" s="5" t="n">
        <v>265</v>
      </c>
      <c r="P1131" s="8">
        <f>IF(AND(M1259&lt;&gt;"",M1259&gt;0),M1259+N1259+O1259,"")</f>
        <v/>
      </c>
      <c r="Q1131" s="11">
        <f>IF(AND(L1259&lt;&gt;"",L1259&gt;0,P1259&lt;&gt;""),P1259/L1259,"")</f>
        <v/>
      </c>
      <c r="R1131" s="16">
        <f>IF(AND(P1259&lt;&gt;"",P1259&gt;0),(I1259+J1259+K1259)/P1259,"")</f>
        <v/>
      </c>
    </row>
    <row r="1132" ht="27" customHeight="1">
      <c r="A1132" s="5" t="inlineStr">
        <is>
          <t>2026-07-10</t>
        </is>
      </c>
      <c r="B1132" s="5" t="inlineStr">
        <is>
          <t>28周</t>
        </is>
      </c>
      <c r="C1132" s="5" t="inlineStr">
        <is>
          <t>快手</t>
        </is>
      </c>
      <c r="D1132" s="5" t="n"/>
      <c r="E1132" s="5" t="n"/>
      <c r="F1132" s="5" t="inlineStr">
        <is>
          <t>https://v.kuaishou.com/JkTdtS41</t>
        </is>
      </c>
      <c r="G1132" s="5" t="inlineStr">
        <is>
          <t>1093W</t>
        </is>
      </c>
      <c r="H1132" s="5" t="inlineStr">
        <is>
          <t>张桂源</t>
        </is>
      </c>
      <c r="I1132" s="5" t="n">
        <v>23.835</v>
      </c>
      <c r="J1132" s="5" t="n"/>
      <c r="K1132" s="5" t="n"/>
      <c r="L1132" s="5" t="n">
        <v>6932</v>
      </c>
      <c r="M1132" s="5" t="n">
        <v>52</v>
      </c>
      <c r="N1132" s="5" t="n">
        <v>0</v>
      </c>
      <c r="O1132" s="5" t="n">
        <v>2</v>
      </c>
      <c r="P1132" s="8">
        <f>IF(AND(M1260&lt;&gt;"",M1260&gt;0),M1260+N1260+O1260,"")</f>
        <v/>
      </c>
      <c r="Q1132" s="11">
        <f>IF(AND(L1260&lt;&gt;"",L1260&gt;0,P1260&lt;&gt;""),P1260/L1260,"")</f>
        <v/>
      </c>
      <c r="R1132" s="16">
        <f>IF(AND(P1260&lt;&gt;"",P1260&gt;0),(I1260+J1260+K1260)/P1260,"")</f>
        <v/>
      </c>
    </row>
    <row r="1133" ht="67.5" customHeight="1">
      <c r="A1133" s="5" t="inlineStr">
        <is>
          <t>2026-07-10</t>
        </is>
      </c>
      <c r="B1133" s="5" t="inlineStr">
        <is>
          <t>28周</t>
        </is>
      </c>
      <c r="C1133" s="5" t="inlineStr">
        <is>
          <t>抖音</t>
        </is>
      </c>
      <c r="D1133" s="5" t="n"/>
      <c r="E1133" s="5" t="n"/>
      <c r="F1133" s="5" t="inlineStr">
        <is>
          <t>https://v.douyin.com/ShiOESCbBgU/</t>
        </is>
      </c>
      <c r="G1133" s="5" t="inlineStr">
        <is>
          <t>1093W</t>
        </is>
      </c>
      <c r="H1133" s="5" t="inlineStr">
        <is>
          <t>鞠婧祎</t>
        </is>
      </c>
      <c r="I1133" s="5" t="n">
        <v>15.89</v>
      </c>
      <c r="J1133" s="5" t="n"/>
      <c r="K1133" s="5" t="n"/>
      <c r="L1133" s="5" t="n">
        <v>1013</v>
      </c>
      <c r="M1133" s="5" t="n">
        <v>243</v>
      </c>
      <c r="N1133" s="5" t="n">
        <v>11</v>
      </c>
      <c r="O1133" s="5" t="n">
        <v>26</v>
      </c>
      <c r="P1133" s="8">
        <f>IF(AND(M1261&lt;&gt;"",M1261&gt;0),M1261+N1261+O1261,"")</f>
        <v/>
      </c>
      <c r="Q1133" s="11">
        <f>IF(AND(L1261&lt;&gt;"",L1261&gt;0,P1261&lt;&gt;""),P1261/L1261,"")</f>
        <v/>
      </c>
      <c r="R1133" s="16">
        <f>IF(AND(P1261&lt;&gt;"",P1261&gt;0),(I1261+J1261+K1261)/P1261,"")</f>
        <v/>
      </c>
    </row>
    <row r="1134" ht="81" customHeight="1">
      <c r="A1134" s="5" t="inlineStr">
        <is>
          <t>2026-07-10</t>
        </is>
      </c>
      <c r="B1134" s="5" t="inlineStr">
        <is>
          <t>28周</t>
        </is>
      </c>
      <c r="C1134" s="5" t="inlineStr">
        <is>
          <t>快手</t>
        </is>
      </c>
      <c r="D1134" s="5" t="n"/>
      <c r="E1134" s="5" t="n"/>
      <c r="F1134" s="5" t="inlineStr">
        <is>
          <t>https://v.kuaishou.com/KwvcN0GP</t>
        </is>
      </c>
      <c r="G1134" s="5" t="inlineStr">
        <is>
          <t>1093W</t>
        </is>
      </c>
      <c r="H1134" s="5" t="inlineStr">
        <is>
          <t>鞠婧祎</t>
        </is>
      </c>
      <c r="I1134" s="5" t="n">
        <v>15.89</v>
      </c>
      <c r="J1134" s="5" t="n"/>
      <c r="K1134" s="5" t="n"/>
      <c r="L1134" s="5" t="n">
        <v>7129</v>
      </c>
      <c r="M1134" s="5" t="n">
        <v>363</v>
      </c>
      <c r="N1134" s="5" t="n">
        <v>7</v>
      </c>
      <c r="O1134" s="5" t="n">
        <v>104</v>
      </c>
      <c r="P1134" s="8">
        <f>IF(AND(M1262&lt;&gt;"",M1262&gt;0),M1262+N1262+O1262,"")</f>
        <v/>
      </c>
      <c r="Q1134" s="11">
        <f>IF(AND(L1262&lt;&gt;"",L1262&gt;0,P1262&lt;&gt;""),P1262/L1262,"")</f>
        <v/>
      </c>
      <c r="R1134" s="16">
        <f>IF(AND(P1262&lt;&gt;"",P1262&gt;0),(I1262+J1262+K1262)/P1262,"")</f>
        <v/>
      </c>
    </row>
    <row r="1135" ht="27" customHeight="1">
      <c r="A1135" s="5" t="inlineStr">
        <is>
          <t>2026-07-10</t>
        </is>
      </c>
      <c r="B1135" s="5" t="inlineStr">
        <is>
          <t>28周</t>
        </is>
      </c>
      <c r="C1135" s="5" t="inlineStr">
        <is>
          <t>抖音</t>
        </is>
      </c>
      <c r="D1135" s="5" t="n"/>
      <c r="E1135" s="5" t="n"/>
      <c r="F1135" s="5" t="inlineStr">
        <is>
          <t>https://v.douyin.com/0YuOP85Izzw/ 03/25 a@A.tr pqR:/ :2pm</t>
        </is>
      </c>
      <c r="G1135" s="5" t="inlineStr">
        <is>
          <t>489</t>
        </is>
      </c>
      <c r="H1135" s="5" t="inlineStr">
        <is>
          <t>赵露思</t>
        </is>
      </c>
      <c r="I1135" s="5" t="n">
        <v>24.625</v>
      </c>
      <c r="J1135" s="5" t="n"/>
      <c r="K1135" s="5" t="n"/>
      <c r="L1135" s="5" t="n">
        <v>31000</v>
      </c>
      <c r="M1135" s="5" t="n">
        <v>1927</v>
      </c>
      <c r="N1135" s="5" t="n">
        <v>158</v>
      </c>
      <c r="O1135" s="5" t="n">
        <v>79</v>
      </c>
      <c r="P1135" s="8">
        <f>IF(AND(M1263&lt;&gt;"",M1263&gt;0),M1263+N1263+O1263,"")</f>
        <v/>
      </c>
      <c r="Q1135" s="11">
        <f>IF(AND(L1263&lt;&gt;"",L1263&gt;0,P1263&lt;&gt;""),P1263/L1263,"")</f>
        <v/>
      </c>
      <c r="R1135" s="16">
        <f>IF(AND(P1263&lt;&gt;"",P1263&gt;0),(I1263+J1263+K1263)/P1263,"")</f>
        <v/>
      </c>
    </row>
    <row r="1136" ht="27" customHeight="1">
      <c r="A1136" s="5" t="inlineStr">
        <is>
          <t>2026-07-10</t>
        </is>
      </c>
      <c r="B1136" s="5" t="inlineStr">
        <is>
          <t>28周</t>
        </is>
      </c>
      <c r="C1136" s="5" t="inlineStr">
        <is>
          <t>抖音</t>
        </is>
      </c>
      <c r="D1136" s="5" t="n"/>
      <c r="E1136" s="5" t="n"/>
      <c r="F1136" s="5" t="inlineStr">
        <is>
          <t>https://v.douyin.com/9HmMuPdrHLI/</t>
        </is>
      </c>
      <c r="G1136" s="5" t="inlineStr">
        <is>
          <t>1093W</t>
        </is>
      </c>
      <c r="H1136" s="5" t="inlineStr">
        <is>
          <t>张桂源</t>
        </is>
      </c>
      <c r="I1136" s="5" t="n">
        <v>23.835</v>
      </c>
      <c r="J1136" s="5" t="n"/>
      <c r="K1136" s="5" t="n"/>
      <c r="L1136" s="5" t="n">
        <v>29000</v>
      </c>
      <c r="M1136" s="5" t="n">
        <v>1388</v>
      </c>
      <c r="N1136" s="5" t="n">
        <v>280</v>
      </c>
      <c r="O1136" s="5" t="n">
        <v>42</v>
      </c>
      <c r="P1136" s="8">
        <f>IF(AND(M1264&lt;&gt;"",M1264&gt;0),M1264+N1264+O1264,"")</f>
        <v/>
      </c>
      <c r="Q1136" s="11">
        <f>IF(AND(L1264&lt;&gt;"",L1264&gt;0,P1264&lt;&gt;""),P1264/L1264,"")</f>
        <v/>
      </c>
      <c r="R1136" s="16">
        <f>IF(AND(P1264&lt;&gt;"",P1264&gt;0),(I1264+J1264+K1264)/P1264,"")</f>
        <v/>
      </c>
    </row>
    <row r="1137" ht="27" customHeight="1">
      <c r="A1137" s="5" t="inlineStr">
        <is>
          <t>2026-07-10</t>
        </is>
      </c>
      <c r="B1137" s="5" t="inlineStr">
        <is>
          <t>28周</t>
        </is>
      </c>
      <c r="C1137" s="5" t="inlineStr">
        <is>
          <t>抖音</t>
        </is>
      </c>
      <c r="D1137" s="5" t="n"/>
      <c r="E1137" s="5" t="n"/>
      <c r="F1137" s="5" t="inlineStr">
        <is>
          <t>https://v.douyin.com/6CRpuli8F3M/</t>
        </is>
      </c>
      <c r="G1137" s="5" t="inlineStr">
        <is>
          <t>0003A2</t>
        </is>
      </c>
      <c r="H1137" s="5" t="inlineStr">
        <is>
          <t>陈浚铭</t>
        </is>
      </c>
      <c r="I1137" s="5" t="n">
        <v>48.375</v>
      </c>
      <c r="J1137" s="5" t="n"/>
      <c r="K1137" s="5" t="n"/>
      <c r="L1137" s="5" t="n">
        <v>15000</v>
      </c>
      <c r="M1137" s="5" t="n">
        <v>2156</v>
      </c>
      <c r="N1137" s="5" t="n">
        <v>40</v>
      </c>
      <c r="O1137" s="5" t="n">
        <v>110</v>
      </c>
      <c r="P1137" s="8">
        <f>IF(AND(M1265&lt;&gt;"",M1265&gt;0),M1265+N1265+O1265,"")</f>
        <v/>
      </c>
      <c r="Q1137" s="11">
        <f>IF(AND(L1265&lt;&gt;"",L1265&gt;0,P1265&lt;&gt;""),P1265/L1265,"")</f>
        <v/>
      </c>
      <c r="R1137" s="16">
        <f>IF(AND(P1265&lt;&gt;"",P1265&gt;0),(I1265+J1265+K1265)/P1265,"")</f>
        <v/>
      </c>
    </row>
    <row r="1138" ht="27" customHeight="1">
      <c r="A1138" s="5" t="inlineStr">
        <is>
          <t>2026-07-10</t>
        </is>
      </c>
      <c r="B1138" s="5" t="inlineStr">
        <is>
          <t>28周</t>
        </is>
      </c>
      <c r="C1138" s="5" t="inlineStr">
        <is>
          <t>快手</t>
        </is>
      </c>
      <c r="D1138" s="5" t="n"/>
      <c r="E1138" s="5" t="n"/>
      <c r="F1138" s="5" t="inlineStr">
        <is>
          <t>https://v.kuaishou.com/KEznrPbN</t>
        </is>
      </c>
      <c r="G1138" s="5" t="inlineStr">
        <is>
          <t>0003A2</t>
        </is>
      </c>
      <c r="H1138" s="5" t="inlineStr">
        <is>
          <t>陈浚铭</t>
        </is>
      </c>
      <c r="I1138" s="5" t="n">
        <v>48.375</v>
      </c>
      <c r="J1138" s="5" t="n"/>
      <c r="K1138" s="5" t="n"/>
      <c r="L1138" s="5" t="n">
        <v>31000</v>
      </c>
      <c r="M1138" s="5" t="n">
        <v>5284</v>
      </c>
      <c r="N1138" s="5" t="n">
        <v>96</v>
      </c>
      <c r="O1138" s="5" t="n">
        <v>641</v>
      </c>
      <c r="P1138" s="8">
        <f>IF(AND(M1266&lt;&gt;"",M1266&gt;0),M1266+N1266+O1266,"")</f>
        <v/>
      </c>
      <c r="Q1138" s="11">
        <f>IF(AND(L1266&lt;&gt;"",L1266&gt;0,P1266&lt;&gt;""),P1266/L1266,"")</f>
        <v/>
      </c>
      <c r="R1138" s="16">
        <f>IF(AND(P1266&lt;&gt;"",P1266&gt;0),(I1266+J1266+K1266)/P1266,"")</f>
        <v/>
      </c>
    </row>
    <row r="1139" ht="27" customHeight="1">
      <c r="A1139" s="5" t="inlineStr">
        <is>
          <t>2026-07-10</t>
        </is>
      </c>
      <c r="B1139" s="5" t="inlineStr">
        <is>
          <t>28周</t>
        </is>
      </c>
      <c r="C1139" s="5" t="inlineStr">
        <is>
          <t>抖音</t>
        </is>
      </c>
      <c r="D1139" s="5" t="n"/>
      <c r="E1139" s="5" t="n"/>
      <c r="F1139" s="5" t="inlineStr">
        <is>
          <t>https://v.douyin.com/QOgoE-2ddQg/</t>
        </is>
      </c>
      <c r="G1139" s="5" t="inlineStr">
        <is>
          <t>489</t>
        </is>
      </c>
      <c r="H1139" s="5" t="inlineStr">
        <is>
          <t>陈奕恒</t>
        </is>
      </c>
      <c r="I1139" s="5" t="n">
        <v>24.625</v>
      </c>
      <c r="J1139" s="5" t="n"/>
      <c r="K1139" s="5" t="n"/>
      <c r="L1139" s="5" t="n">
        <v>1282</v>
      </c>
      <c r="M1139" s="5" t="n">
        <v>322</v>
      </c>
      <c r="N1139" s="5" t="n">
        <v>3</v>
      </c>
      <c r="O1139" s="5" t="n">
        <v>17</v>
      </c>
      <c r="P1139" s="8">
        <f>IF(AND(M1267&lt;&gt;"",M1267&gt;0),M1267+N1267+O1267,"")</f>
        <v/>
      </c>
      <c r="Q1139" s="11">
        <f>IF(AND(L1267&lt;&gt;"",L1267&gt;0,P1267&lt;&gt;""),P1267/L1267,"")</f>
        <v/>
      </c>
      <c r="R1139" s="16">
        <f>IF(AND(P1267&lt;&gt;"",P1267&gt;0),(I1267+J1267+K1267)/P1267,"")</f>
        <v/>
      </c>
    </row>
    <row r="1140" ht="27" customHeight="1">
      <c r="A1140" s="5" t="inlineStr">
        <is>
          <t>2026-07-10</t>
        </is>
      </c>
      <c r="B1140" s="5" t="inlineStr">
        <is>
          <t>28周</t>
        </is>
      </c>
      <c r="C1140" s="5" t="inlineStr">
        <is>
          <t>抖音</t>
        </is>
      </c>
      <c r="D1140" s="5" t="n"/>
      <c r="E1140" s="5" t="n"/>
      <c r="F1140" s="5" t="inlineStr">
        <is>
          <t>https://v.douyin.com/5jUdRdpo9N4/ 03/24 L</t>
        </is>
      </c>
      <c r="G1140" s="5" t="inlineStr">
        <is>
          <t>1093W</t>
        </is>
      </c>
      <c r="H1140" s="5" t="inlineStr">
        <is>
          <t>左奇函</t>
        </is>
      </c>
      <c r="I1140" s="5" t="n">
        <v>23.835</v>
      </c>
      <c r="J1140" s="5" t="n"/>
      <c r="K1140" s="5" t="n"/>
      <c r="L1140" s="5" t="n">
        <v>6394</v>
      </c>
      <c r="M1140" s="5" t="n">
        <v>522</v>
      </c>
      <c r="N1140" s="5" t="n">
        <v>47</v>
      </c>
      <c r="O1140" s="5" t="n">
        <v>19</v>
      </c>
      <c r="P1140" s="8">
        <f>IF(AND(M1268&lt;&gt;"",M1268&gt;0),M1268+N1268+O1268,"")</f>
        <v/>
      </c>
      <c r="Q1140" s="11">
        <f>IF(AND(L1268&lt;&gt;"",L1268&gt;0,P1268&lt;&gt;""),P1268/L1268,"")</f>
        <v/>
      </c>
      <c r="R1140" s="16">
        <f>IF(AND(P1268&lt;&gt;"",P1268&gt;0),(I1268+J1268+K1268)/P1268,"")</f>
        <v/>
      </c>
    </row>
    <row r="1141" ht="40.5" customHeight="1">
      <c r="A1141" s="5" t="inlineStr">
        <is>
          <t>2026-07-10</t>
        </is>
      </c>
      <c r="B1141" s="5" t="inlineStr">
        <is>
          <t>28周</t>
        </is>
      </c>
      <c r="C1141" s="5" t="inlineStr">
        <is>
          <t>抖音</t>
        </is>
      </c>
      <c r="D1141" s="5" t="n"/>
      <c r="E1141" s="5" t="n"/>
      <c r="F1141" s="5" t="inlineStr">
        <is>
          <t>https://v.douyin.com/J4wbPVLSR3E/</t>
        </is>
      </c>
      <c r="G1141" s="5" t="inlineStr">
        <is>
          <t>1093W</t>
        </is>
      </c>
      <c r="H1141" s="5" t="inlineStr">
        <is>
          <t>穆祉丞</t>
        </is>
      </c>
      <c r="I1141" s="5" t="n">
        <v>15.89</v>
      </c>
      <c r="J1141" s="5" t="n"/>
      <c r="K1141" s="5" t="n"/>
      <c r="L1141" s="5" t="n">
        <v>1510</v>
      </c>
      <c r="M1141" s="5" t="n">
        <v>94</v>
      </c>
      <c r="N1141" s="5" t="n">
        <v>11</v>
      </c>
      <c r="O1141" s="5" t="n">
        <v>22</v>
      </c>
      <c r="P1141" s="8">
        <f>IF(AND(M1269&lt;&gt;"",M1269&gt;0),M1269+N1269+O1269,"")</f>
        <v/>
      </c>
      <c r="Q1141" s="11">
        <f>IF(AND(L1269&lt;&gt;"",L1269&gt;0,P1269&lt;&gt;""),P1269/L1269,"")</f>
        <v/>
      </c>
      <c r="R1141" s="16">
        <f>IF(AND(P1269&lt;&gt;"",P1269&gt;0),(I1269+J1269+K1269)/P1269,"")</f>
        <v/>
      </c>
    </row>
    <row r="1142" ht="81" customHeight="1">
      <c r="A1142" s="5" t="inlineStr">
        <is>
          <t>2026-07-10</t>
        </is>
      </c>
      <c r="B1142" s="5" t="inlineStr">
        <is>
          <t>28周</t>
        </is>
      </c>
      <c r="C1142" s="5" t="inlineStr">
        <is>
          <t>快手</t>
        </is>
      </c>
      <c r="D1142" s="5" t="n"/>
      <c r="E1142" s="5" t="n"/>
      <c r="F1142" s="5" t="inlineStr">
        <is>
          <t>https://www.kuaishou.com/short-video/3xznfhzk72a2unu?cc=share_wxms&amp;followRefer=151&amp;shareMethod=VIDEO&amp;docId=10&amp;kpn=KUAISHOU&amp;subBiz=BROWSE_SLIDE_PHOTO&amp;photoId=3xznfhzk72a2unu&amp;shareId=19033005886886&amp;shareToken=X87cBExVUaOPJeR&amp;shareResourceType=PHOTO_SELF&amp;userId=3xrnyqu48uykbes&amp;shareType=2&amp;et=1_a%252F2006053114813594210_p0&amp;shareMode=APP&amp;efid=3xrnyqu48uykbes&amp;originShareId=19033005886886&amp;appType=21&amp;shareObjectId=5212072344620088863&amp;shareUrlOpened=0&amp;timestamp=1783908907785&amp;utm_source=app_share&amp;utm_medium=app_share&amp;utm_campaign=app_share&amp;location=app_share</t>
        </is>
      </c>
      <c r="G1142" s="5" t="inlineStr">
        <is>
          <t>1093W</t>
        </is>
      </c>
      <c r="H1142" s="5" t="inlineStr">
        <is>
          <t>穆祉丞</t>
        </is>
      </c>
      <c r="I1142" s="5" t="n">
        <v>15.89</v>
      </c>
      <c r="J1142" s="5" t="n"/>
      <c r="K1142" s="5" t="n"/>
      <c r="L1142" s="5" t="n">
        <v>3002</v>
      </c>
      <c r="M1142" s="5" t="n">
        <v>19</v>
      </c>
      <c r="N1142" s="5" t="n">
        <v>0</v>
      </c>
      <c r="O1142" s="5" t="n">
        <v>3</v>
      </c>
      <c r="P1142" s="8">
        <f>IF(AND(M1270&lt;&gt;"",M1270&gt;0),M1270+N1270+O1270,"")</f>
        <v/>
      </c>
      <c r="Q1142" s="11">
        <f>IF(AND(L1270&lt;&gt;"",L1270&gt;0,P1270&lt;&gt;""),P1270/L1270,"")</f>
        <v/>
      </c>
      <c r="R1142" s="16">
        <f>IF(AND(P1270&lt;&gt;"",P1270&gt;0),(I1270+J1270+K1270)/P1270,"")</f>
        <v/>
      </c>
    </row>
    <row r="1143" ht="27" customHeight="1">
      <c r="A1143" s="5" t="inlineStr">
        <is>
          <t>2026-07-10</t>
        </is>
      </c>
      <c r="B1143" s="5" t="inlineStr">
        <is>
          <t>28周</t>
        </is>
      </c>
      <c r="C1143" s="5" t="inlineStr">
        <is>
          <t>抖音</t>
        </is>
      </c>
      <c r="D1143" s="5" t="n"/>
      <c r="E1143" s="5" t="n"/>
      <c r="F1143" s="5" t="inlineStr">
        <is>
          <t>https://v.douyin.com/YLpiQEqDV6I/</t>
        </is>
      </c>
      <c r="G1143" s="5" t="inlineStr">
        <is>
          <t>1093W</t>
        </is>
      </c>
      <c r="H1143" s="5" t="inlineStr">
        <is>
          <t>穆祉丞</t>
        </is>
      </c>
      <c r="I1143" s="5" t="n">
        <v>46.67</v>
      </c>
      <c r="J1143" s="5" t="n"/>
      <c r="K1143" s="5" t="n"/>
      <c r="L1143" s="5" t="n">
        <v>2065</v>
      </c>
      <c r="M1143" s="5" t="n">
        <v>221</v>
      </c>
      <c r="N1143" s="5" t="n">
        <v>3</v>
      </c>
      <c r="O1143" s="5" t="n">
        <v>14</v>
      </c>
      <c r="P1143" s="8">
        <f>IF(AND(M1271&lt;&gt;"",M1271&gt;0),M1271+N1271+O1271,"")</f>
        <v/>
      </c>
      <c r="Q1143" s="11">
        <f>IF(AND(L1271&lt;&gt;"",L1271&gt;0,P1271&lt;&gt;""),P1271/L1271,"")</f>
        <v/>
      </c>
      <c r="R1143" s="16">
        <f>IF(AND(P1271&lt;&gt;"",P1271&gt;0),(I1271+J1271+K1271)/P1271,"")</f>
        <v/>
      </c>
    </row>
    <row r="1144" ht="108" customHeight="1">
      <c r="A1144" s="5" t="inlineStr">
        <is>
          <t>2026-07-10</t>
        </is>
      </c>
      <c r="B1144" s="5" t="inlineStr">
        <is>
          <t>28周</t>
        </is>
      </c>
      <c r="C1144" s="5" t="inlineStr">
        <is>
          <t>抖音</t>
        </is>
      </c>
      <c r="D1144" s="5" t="n"/>
      <c r="E1144" s="5" t="n"/>
      <c r="F1144" s="5" t="inlineStr">
        <is>
          <t>https://www.douyin.com/user/MS4wLjABAAAAhZeLmP4RG6LuBkNaHH-Lru_JhbDj-t243XNWUCGzb4Vs5iYPyDn0lGZDKfn50QAL?from_tab_name=main&amp;modal_id=7660853456781864625</t>
        </is>
      </c>
      <c r="G1144" s="5" t="inlineStr">
        <is>
          <t>459</t>
        </is>
      </c>
      <c r="H1144" s="5" t="inlineStr">
        <is>
          <t>跳舞穿搭</t>
        </is>
      </c>
      <c r="I1144" s="5" t="n">
        <v>10.03</v>
      </c>
      <c r="J1144" s="5" t="n"/>
      <c r="K1144" s="5" t="n"/>
      <c r="L1144" s="5" t="n">
        <v>11000</v>
      </c>
      <c r="M1144" s="5" t="n">
        <v>665</v>
      </c>
      <c r="N1144" s="5" t="n">
        <v>56</v>
      </c>
      <c r="O1144" s="5" t="n">
        <v>29</v>
      </c>
      <c r="P1144" s="8">
        <f>IF(AND(M1272&lt;&gt;"",M1272&gt;0),M1272+N1272+O1272,"")</f>
        <v/>
      </c>
      <c r="Q1144" s="11">
        <f>IF(AND(L1272&lt;&gt;"",L1272&gt;0,P1272&lt;&gt;""),P1272/L1272,"")</f>
        <v/>
      </c>
      <c r="R1144" s="16">
        <f>IF(AND(P1272&lt;&gt;"",P1272&gt;0),(I1272+J1272+K1272)/P1272,"")</f>
        <v/>
      </c>
    </row>
    <row r="1145" ht="27" customHeight="1">
      <c r="A1145" s="5" t="inlineStr">
        <is>
          <t>2026-07-10</t>
        </is>
      </c>
      <c r="B1145" s="5" t="inlineStr">
        <is>
          <t>28周</t>
        </is>
      </c>
      <c r="C1145" s="5" t="inlineStr">
        <is>
          <t>抖音</t>
        </is>
      </c>
      <c r="D1145" s="5" t="n"/>
      <c r="E1145" s="5" t="n"/>
      <c r="F1145" s="5" t="inlineStr">
        <is>
          <t>https://www.douyin.com/user/self?from_tab_name=main&amp;modal_id=7660871717435598410&amp;showTab=like</t>
        </is>
      </c>
      <c r="G1145" s="5" t="inlineStr">
        <is>
          <t>489</t>
        </is>
      </c>
      <c r="H1145" s="5" t="inlineStr">
        <is>
          <t>杨紫</t>
        </is>
      </c>
      <c r="I1145" s="5" t="n">
        <v>49.25</v>
      </c>
      <c r="J1145" s="5" t="n"/>
      <c r="K1145" s="5" t="n"/>
      <c r="L1145" s="5" t="n">
        <v>876</v>
      </c>
      <c r="M1145" s="5" t="n">
        <v>190</v>
      </c>
      <c r="N1145" s="5" t="n">
        <v>3</v>
      </c>
      <c r="O1145" s="5" t="n">
        <v>7</v>
      </c>
      <c r="P1145" s="8">
        <f>IF(AND(M1273&lt;&gt;"",M1273&gt;0),M1273+N1273+O1273,"")</f>
        <v/>
      </c>
      <c r="Q1145" s="11">
        <f>IF(AND(L1273&lt;&gt;"",L1273&gt;0,P1273&lt;&gt;""),P1273/L1273,"")</f>
        <v/>
      </c>
      <c r="R1145" s="16">
        <f>IF(AND(P1273&lt;&gt;"",P1273&gt;0),(I1273+J1273+K1273)/P1273,"")</f>
        <v/>
      </c>
    </row>
    <row r="1146" ht="81" customHeight="1">
      <c r="A1146" s="5" t="inlineStr">
        <is>
          <t>2026-07-10</t>
        </is>
      </c>
      <c r="B1146" s="5" t="inlineStr">
        <is>
          <t>28周</t>
        </is>
      </c>
      <c r="C1146" s="5" t="inlineStr">
        <is>
          <t>抖音</t>
        </is>
      </c>
      <c r="D1146" s="5" t="n"/>
      <c r="E1146" s="5" t="n"/>
      <c r="F1146" s="5" t="inlineStr">
        <is>
          <t>https://www.douyin.com/user/self?from_tab_name=main&amp;modal_id=7660492707366702577&amp;showTab=like</t>
        </is>
      </c>
      <c r="G1146" s="5" t="inlineStr">
        <is>
          <t>459</t>
        </is>
      </c>
      <c r="H1146" s="5" t="inlineStr">
        <is>
          <t>鞋子合集</t>
        </is>
      </c>
      <c r="I1146" s="5" t="n">
        <v>290.045</v>
      </c>
      <c r="J1146" s="5" t="n"/>
      <c r="K1146" s="5" t="n"/>
      <c r="L1146" s="5" t="n">
        <v>10000</v>
      </c>
      <c r="M1146" s="5" t="n">
        <v>190</v>
      </c>
      <c r="N1146" s="5" t="n">
        <v>67</v>
      </c>
      <c r="O1146" s="5" t="n">
        <v>15</v>
      </c>
      <c r="P1146" s="8">
        <f>IF(AND(M1274&lt;&gt;"",M1274&gt;0),M1274+N1274+O1274,"")</f>
        <v/>
      </c>
      <c r="Q1146" s="11">
        <f>IF(AND(L1274&lt;&gt;"",L1274&gt;0,P1274&lt;&gt;""),P1274/L1274,"")</f>
        <v/>
      </c>
      <c r="R1146" s="16">
        <f>IF(AND(P1274&lt;&gt;"",P1274&gt;0),(I1274+J1274+K1274)/P1274,"")</f>
        <v/>
      </c>
    </row>
    <row r="1147" ht="27" customHeight="1">
      <c r="A1147" s="5" t="inlineStr">
        <is>
          <t>2026-07-10</t>
        </is>
      </c>
      <c r="B1147" s="5" t="inlineStr">
        <is>
          <t>28周</t>
        </is>
      </c>
      <c r="C1147" s="5" t="inlineStr">
        <is>
          <t>抖音</t>
        </is>
      </c>
      <c r="D1147" s="5" t="n"/>
      <c r="E1147" s="5" t="n"/>
      <c r="F1147" s="5" t="inlineStr">
        <is>
          <t>https://v.douyin.com/oFKBFgAqI0E/</t>
        </is>
      </c>
      <c r="G1147" s="5" t="inlineStr">
        <is>
          <t>1093W</t>
        </is>
      </c>
      <c r="H1147" s="5" t="inlineStr">
        <is>
          <t>穆祉丞</t>
        </is>
      </c>
      <c r="I1147" s="5" t="n">
        <v>47.67</v>
      </c>
      <c r="J1147" s="5" t="n"/>
      <c r="K1147" s="5" t="n"/>
      <c r="L1147" s="5" t="n">
        <v>1403</v>
      </c>
      <c r="M1147" s="5" t="n">
        <v>76</v>
      </c>
      <c r="N1147" s="5" t="n">
        <v>13</v>
      </c>
      <c r="O1147" s="5" t="n">
        <v>6</v>
      </c>
      <c r="P1147" s="8">
        <f>IF(AND(M1275&lt;&gt;"",M1275&gt;0),M1275+N1275+O1275,"")</f>
        <v/>
      </c>
      <c r="Q1147" s="11">
        <f>IF(AND(L1275&lt;&gt;"",L1275&gt;0,P1275&lt;&gt;""),P1275/L1275,"")</f>
        <v/>
      </c>
      <c r="R1147" s="16">
        <f>IF(AND(P1275&lt;&gt;"",P1275&gt;0),(I1275+J1275+K1275)/P1275,"")</f>
        <v/>
      </c>
    </row>
    <row r="1148" ht="40.5" customHeight="1">
      <c r="A1148" s="5" t="inlineStr">
        <is>
          <t>2026-07-10</t>
        </is>
      </c>
      <c r="B1148" s="5" t="inlineStr">
        <is>
          <t>28周</t>
        </is>
      </c>
      <c r="C1148" s="5" t="inlineStr">
        <is>
          <t>小红书</t>
        </is>
      </c>
      <c r="D1148" s="5" t="n"/>
      <c r="E1148" s="5" t="n"/>
      <c r="F1148" s="5" t="inlineStr">
        <is>
          <t>https://www.xiaohongshu.com/discovery/item/6a50a0150000000006020c4e?xsec_token=CBIGStI3uuCxLgL8trq3747Q7G_m6rx9lOPOCzD0EUI1I=&amp;xsec_source=app_share&amp;type=video</t>
        </is>
      </c>
      <c r="G1148" s="5" t="inlineStr">
        <is>
          <t>1093W</t>
        </is>
      </c>
      <c r="H1148" s="5" t="inlineStr">
        <is>
          <t>鞠婧祎</t>
        </is>
      </c>
      <c r="I1148" s="5" t="n">
        <v>15.89</v>
      </c>
      <c r="J1148" s="5" t="n"/>
      <c r="K1148" s="5" t="n"/>
      <c r="L1148" s="5" t="n">
        <v>2625</v>
      </c>
      <c r="M1148" s="5" t="n">
        <v>159</v>
      </c>
      <c r="N1148" s="5" t="n">
        <v>26</v>
      </c>
      <c r="O1148" s="5" t="n">
        <v>26</v>
      </c>
      <c r="P1148" s="8">
        <f>IF(AND(M1276&lt;&gt;"",M1276&gt;0),M1276+N1276+O1276,"")</f>
        <v/>
      </c>
      <c r="Q1148" s="11">
        <f>IF(AND(L1276&lt;&gt;"",L1276&gt;0,P1276&lt;&gt;""),P1276/L1276,"")</f>
        <v/>
      </c>
      <c r="R1148" s="16">
        <f>IF(AND(P1276&lt;&gt;"",P1276&gt;0),(I1276+J1276+K1276)/P1276,"")</f>
        <v/>
      </c>
    </row>
    <row r="1149" ht="67.5" customHeight="1">
      <c r="A1149" s="5" t="inlineStr">
        <is>
          <t>2026-07-10</t>
        </is>
      </c>
      <c r="B1149" s="5" t="inlineStr">
        <is>
          <t>28周</t>
        </is>
      </c>
      <c r="C1149" s="5" t="inlineStr">
        <is>
          <t>小红书</t>
        </is>
      </c>
      <c r="D1149" s="5" t="n"/>
      <c r="E1149" s="5" t="n"/>
      <c r="F1149" s="5" t="inlineStr">
        <is>
          <t>https://www.xiaohongshu.com/discovery/item/6a50b97800000000210086d7?xsec_token=CBIGStI3uuCxLgL8trq3747QXVZX5eRMvzXd_Dd4KrCVk=&amp;xsec_source=app_share</t>
        </is>
      </c>
      <c r="G1149" s="5" t="inlineStr">
        <is>
          <t>489</t>
        </is>
      </c>
      <c r="H1149" s="5" t="inlineStr">
        <is>
          <t>马嘉祺</t>
        </is>
      </c>
      <c r="I1149" s="5" t="n">
        <v>24.625</v>
      </c>
      <c r="J1149" s="5" t="n"/>
      <c r="K1149" s="5" t="n"/>
      <c r="L1149" s="5" t="n">
        <v>430</v>
      </c>
      <c r="M1149" s="5" t="n">
        <v>18</v>
      </c>
      <c r="N1149" s="5" t="n">
        <v>1</v>
      </c>
      <c r="O1149" s="5" t="n">
        <v>7</v>
      </c>
      <c r="P1149" s="8">
        <f>IF(AND(M1277&lt;&gt;"",M1277&gt;0),M1277+N1277+O1277,"")</f>
        <v/>
      </c>
      <c r="Q1149" s="11">
        <f>IF(AND(L1277&lt;&gt;"",L1277&gt;0,P1277&lt;&gt;""),P1277/L1277,"")</f>
        <v/>
      </c>
      <c r="R1149" s="16">
        <f>IF(AND(P1277&lt;&gt;"",P1277&gt;0),(I1277+J1277+K1277)/P1277,"")</f>
        <v/>
      </c>
    </row>
    <row r="1150" ht="81" customHeight="1">
      <c r="A1150" s="5" t="inlineStr">
        <is>
          <t>2026-07-10</t>
        </is>
      </c>
      <c r="B1150" s="5" t="inlineStr">
        <is>
          <t>28周</t>
        </is>
      </c>
      <c r="C1150" s="5" t="inlineStr">
        <is>
          <t>小红书</t>
        </is>
      </c>
      <c r="D1150" s="5" t="n"/>
      <c r="E1150" s="5" t="n"/>
      <c r="F1150" s="5" t="inlineStr">
        <is>
          <t>https://www.xiaohongshu.com/discovery/item/6a50cc020000000007020c14?xsec_token=CBMeSWvY58IyKC0tMu60d-l3hT918mUInm46tUK4UdCQs=&amp;xsec_source=app_share&amp;type=video</t>
        </is>
      </c>
      <c r="G1150" s="5" t="inlineStr">
        <is>
          <t>1093W</t>
        </is>
      </c>
      <c r="H1150" s="5" t="inlineStr">
        <is>
          <t>左奇函</t>
        </is>
      </c>
      <c r="I1150" s="5" t="n">
        <v>23.835</v>
      </c>
      <c r="J1150" s="5" t="n"/>
      <c r="K1150" s="5" t="n"/>
      <c r="L1150" s="5" t="n">
        <v>5287</v>
      </c>
      <c r="M1150" s="5" t="n">
        <v>377</v>
      </c>
      <c r="N1150" s="5" t="n">
        <v>84</v>
      </c>
      <c r="O1150" s="5" t="n">
        <v>12</v>
      </c>
      <c r="P1150" s="8">
        <f>IF(AND(M1278&lt;&gt;"",M1278&gt;0),M1278+N1278+O1278,"")</f>
        <v/>
      </c>
      <c r="Q1150" s="11">
        <f>IF(AND(L1278&lt;&gt;"",L1278&gt;0,P1278&lt;&gt;""),P1278/L1278,"")</f>
        <v/>
      </c>
      <c r="R1150" s="16">
        <f>IF(AND(P1278&lt;&gt;"",P1278&gt;0),(I1278+J1278+K1278)/P1278,"")</f>
        <v/>
      </c>
    </row>
    <row r="1151" ht="67.5" customHeight="1">
      <c r="A1151" s="5" t="inlineStr">
        <is>
          <t>2026-07-10</t>
        </is>
      </c>
      <c r="B1151" s="5" t="inlineStr">
        <is>
          <t>28周</t>
        </is>
      </c>
      <c r="C1151" s="5" t="inlineStr">
        <is>
          <t>小红书</t>
        </is>
      </c>
      <c r="D1151" s="5" t="n"/>
      <c r="E1151" s="5" t="n"/>
      <c r="F1151" s="5" t="inlineStr">
        <is>
          <t>https://www.xiaohongshu.com/discovery/item/6a50cefc000000000f028f30?xsec_token=CB0QNtlbnBC4r25GYu-dIo7YlQdusVdPVTyNx5XY8uCv0=&amp;xsec_source=app_share&amp;type=video</t>
        </is>
      </c>
      <c r="G1151" s="5" t="inlineStr">
        <is>
          <t>459</t>
        </is>
      </c>
      <c r="H1151" s="5" t="inlineStr">
        <is>
          <t>跳舞穿搭</t>
        </is>
      </c>
      <c r="I1151" s="5" t="n">
        <v>10.03</v>
      </c>
      <c r="J1151" s="5" t="n"/>
      <c r="K1151" s="5" t="n"/>
      <c r="L1151" s="5" t="n">
        <v>4579</v>
      </c>
      <c r="M1151" s="5" t="n">
        <v>351</v>
      </c>
      <c r="N1151" s="5" t="n">
        <v>34</v>
      </c>
      <c r="O1151" s="5" t="n">
        <v>16</v>
      </c>
      <c r="P1151" s="8">
        <f>IF(AND(M1279&lt;&gt;"",M1279&gt;0),M1279+N1279+O1279,"")</f>
        <v/>
      </c>
      <c r="Q1151" s="11">
        <f>IF(AND(L1279&lt;&gt;"",L1279&gt;0,P1279&lt;&gt;""),P1279/L1279,"")</f>
        <v/>
      </c>
      <c r="R1151" s="16">
        <f>IF(AND(P1279&lt;&gt;"",P1279&gt;0),(I1279+J1279+K1279)/P1279,"")</f>
        <v/>
      </c>
    </row>
    <row r="1152" ht="81" customHeight="1">
      <c r="A1152" s="5" t="inlineStr">
        <is>
          <t>2026-07-10</t>
        </is>
      </c>
      <c r="B1152" s="5" t="inlineStr">
        <is>
          <t>28周</t>
        </is>
      </c>
      <c r="C1152" s="5" t="inlineStr">
        <is>
          <t>小红书</t>
        </is>
      </c>
      <c r="D1152" s="5" t="n"/>
      <c r="E1152" s="5" t="n"/>
      <c r="F1152" s="5" t="inlineStr">
        <is>
          <t>https://www.xiaohongshu.com/discovery/item/6a50d0b80000000011006e09?xsec_token=CBMeSWvY58IyKC0tMu60d-l3HWQtzJ8bQSsV2fA__DQsI=&amp;xsec_source=app_share&amp;type=video</t>
        </is>
      </c>
      <c r="G1152" s="5" t="inlineStr">
        <is>
          <t>489</t>
        </is>
      </c>
      <c r="H1152" s="5" t="inlineStr">
        <is>
          <t>赵露思</t>
        </is>
      </c>
      <c r="I1152" s="5" t="n">
        <v>24.625</v>
      </c>
      <c r="J1152" s="5" t="n"/>
      <c r="K1152" s="5" t="n"/>
      <c r="L1152" s="5" t="n">
        <v>2171</v>
      </c>
      <c r="M1152" s="5" t="n">
        <v>190</v>
      </c>
      <c r="N1152" s="5" t="n">
        <v>13</v>
      </c>
      <c r="O1152" s="5" t="n">
        <v>3</v>
      </c>
      <c r="P1152" s="8">
        <f>IF(AND(M1280&lt;&gt;"",M1280&gt;0),M1280+N1280+O1280,"")</f>
        <v/>
      </c>
      <c r="Q1152" s="11">
        <f>IF(AND(L1280&lt;&gt;"",L1280&gt;0,P1280&lt;&gt;""),P1280/L1280,"")</f>
        <v/>
      </c>
      <c r="R1152" s="16">
        <f>IF(AND(P1280&lt;&gt;"",P1280&gt;0),(I1280+J1280+K1280)/P1280,"")</f>
        <v/>
      </c>
    </row>
    <row r="1153" ht="81" customHeight="1">
      <c r="A1153" s="5" t="inlineStr">
        <is>
          <t>2026-07-10</t>
        </is>
      </c>
      <c r="B1153" s="5" t="inlineStr">
        <is>
          <t>28周</t>
        </is>
      </c>
      <c r="C1153" s="5" t="inlineStr">
        <is>
          <t>小红书</t>
        </is>
      </c>
      <c r="D1153" s="5" t="n"/>
      <c r="E1153" s="5" t="n"/>
      <c r="F1153" s="5" t="inlineStr">
        <is>
          <t>https://www.xiaohongshu.com/discovery/item/6a50d2dc0000000011016013?xsec_token=CBMeSWvY58IyKC0tMu60d-lxiu7-PxGc_7v6Fjh4FyqjQ=&amp;xsec_source=app_share&amp;type=video</t>
        </is>
      </c>
      <c r="G1153" s="5" t="inlineStr">
        <is>
          <t>1093W</t>
        </is>
      </c>
      <c r="H1153" s="5" t="inlineStr">
        <is>
          <t>张桂源</t>
        </is>
      </c>
      <c r="I1153" s="5" t="n">
        <v>23.835</v>
      </c>
      <c r="J1153" s="5" t="n"/>
      <c r="K1153" s="5" t="n"/>
      <c r="L1153" s="5" t="n">
        <v>100</v>
      </c>
      <c r="M1153" s="5" t="n">
        <v>7</v>
      </c>
      <c r="N1153" s="5" t="n">
        <v>0</v>
      </c>
      <c r="O1153" s="5" t="n">
        <v>1</v>
      </c>
      <c r="P1153" s="8">
        <f>IF(AND(M1281&lt;&gt;"",M1281&gt;0),M1281+N1281+O1281,"")</f>
        <v/>
      </c>
      <c r="Q1153" s="11">
        <f>IF(AND(L1281&lt;&gt;"",L1281&gt;0,P1281&lt;&gt;""),P1281/L1281,"")</f>
        <v/>
      </c>
      <c r="R1153" s="16">
        <f>IF(AND(P1281&lt;&gt;"",P1281&gt;0),(I1281+J1281+K1281)/P1281,"")</f>
        <v/>
      </c>
    </row>
    <row r="1154" ht="27" customHeight="1">
      <c r="A1154" s="5" t="inlineStr">
        <is>
          <t>2026-07-10</t>
        </is>
      </c>
      <c r="B1154" s="5" t="inlineStr">
        <is>
          <t>28周</t>
        </is>
      </c>
      <c r="C1154" s="5" t="inlineStr">
        <is>
          <t>小红书</t>
        </is>
      </c>
      <c r="D1154" s="5" t="n"/>
      <c r="E1154" s="5" t="n"/>
      <c r="F1154" s="5" t="inlineStr">
        <is>
          <t>https://www.xiaohongshu.com/discovery/item/6a5101df000000000803e57f?xsec_token=CBBEYrNAqV33fA9wkIsEA4zMISbeM2aJ61-dGer8YzgI4=&amp;xsec_source=app_share&amp;type=video</t>
        </is>
      </c>
      <c r="G1154" s="5" t="inlineStr">
        <is>
          <t>1093W</t>
        </is>
      </c>
      <c r="H1154" s="5" t="inlineStr">
        <is>
          <t>穆祉丞</t>
        </is>
      </c>
      <c r="I1154" s="5" t="n">
        <v>15.89</v>
      </c>
      <c r="J1154" s="5" t="n"/>
      <c r="K1154" s="5" t="n"/>
      <c r="L1154" s="5" t="n">
        <v>698</v>
      </c>
      <c r="M1154" s="5" t="n">
        <v>39</v>
      </c>
      <c r="N1154" s="5" t="n">
        <v>4</v>
      </c>
      <c r="O1154" s="5" t="n">
        <v>8</v>
      </c>
      <c r="P1154" s="8">
        <f>IF(AND(M1282&lt;&gt;"",M1282&gt;0),M1282+N1282+O1282,"")</f>
        <v/>
      </c>
      <c r="Q1154" s="11">
        <f>IF(AND(L1282&lt;&gt;"",L1282&gt;0,P1282&lt;&gt;""),P1282/L1282,"")</f>
        <v/>
      </c>
      <c r="R1154" s="16">
        <f>IF(AND(P1282&lt;&gt;"",P1282&gt;0),(I1282+J1282+K1282)/P1282,"")</f>
        <v/>
      </c>
    </row>
    <row r="1155" ht="67.5" customHeight="1">
      <c r="A1155" s="5" t="inlineStr">
        <is>
          <t>2026-07-11</t>
        </is>
      </c>
      <c r="B1155" s="5" t="inlineStr">
        <is>
          <t>28周</t>
        </is>
      </c>
      <c r="C1155" s="5" t="inlineStr">
        <is>
          <t>抖音</t>
        </is>
      </c>
      <c r="D1155" s="5" t="n"/>
      <c r="E1155" s="5" t="n"/>
      <c r="F1155" s="5" t="inlineStr">
        <is>
          <t>https://v.douyin.com/VREHPPFT5QI/</t>
        </is>
      </c>
      <c r="G1155" s="5" t="inlineStr">
        <is>
          <t>0003A2</t>
        </is>
      </c>
      <c r="H1155" s="5" t="inlineStr">
        <is>
          <t>刘轩丞</t>
        </is>
      </c>
      <c r="I1155" s="5" t="n">
        <v>98.75</v>
      </c>
      <c r="J1155" s="5" t="n"/>
      <c r="K1155" s="5" t="n"/>
      <c r="L1155" s="5" t="n">
        <v>7261</v>
      </c>
      <c r="M1155" s="5" t="n">
        <v>722</v>
      </c>
      <c r="N1155" s="5" t="n">
        <v>58</v>
      </c>
      <c r="O1155" s="5" t="n">
        <v>25</v>
      </c>
      <c r="P1155" s="8">
        <f>IF(AND(M1283&lt;&gt;"",M1283&gt;0),M1283+N1283+O1283,"")</f>
        <v/>
      </c>
      <c r="Q1155" s="11">
        <f>IF(AND(L1283&lt;&gt;"",L1283&gt;0,P1283&lt;&gt;""),P1283/L1283,"")</f>
        <v/>
      </c>
      <c r="R1155" s="16">
        <f>IF(AND(P1283&lt;&gt;"",P1283&gt;0),(I1283+J1283+K1283)/P1283,"")</f>
        <v/>
      </c>
    </row>
    <row r="1156" ht="81" customHeight="1">
      <c r="A1156" s="5" t="inlineStr">
        <is>
          <t>2026-07-11</t>
        </is>
      </c>
      <c r="B1156" s="5" t="inlineStr">
        <is>
          <t>28周</t>
        </is>
      </c>
      <c r="C1156" s="5" t="inlineStr">
        <is>
          <t>抖音</t>
        </is>
      </c>
      <c r="D1156" s="5" t="n"/>
      <c r="E1156" s="5" t="n"/>
      <c r="F1156" s="5" t="inlineStr">
        <is>
          <t>https://www.douyin.com/user/MS4wLjABAAAAhZeLmP4RG6LuBkNaHH-Lru_JhbDj-t243XNWUCGzb4Vs5iYPyDn0lGZDKfn50QAL?from_tab_name=main&amp;modal_id=7661246753463897019</t>
        </is>
      </c>
      <c r="G1156" s="5" t="inlineStr">
        <is>
          <t>459</t>
        </is>
      </c>
      <c r="H1156" s="5" t="inlineStr">
        <is>
          <t>跳舞穿搭</t>
        </is>
      </c>
      <c r="I1156" s="5" t="n">
        <v>10.03</v>
      </c>
      <c r="J1156" s="5" t="n"/>
      <c r="K1156" s="5" t="n"/>
      <c r="L1156" s="5" t="n">
        <v>16000</v>
      </c>
      <c r="M1156" s="5" t="n">
        <v>644</v>
      </c>
      <c r="N1156" s="5" t="n">
        <v>35</v>
      </c>
      <c r="O1156" s="5" t="n">
        <v>14</v>
      </c>
      <c r="P1156" s="8">
        <f>IF(AND(M1284&lt;&gt;"",M1284&gt;0),M1284+N1284+O1284,"")</f>
        <v/>
      </c>
      <c r="Q1156" s="11">
        <f>IF(AND(L1284&lt;&gt;"",L1284&gt;0,P1284&lt;&gt;""),P1284/L1284,"")</f>
        <v/>
      </c>
      <c r="R1156" s="16">
        <f>IF(AND(P1284&lt;&gt;"",P1284&gt;0),(I1284+J1284+K1284)/P1284,"")</f>
        <v/>
      </c>
    </row>
    <row r="1157" ht="81" customHeight="1">
      <c r="A1157" s="5" t="inlineStr">
        <is>
          <t>2026-07-11</t>
        </is>
      </c>
      <c r="B1157" s="5" t="inlineStr">
        <is>
          <t>28周</t>
        </is>
      </c>
      <c r="C1157" s="5" t="inlineStr">
        <is>
          <t>抖音</t>
        </is>
      </c>
      <c r="D1157" s="5" t="n"/>
      <c r="E1157" s="5" t="n"/>
      <c r="F1157" s="5" t="inlineStr">
        <is>
          <t>https://v.douyin.com/UDIXgnOTPwk/</t>
        </is>
      </c>
      <c r="G1157" s="5" t="inlineStr">
        <is>
          <t>489</t>
        </is>
      </c>
      <c r="H1157" s="5" t="inlineStr">
        <is>
          <t>陈奕恒</t>
        </is>
      </c>
      <c r="I1157" s="5" t="n">
        <v>49.25</v>
      </c>
      <c r="J1157" s="5" t="n"/>
      <c r="K1157" s="5" t="n"/>
      <c r="L1157" s="5" t="n">
        <v>1500</v>
      </c>
      <c r="M1157" s="5" t="n">
        <v>159</v>
      </c>
      <c r="N1157" s="5" t="n">
        <v>3</v>
      </c>
      <c r="O1157" s="5" t="n">
        <v>6</v>
      </c>
      <c r="P1157" s="8">
        <f>IF(AND(M1285&lt;&gt;"",M1285&gt;0),M1285+N1285+O1285,"")</f>
        <v/>
      </c>
      <c r="Q1157" s="11">
        <f>IF(AND(L1285&lt;&gt;"",L1285&gt;0,P1285&lt;&gt;""),P1285/L1285,"")</f>
        <v/>
      </c>
      <c r="R1157" s="16">
        <f>IF(AND(P1285&lt;&gt;"",P1285&gt;0),(I1285+J1285+K1285)/P1285,"")</f>
        <v/>
      </c>
    </row>
    <row r="1158" ht="67.5" customHeight="1">
      <c r="A1158" s="5" t="inlineStr">
        <is>
          <t>2026-07-11</t>
        </is>
      </c>
      <c r="B1158" s="5" t="inlineStr">
        <is>
          <t>28周</t>
        </is>
      </c>
      <c r="C1158" s="5" t="inlineStr">
        <is>
          <t>小红书</t>
        </is>
      </c>
      <c r="D1158" s="5" t="n"/>
      <c r="E1158" s="5" t="n"/>
      <c r="F1158" s="5" t="inlineStr">
        <is>
          <t>https://www.xiaohongshu.com/discovery/item/6a5235aa000000001102e10e?xsec_token=CBoUH6a_WVJMlc5zjh819D-6xDZo4I4lQwDcLMUsZWvcM=&amp;xsec_source=app_share&amp;type=video</t>
        </is>
      </c>
      <c r="G1158" s="5" t="inlineStr">
        <is>
          <t>459</t>
        </is>
      </c>
      <c r="H1158" s="5" t="inlineStr">
        <is>
          <t>跳舞穿搭</t>
        </is>
      </c>
      <c r="I1158" s="5" t="n">
        <v>10.03</v>
      </c>
      <c r="J1158" s="5" t="n"/>
      <c r="K1158" s="5" t="n"/>
      <c r="L1158" s="5" t="n">
        <v>4649</v>
      </c>
      <c r="M1158" s="5" t="n">
        <v>362</v>
      </c>
      <c r="N1158" s="5" t="n">
        <v>34</v>
      </c>
      <c r="O1158" s="5" t="n">
        <v>17</v>
      </c>
      <c r="P1158" s="8">
        <f>IF(AND(M1286&lt;&gt;"",M1286&gt;0),M1286+N1286+O1286,"")</f>
        <v/>
      </c>
      <c r="Q1158" s="11">
        <f>IF(AND(L1286&lt;&gt;"",L1286&gt;0,P1286&lt;&gt;""),P1286/L1286,"")</f>
        <v/>
      </c>
      <c r="R1158" s="16">
        <f>IF(AND(P1286&lt;&gt;"",P1286&gt;0),(I1286+J1286+K1286)/P1286,"")</f>
        <v/>
      </c>
    </row>
    <row r="1159" ht="67.5" customHeight="1">
      <c r="A1159" s="5" t="inlineStr">
        <is>
          <t>2026-07-11</t>
        </is>
      </c>
      <c r="B1159" s="5" t="inlineStr">
        <is>
          <t>28周</t>
        </is>
      </c>
      <c r="C1159" s="5" t="inlineStr">
        <is>
          <t>小红书</t>
        </is>
      </c>
      <c r="D1159" s="5" t="n"/>
      <c r="E1159" s="5" t="n"/>
      <c r="F1159" s="5" t="inlineStr">
        <is>
          <t>https://www.xiaohongshu.com/discovery/item/6a523c89000000000f0073c1?xsec_token=CBoUH6a_WVJMlc5zjh819D-4ilKjYH8FUZsH0VOFXQwJQ=&amp;xsec_source=app_share&amp;type=video</t>
        </is>
      </c>
      <c r="G1159" s="5" t="inlineStr">
        <is>
          <t>1093W</t>
        </is>
      </c>
      <c r="H1159" s="5" t="inlineStr">
        <is>
          <t>左奇函</t>
        </is>
      </c>
      <c r="I1159" s="5" t="n">
        <v>23.835</v>
      </c>
      <c r="J1159" s="5" t="n"/>
      <c r="K1159" s="5" t="n"/>
      <c r="L1159" s="5" t="n">
        <v>431</v>
      </c>
      <c r="M1159" s="5" t="n">
        <v>27</v>
      </c>
      <c r="N1159" s="5" t="n">
        <v>4</v>
      </c>
      <c r="O1159" s="5" t="n">
        <v>3</v>
      </c>
      <c r="P1159" s="8">
        <f>IF(AND(M1287&lt;&gt;"",M1287&gt;0),M1287+N1287+O1287,"")</f>
        <v/>
      </c>
      <c r="Q1159" s="11">
        <f>IF(AND(L1287&lt;&gt;"",L1287&gt;0,P1287&lt;&gt;""),P1287/L1287,"")</f>
        <v/>
      </c>
      <c r="R1159" s="16">
        <f>IF(AND(P1287&lt;&gt;"",P1287&gt;0),(I1287+J1287+K1287)/P1287,"")</f>
        <v/>
      </c>
    </row>
    <row r="1160" ht="67.5" customHeight="1">
      <c r="A1160" s="5" t="inlineStr">
        <is>
          <t>2026-07-12</t>
        </is>
      </c>
      <c r="B1160" s="5" t="inlineStr">
        <is>
          <t>28周</t>
        </is>
      </c>
      <c r="C1160" s="5" t="inlineStr">
        <is>
          <t>抖音</t>
        </is>
      </c>
      <c r="D1160" s="5" t="n"/>
      <c r="E1160" s="5" t="n"/>
      <c r="F1160" s="5" t="inlineStr">
        <is>
          <t>https://v.douyin.com/sZwi09dQV74/ j</t>
        </is>
      </c>
      <c r="G1160" s="5" t="inlineStr">
        <is>
          <t>459</t>
        </is>
      </c>
      <c r="H1160" s="5" t="inlineStr">
        <is>
          <t>群像穿搭</t>
        </is>
      </c>
      <c r="I1160" s="5" t="n">
        <v>20.045</v>
      </c>
      <c r="J1160" s="5" t="n"/>
      <c r="K1160" s="5" t="n"/>
      <c r="L1160" s="5" t="n">
        <v>12000</v>
      </c>
      <c r="M1160" s="5" t="n">
        <v>1001</v>
      </c>
      <c r="N1160" s="5" t="n">
        <v>89</v>
      </c>
      <c r="O1160" s="5" t="n">
        <v>3</v>
      </c>
      <c r="P1160" s="8">
        <f>IF(AND(M1288&lt;&gt;"",M1288&gt;0),M1288+N1288+O1288,"")</f>
        <v/>
      </c>
      <c r="Q1160" s="11">
        <f>IF(AND(L1288&lt;&gt;"",L1288&gt;0,P1288&lt;&gt;""),P1288/L1288,"")</f>
        <v/>
      </c>
      <c r="R1160" s="16">
        <f>IF(AND(P1288&lt;&gt;"",P1288&gt;0),(I1288+J1288+K1288)/P1288,"")</f>
        <v/>
      </c>
    </row>
    <row r="1161" ht="67.5" customHeight="1">
      <c r="A1161" s="5" t="inlineStr">
        <is>
          <t>2026-07-12</t>
        </is>
      </c>
      <c r="B1161" s="5" t="inlineStr">
        <is>
          <t>28周</t>
        </is>
      </c>
      <c r="C1161" s="5" t="inlineStr">
        <is>
          <t>抖音</t>
        </is>
      </c>
      <c r="D1161" s="5" t="n"/>
      <c r="E1161" s="5" t="n"/>
      <c r="F1161" s="5" t="inlineStr">
        <is>
          <t>https://v.douyin.com/HaujpR-LrUs/</t>
        </is>
      </c>
      <c r="G1161" s="5" t="inlineStr">
        <is>
          <t>1093W</t>
        </is>
      </c>
      <c r="H1161" s="5" t="inlineStr">
        <is>
          <t>朱映宸</t>
        </is>
      </c>
      <c r="I1161" s="5" t="n">
        <v>46.67</v>
      </c>
      <c r="J1161" s="5" t="n"/>
      <c r="K1161" s="5" t="n"/>
      <c r="L1161" s="5" t="n">
        <v>40000</v>
      </c>
      <c r="M1161" s="5" t="n">
        <v>2139</v>
      </c>
      <c r="N1161" s="5" t="n">
        <v>194</v>
      </c>
      <c r="O1161" s="5" t="n">
        <v>95</v>
      </c>
      <c r="P1161" s="8">
        <f>IF(AND(M1289&lt;&gt;"",M1289&gt;0),M1289+N1289+O1289,"")</f>
        <v/>
      </c>
      <c r="Q1161" s="11">
        <f>IF(AND(L1289&lt;&gt;"",L1289&gt;0,P1289&lt;&gt;""),P1289/L1289,"")</f>
        <v/>
      </c>
      <c r="R1161" s="16">
        <f>IF(AND(P1289&lt;&gt;"",P1289&gt;0),(I1289+J1289+K1289)/P1289,"")</f>
        <v/>
      </c>
    </row>
    <row r="1162" ht="81" customHeight="1">
      <c r="A1162" s="5" t="inlineStr">
        <is>
          <t>2026-07-12</t>
        </is>
      </c>
      <c r="B1162" s="5" t="inlineStr">
        <is>
          <t>28周</t>
        </is>
      </c>
      <c r="C1162" s="5" t="inlineStr">
        <is>
          <t>抖音</t>
        </is>
      </c>
      <c r="D1162" s="5" t="n"/>
      <c r="E1162" s="5" t="n"/>
      <c r="F1162" s="5" t="inlineStr">
        <is>
          <t>https://v.douyin.com/K6OCsEXIM-g/</t>
        </is>
      </c>
      <c r="G1162" s="5" t="inlineStr">
        <is>
          <t>1093W</t>
        </is>
      </c>
      <c r="H1162" s="5" t="inlineStr">
        <is>
          <t>张桂源</t>
        </is>
      </c>
      <c r="I1162" s="5" t="n">
        <v>20.045</v>
      </c>
      <c r="J1162" s="5" t="n"/>
      <c r="K1162" s="5" t="n"/>
      <c r="L1162" s="5" t="n">
        <v>1087</v>
      </c>
      <c r="M1162" s="5" t="n">
        <v>361</v>
      </c>
      <c r="N1162" s="5" t="n">
        <v>9</v>
      </c>
      <c r="O1162" s="5" t="n">
        <v>151</v>
      </c>
      <c r="P1162" s="8">
        <f>IF(AND(M1290&lt;&gt;"",M1290&gt;0),M1290+N1290+O1290,"")</f>
        <v/>
      </c>
      <c r="Q1162" s="11">
        <f>IF(AND(L1290&lt;&gt;"",L1290&gt;0,P1290&lt;&gt;""),P1290/L1290,"")</f>
        <v/>
      </c>
      <c r="R1162" s="16">
        <f>IF(AND(P1290&lt;&gt;"",P1290&gt;0),(I1290+J1290+K1290)/P1290,"")</f>
        <v/>
      </c>
    </row>
    <row r="1163" ht="81" customHeight="1">
      <c r="A1163" s="5" t="inlineStr">
        <is>
          <t>2026-07-12</t>
        </is>
      </c>
      <c r="B1163" s="5" t="inlineStr">
        <is>
          <t>28周</t>
        </is>
      </c>
      <c r="C1163" s="5" t="inlineStr">
        <is>
          <t>抖音</t>
        </is>
      </c>
      <c r="D1163" s="5" t="n"/>
      <c r="E1163" s="5" t="n"/>
      <c r="F1163" s="5" t="inlineStr">
        <is>
          <t>https://v.douyin.com/7beOgW_CUM8/</t>
        </is>
      </c>
      <c r="G1163" s="5" t="inlineStr">
        <is>
          <t>0003A2</t>
        </is>
      </c>
      <c r="H1163" s="5" t="inlineStr">
        <is>
          <t>肖战</t>
        </is>
      </c>
      <c r="I1163" s="5" t="n">
        <v>96.75</v>
      </c>
      <c r="J1163" s="5" t="n"/>
      <c r="K1163" s="5" t="n"/>
      <c r="L1163" s="5" t="n">
        <v>6604</v>
      </c>
      <c r="M1163" s="5" t="n">
        <v>387</v>
      </c>
      <c r="N1163" s="5" t="n">
        <v>12</v>
      </c>
      <c r="O1163" s="5" t="n">
        <v>6</v>
      </c>
      <c r="P1163" s="8">
        <f>IF(AND(M1291&lt;&gt;"",M1291&gt;0),M1291+N1291+O1291,"")</f>
        <v/>
      </c>
      <c r="Q1163" s="11">
        <f>IF(AND(L1291&lt;&gt;"",L1291&gt;0,P1291&lt;&gt;""),P1291/L1291,"")</f>
        <v/>
      </c>
      <c r="R1163" s="16">
        <f>IF(AND(P1291&lt;&gt;"",P1291&gt;0),(I1291+J1291+K1291)/P1291,"")</f>
        <v/>
      </c>
    </row>
    <row r="1164" ht="81" customHeight="1">
      <c r="A1164" s="5" t="inlineStr">
        <is>
          <t>2026-07-12</t>
        </is>
      </c>
      <c r="B1164" s="5" t="inlineStr">
        <is>
          <t>28周</t>
        </is>
      </c>
      <c r="C1164" s="5" t="inlineStr">
        <is>
          <t>快手</t>
        </is>
      </c>
      <c r="D1164" s="5" t="n"/>
      <c r="E1164" s="5" t="n"/>
      <c r="F1164" s="5" t="inlineStr">
        <is>
          <t>https://www.kuaishou.com/short-video/3xaqyasxbqfap94?cc=share_wxms&amp;followRefer=151&amp;shareMethod=VIDEO&amp;docId=10&amp;kpn=KUAISHOU&amp;subBiz=BROWSE_SLIDE_PHOTO&amp;photoId=3xaqyasxbqfap94&amp;shareId=19031175516538&amp;shareToken=X7khnT5epMJkslT&amp;shareResourceType=PHOTO_SELF&amp;userId=3xc4k3ttyf37qii&amp;shareType=2&amp;et=1_a%252F2009870554816882001_p0&amp;shareMode=APP&amp;efid=3xc4k3ttyf37qii&amp;originShareId=19031175516538&amp;appType=21&amp;shareObjectId=5236842142765368132&amp;shareUrlOpened=0&amp;timestamp=1783765685456&amp;utm_source=app_share&amp;utm_medium=app_share&amp;utm_campaign=app_share&amp;location=app_share</t>
        </is>
      </c>
      <c r="G1164" s="5" t="inlineStr">
        <is>
          <t>1093W</t>
        </is>
      </c>
      <c r="H1164" s="5" t="inlineStr">
        <is>
          <t>左奇函</t>
        </is>
      </c>
      <c r="I1164" s="5" t="n">
        <v>46.67</v>
      </c>
      <c r="J1164" s="5" t="n"/>
      <c r="K1164" s="5" t="n"/>
      <c r="L1164" s="5" t="n">
        <v>2025</v>
      </c>
      <c r="M1164" s="5" t="n">
        <v>457</v>
      </c>
      <c r="N1164" s="5" t="n">
        <v>5</v>
      </c>
      <c r="O1164" s="5" t="n">
        <v>18</v>
      </c>
      <c r="P1164" s="8">
        <f>IF(AND(M1292&lt;&gt;"",M1292&gt;0),M1292+N1292+O1292,"")</f>
        <v/>
      </c>
      <c r="Q1164" s="11">
        <f>IF(AND(L1292&lt;&gt;"",L1292&gt;0,P1292&lt;&gt;""),P1292/L1292,"")</f>
        <v/>
      </c>
      <c r="R1164" s="16">
        <f>IF(AND(P1292&lt;&gt;"",P1292&gt;0),(I1292+J1292+K1292)/P1292,"")</f>
        <v/>
      </c>
    </row>
    <row r="1165" ht="81" customHeight="1">
      <c r="A1165" s="5" t="inlineStr">
        <is>
          <t>2026-07-12</t>
        </is>
      </c>
      <c r="B1165" s="5" t="inlineStr">
        <is>
          <t>28周</t>
        </is>
      </c>
      <c r="C1165" s="5" t="inlineStr">
        <is>
          <t>抖音</t>
        </is>
      </c>
      <c r="D1165" s="5" t="n"/>
      <c r="E1165" s="5" t="n"/>
      <c r="F1165" s="5" t="inlineStr">
        <is>
          <t>https://v.douyin.com/b6-iliYYNdw/</t>
        </is>
      </c>
      <c r="G1165" s="5" t="inlineStr">
        <is>
          <t>0003A2</t>
        </is>
      </c>
      <c r="H1165" s="5" t="inlineStr">
        <is>
          <t>健身穿搭</t>
        </is>
      </c>
      <c r="I1165" s="5" t="n">
        <v>296.75</v>
      </c>
      <c r="J1165" s="5" t="n"/>
      <c r="K1165" s="5" t="n"/>
      <c r="L1165" s="5" t="n">
        <v>132000</v>
      </c>
      <c r="M1165" s="5" t="n">
        <v>7195</v>
      </c>
      <c r="N1165" s="5" t="n">
        <v>843</v>
      </c>
      <c r="O1165" s="5" t="n">
        <v>52</v>
      </c>
      <c r="P1165" s="8">
        <f>IF(AND(M1293&lt;&gt;"",M1293&gt;0),M1293+N1293+O1293,"")</f>
        <v/>
      </c>
      <c r="Q1165" s="11">
        <f>IF(AND(L1293&lt;&gt;"",L1293&gt;0,P1293&lt;&gt;""),P1293/L1293,"")</f>
        <v/>
      </c>
      <c r="R1165" s="16">
        <f>IF(AND(P1293&lt;&gt;"",P1293&gt;0),(I1293+J1293+K1293)/P1293,"")</f>
        <v/>
      </c>
    </row>
    <row r="1166" ht="27" customHeight="1">
      <c r="A1166" s="5" t="inlineStr">
        <is>
          <t>2026-07-12</t>
        </is>
      </c>
      <c r="B1166" s="5" t="inlineStr">
        <is>
          <t>28周</t>
        </is>
      </c>
      <c r="C1166" s="5" t="inlineStr">
        <is>
          <t>抖音</t>
        </is>
      </c>
      <c r="D1166" s="5" t="n"/>
      <c r="E1166" s="5" t="n"/>
      <c r="F1166" s="5" t="inlineStr">
        <is>
          <t>https://www.douyin.com/user/MS4wLjABAAAA3Z0pMI76UesF3fRhQzH43-4a_Fu6ggyvCxUDlGzX3gk?from_tab_name=main&amp;modal_id=7661477923408582756</t>
        </is>
      </c>
      <c r="G1166" s="5" t="inlineStr">
        <is>
          <t>1093W</t>
        </is>
      </c>
      <c r="H1166" s="5" t="inlineStr">
        <is>
          <t>王橹杰</t>
        </is>
      </c>
      <c r="I1166" s="5" t="n">
        <v>48.835</v>
      </c>
      <c r="J1166" s="5" t="n"/>
      <c r="K1166" s="5" t="n"/>
      <c r="L1166" s="5" t="n">
        <v>2521</v>
      </c>
      <c r="M1166" s="5" t="n">
        <v>328</v>
      </c>
      <c r="N1166" s="5" t="n">
        <v>27</v>
      </c>
      <c r="O1166" s="5" t="n">
        <v>95</v>
      </c>
      <c r="P1166" s="8">
        <f>IF(AND(M1294&lt;&gt;"",M1294&gt;0),M1294+N1294+O1294,"")</f>
        <v/>
      </c>
      <c r="Q1166" s="11">
        <f>IF(AND(L1294&lt;&gt;"",L1294&gt;0,P1294&lt;&gt;""),P1294/L1294,"")</f>
        <v/>
      </c>
      <c r="R1166" s="16">
        <f>IF(AND(P1294&lt;&gt;"",P1294&gt;0),(I1294+J1294+K1294)/P1294,"")</f>
        <v/>
      </c>
    </row>
    <row r="1167" ht="27" customHeight="1">
      <c r="A1167" s="5" t="inlineStr">
        <is>
          <t>2026-07-12</t>
        </is>
      </c>
      <c r="B1167" s="5" t="inlineStr">
        <is>
          <t>28周</t>
        </is>
      </c>
      <c r="C1167" s="5" t="inlineStr">
        <is>
          <t>抖音</t>
        </is>
      </c>
      <c r="D1167" s="5" t="n"/>
      <c r="E1167" s="5" t="n"/>
      <c r="F1167" s="5" t="inlineStr">
        <is>
          <t>https://www.douyin.com/user/self?from_tab_name=main&amp;modal_id=7661566223654350843&amp;showTab=like</t>
        </is>
      </c>
      <c r="G1167" s="5" t="inlineStr">
        <is>
          <t>0003A2</t>
        </is>
      </c>
      <c r="H1167" s="5" t="inlineStr">
        <is>
          <t>穿搭</t>
        </is>
      </c>
      <c r="I1167" s="5" t="n">
        <v>196.75</v>
      </c>
      <c r="J1167" s="5" t="n"/>
      <c r="K1167" s="5" t="n"/>
      <c r="L1167" s="5" t="n">
        <v>11000</v>
      </c>
      <c r="M1167" s="5" t="n">
        <v>877</v>
      </c>
      <c r="N1167" s="5" t="n">
        <v>29</v>
      </c>
      <c r="O1167" s="5" t="n">
        <v>20</v>
      </c>
      <c r="P1167" s="8">
        <f>IF(AND(M1295&lt;&gt;"",M1295&gt;0),M1295+N1295+O1295,"")</f>
        <v/>
      </c>
      <c r="Q1167" s="11">
        <f>IF(AND(L1295&lt;&gt;"",L1295&gt;0,P1295&lt;&gt;""),P1295/L1295,"")</f>
        <v/>
      </c>
      <c r="R1167" s="16">
        <f>IF(AND(P1295&lt;&gt;"",P1295&gt;0),(I1295+J1295+K1295)/P1295,"")</f>
        <v/>
      </c>
    </row>
    <row r="1168" ht="81" customHeight="1">
      <c r="A1168" s="5" t="inlineStr">
        <is>
          <t>2026-07-12</t>
        </is>
      </c>
      <c r="B1168" s="5" t="inlineStr">
        <is>
          <t>28周</t>
        </is>
      </c>
      <c r="C1168" s="5" t="inlineStr">
        <is>
          <t>抖音</t>
        </is>
      </c>
      <c r="D1168" s="5" t="n"/>
      <c r="E1168" s="5" t="n"/>
      <c r="F1168" s="5" t="inlineStr">
        <is>
          <t>https://v.douyin.com/WxQbuFcEXMI/</t>
        </is>
      </c>
      <c r="G1168" s="5" t="inlineStr">
        <is>
          <t>0003A2</t>
        </is>
      </c>
      <c r="H1168" s="5" t="inlineStr">
        <is>
          <t>地铁穿搭</t>
        </is>
      </c>
      <c r="I1168" s="5" t="n"/>
      <c r="J1168" s="5" t="n"/>
      <c r="K1168" s="5" t="n"/>
      <c r="L1168" s="5" t="n">
        <v>45000</v>
      </c>
      <c r="M1168" s="5" t="n">
        <v>1918</v>
      </c>
      <c r="N1168" s="5" t="n">
        <v>146</v>
      </c>
      <c r="O1168" s="5" t="n">
        <v>32</v>
      </c>
      <c r="P1168" s="8">
        <f>IF(AND(M1296&lt;&gt;"",M1296&gt;0),M1296+N1296+O1296,"")</f>
        <v/>
      </c>
      <c r="Q1168" s="11">
        <f>IF(AND(L1296&lt;&gt;"",L1296&gt;0,P1296&lt;&gt;""),P1296/L1296,"")</f>
        <v/>
      </c>
      <c r="R1168" s="16">
        <f>IF(AND(P1296&lt;&gt;"",P1296&gt;0),(I1296+J1296+K1296)/P1296,"")</f>
        <v/>
      </c>
    </row>
    <row r="1169" ht="27" customHeight="1">
      <c r="A1169" s="5" t="inlineStr">
        <is>
          <t>2026-07-12</t>
        </is>
      </c>
      <c r="B1169" s="5" t="inlineStr">
        <is>
          <t>28周</t>
        </is>
      </c>
      <c r="C1169" s="5" t="inlineStr">
        <is>
          <t>抖音</t>
        </is>
      </c>
      <c r="D1169" s="5" t="n"/>
      <c r="E1169" s="5" t="n"/>
      <c r="F1169" s="5" t="inlineStr">
        <is>
          <t>https://v.douyin.com/fkykbeBo4ck/</t>
        </is>
      </c>
      <c r="G1169" s="5" t="inlineStr">
        <is>
          <t>489</t>
        </is>
      </c>
      <c r="H1169" s="5" t="inlineStr">
        <is>
          <t>马嘉祺</t>
        </is>
      </c>
      <c r="I1169" s="5" t="n">
        <v>24.625</v>
      </c>
      <c r="J1169" s="5" t="n"/>
      <c r="K1169" s="5" t="n"/>
      <c r="L1169" s="5" t="n">
        <v>781</v>
      </c>
      <c r="M1169" s="5" t="n">
        <v>101</v>
      </c>
      <c r="N1169" s="5" t="n">
        <v>0</v>
      </c>
      <c r="O1169" s="5" t="n">
        <v>7</v>
      </c>
      <c r="P1169" s="8">
        <f>IF(AND(M1297&lt;&gt;"",M1297&gt;0),M1297+N1297+O1297,"")</f>
        <v/>
      </c>
      <c r="Q1169" s="11">
        <f>IF(AND(L1297&lt;&gt;"",L1297&gt;0,P1297&lt;&gt;""),P1297/L1297,"")</f>
        <v/>
      </c>
      <c r="R1169" s="16">
        <f>IF(AND(P1297&lt;&gt;"",P1297&gt;0),(I1297+J1297+K1297)/P1297,"")</f>
        <v/>
      </c>
    </row>
    <row r="1170" ht="27" customHeight="1">
      <c r="A1170" s="5" t="inlineStr">
        <is>
          <t>2026-07-12</t>
        </is>
      </c>
      <c r="B1170" s="5" t="inlineStr">
        <is>
          <t>28周</t>
        </is>
      </c>
      <c r="C1170" s="5" t="inlineStr">
        <is>
          <t>小红书</t>
        </is>
      </c>
      <c r="D1170" s="5" t="n"/>
      <c r="E1170" s="5" t="n"/>
      <c r="F1170" s="5" t="inlineStr">
        <is>
          <t>https://www.xiaohongshu.com/discovery/item/6a530e27000000001603d907?xsec_token=CBcZ2hNqKAMXMN0DK560O3KOZes0t5yvind8_l9opycY4=&amp;xsec_source=app_share</t>
        </is>
      </c>
      <c r="G1170" s="5" t="inlineStr">
        <is>
          <t>1093W</t>
        </is>
      </c>
      <c r="H1170" s="5" t="inlineStr">
        <is>
          <t>王橹杰</t>
        </is>
      </c>
      <c r="I1170" s="5" t="n">
        <v>48.835</v>
      </c>
      <c r="J1170" s="5" t="n"/>
      <c r="K1170" s="5" t="n"/>
      <c r="L1170" s="5" t="n">
        <v>2186</v>
      </c>
      <c r="M1170" s="5" t="n">
        <v>55</v>
      </c>
      <c r="N1170" s="5" t="n">
        <v>8</v>
      </c>
      <c r="O1170" s="5" t="n">
        <v>54</v>
      </c>
      <c r="P1170" s="8">
        <f>IF(AND(M1298&lt;&gt;"",M1298&gt;0),M1298+N1298+O1298,"")</f>
        <v/>
      </c>
      <c r="Q1170" s="11">
        <f>IF(AND(L1298&lt;&gt;"",L1298&gt;0,P1298&lt;&gt;""),P1298/L1298,"")</f>
        <v/>
      </c>
      <c r="R1170" s="16">
        <f>IF(AND(P1298&lt;&gt;"",P1298&gt;0),(I1298+J1298+K1298)/P1298,"")</f>
        <v/>
      </c>
    </row>
    <row r="1171" ht="27" customHeight="1">
      <c r="A1171" s="5" t="inlineStr">
        <is>
          <t>2026-07-12</t>
        </is>
      </c>
      <c r="B1171" s="5" t="inlineStr">
        <is>
          <t>28周</t>
        </is>
      </c>
      <c r="C1171" s="5" t="inlineStr">
        <is>
          <t>小红书</t>
        </is>
      </c>
      <c r="D1171" s="5" t="n"/>
      <c r="E1171" s="5" t="n"/>
      <c r="F1171" s="5" t="inlineStr">
        <is>
          <t>https://www.xiaohongshu.com/discovery/item/6a53271e0000000021017494?xsec_token=CBcZ2hNqKAMXMN0DK560O3KBBrQEmKQESqWZ1gL0VWXL8=&amp;xsec_source=app_share&amp;type=video</t>
        </is>
      </c>
      <c r="G1171" s="5" t="inlineStr">
        <is>
          <t>1093W</t>
        </is>
      </c>
      <c r="H1171" s="5" t="inlineStr">
        <is>
          <t>张桂源</t>
        </is>
      </c>
      <c r="I1171" s="5" t="n">
        <v>23.835</v>
      </c>
      <c r="J1171" s="5" t="n"/>
      <c r="K1171" s="5" t="n"/>
      <c r="L1171" s="5" t="n">
        <v>675</v>
      </c>
      <c r="M1171" s="5" t="n">
        <v>41</v>
      </c>
      <c r="N1171" s="5" t="n">
        <v>10</v>
      </c>
      <c r="O1171" s="5" t="n">
        <v>6</v>
      </c>
      <c r="P1171" s="8">
        <f>IF(AND(M1299&lt;&gt;"",M1299&gt;0),M1299+N1299+O1299,"")</f>
        <v/>
      </c>
      <c r="Q1171" s="11">
        <f>IF(AND(L1299&lt;&gt;"",L1299&gt;0,P1299&lt;&gt;""),P1299/L1299,"")</f>
        <v/>
      </c>
      <c r="R1171" s="16">
        <f>IF(AND(P1299&lt;&gt;"",P1299&gt;0),(I1299+J1299+K1299)/P1299,"")</f>
        <v/>
      </c>
    </row>
    <row r="1172" ht="27" customHeight="1">
      <c r="A1172" s="5" t="inlineStr">
        <is>
          <t>2026-07-12</t>
        </is>
      </c>
      <c r="B1172" s="5" t="inlineStr">
        <is>
          <t>28周</t>
        </is>
      </c>
      <c r="C1172" s="5" t="inlineStr">
        <is>
          <t>小红书</t>
        </is>
      </c>
      <c r="D1172" s="5" t="n"/>
      <c r="E1172" s="5" t="n"/>
      <c r="F1172" s="5" t="inlineStr">
        <is>
          <t>https://www.xiaohongshu.com/discovery/item/6a536594000000002201a048?xsec_token=CBcZ2hNqKAMXMN0DK560O3KACqCDm0FaFDuiNLyagWXPs=&amp;xsec_source=app_share&amp;type=video</t>
        </is>
      </c>
      <c r="G1172" s="5" t="inlineStr">
        <is>
          <t>0003A2</t>
        </is>
      </c>
      <c r="H1172" s="5" t="inlineStr">
        <is>
          <t>肖战</t>
        </is>
      </c>
      <c r="I1172" s="5" t="n">
        <v>48.375</v>
      </c>
      <c r="J1172" s="5" t="n"/>
      <c r="K1172" s="5" t="n"/>
      <c r="L1172" s="5" t="n">
        <v>475</v>
      </c>
      <c r="M1172" s="5" t="n">
        <v>40</v>
      </c>
      <c r="N1172" s="5" t="n">
        <v>1</v>
      </c>
      <c r="O1172" s="5" t="n">
        <v>2</v>
      </c>
      <c r="P1172" s="8">
        <f>IF(AND(M1300&lt;&gt;"",M1300&gt;0),M1300+N1300+O1300,"")</f>
        <v/>
      </c>
      <c r="Q1172" s="11">
        <f>IF(AND(L1300&lt;&gt;"",L1300&gt;0,P1300&lt;&gt;""),P1300/L1300,"")</f>
        <v/>
      </c>
      <c r="R1172" s="16">
        <f>IF(AND(P1300&lt;&gt;"",P1300&gt;0),(I1300+J1300+K1300)/P1300,"")</f>
        <v/>
      </c>
    </row>
    <row r="1173" ht="27" customHeight="1">
      <c r="A1173" s="5" t="inlineStr">
        <is>
          <t>2026-07-13</t>
        </is>
      </c>
      <c r="B1173" s="5" t="inlineStr">
        <is>
          <t>29周</t>
        </is>
      </c>
      <c r="C1173" s="5" t="inlineStr">
        <is>
          <t>抖音</t>
        </is>
      </c>
      <c r="D1173" s="5" t="n"/>
      <c r="E1173" s="5" t="n"/>
      <c r="F1173" s="5" t="inlineStr">
        <is>
          <t>https://v.douyin.com/qxfHLa3HZcY/</t>
        </is>
      </c>
      <c r="G1173" s="5" t="inlineStr">
        <is>
          <t>1093W</t>
        </is>
      </c>
      <c r="H1173" s="5" t="inlineStr">
        <is>
          <t>王橹杰</t>
        </is>
      </c>
      <c r="I1173" s="5" t="n">
        <v>47.67</v>
      </c>
      <c r="J1173" s="5" t="n"/>
      <c r="K1173" s="5" t="n"/>
      <c r="L1173" s="5" t="n">
        <v>1944</v>
      </c>
      <c r="M1173" s="5" t="n">
        <v>226</v>
      </c>
      <c r="N1173" s="5" t="n">
        <v>10</v>
      </c>
      <c r="O1173" s="5" t="n">
        <v>21</v>
      </c>
      <c r="P1173" s="8">
        <f>IF(AND(M1301&lt;&gt;"",M1301&gt;0),M1301+N1301+O1301,"")</f>
        <v/>
      </c>
      <c r="Q1173" s="11">
        <f>IF(AND(L1301&lt;&gt;"",L1301&gt;0,P1301&lt;&gt;""),P1301/L1301,"")</f>
        <v/>
      </c>
      <c r="R1173" s="16">
        <f>IF(AND(P1301&lt;&gt;"",P1301&gt;0),(I1301+J1301+K1301)/P1301,"")</f>
        <v/>
      </c>
    </row>
    <row r="1174" ht="27" customHeight="1">
      <c r="A1174" s="5" t="inlineStr">
        <is>
          <t>2026-07-13</t>
        </is>
      </c>
      <c r="B1174" s="5" t="inlineStr">
        <is>
          <t>29周</t>
        </is>
      </c>
      <c r="C1174" s="5" t="inlineStr">
        <is>
          <t>抖音</t>
        </is>
      </c>
      <c r="D1174" s="5" t="n"/>
      <c r="E1174" s="5" t="n"/>
      <c r="F1174" s="5" t="inlineStr">
        <is>
          <t>https://v.douyin.com/EMxJWFWySfE/</t>
        </is>
      </c>
      <c r="G1174" s="5" t="inlineStr">
        <is>
          <t>489</t>
        </is>
      </c>
      <c r="H1174" s="5" t="inlineStr">
        <is>
          <t>生命力穿搭</t>
        </is>
      </c>
      <c r="I1174" s="5" t="n">
        <v>49.25</v>
      </c>
      <c r="J1174" s="5" t="n"/>
      <c r="K1174" s="5" t="n"/>
      <c r="L1174" s="5" t="n">
        <v>4760</v>
      </c>
      <c r="M1174" s="5" t="n">
        <v>362</v>
      </c>
      <c r="N1174" s="5" t="n">
        <v>8</v>
      </c>
      <c r="O1174" s="5" t="n">
        <v>12</v>
      </c>
      <c r="P1174" s="8">
        <f>IF(AND(M1302&lt;&gt;"",M1302&gt;0),M1302+N1302+O1302,"")</f>
        <v/>
      </c>
      <c r="Q1174" s="11">
        <f>IF(AND(L1302&lt;&gt;"",L1302&gt;0,P1302&lt;&gt;""),P1302/L1302,"")</f>
        <v/>
      </c>
      <c r="R1174" s="16">
        <f>IF(AND(P1302&lt;&gt;"",P1302&gt;0),(I1302+J1302+K1302)/P1302,"")</f>
        <v/>
      </c>
    </row>
    <row r="1175" ht="81" customHeight="1">
      <c r="A1175" s="5" t="inlineStr">
        <is>
          <t>2026-07-13</t>
        </is>
      </c>
      <c r="B1175" s="5" t="inlineStr">
        <is>
          <t>29周</t>
        </is>
      </c>
      <c r="C1175" s="5" t="inlineStr">
        <is>
          <t>抖音</t>
        </is>
      </c>
      <c r="D1175" s="5" t="n"/>
      <c r="E1175" s="5" t="n"/>
      <c r="F1175" s="5" t="inlineStr">
        <is>
          <t>https://v.douyin.com/AVsMVAw07y8/</t>
        </is>
      </c>
      <c r="G1175" s="5" t="inlineStr">
        <is>
          <t>1093W</t>
        </is>
      </c>
      <c r="H1175" s="5" t="inlineStr">
        <is>
          <t>跳舞穿搭</t>
        </is>
      </c>
      <c r="I1175" s="5" t="n">
        <v>123.835</v>
      </c>
      <c r="J1175" s="5" t="n"/>
      <c r="K1175" s="5" t="n"/>
      <c r="L1175" s="5" t="n">
        <v>61000</v>
      </c>
      <c r="M1175" s="5" t="n">
        <v>1532</v>
      </c>
      <c r="N1175" s="5" t="n">
        <v>188</v>
      </c>
      <c r="O1175" s="5" t="n">
        <v>32</v>
      </c>
      <c r="P1175" s="8">
        <f>IF(AND(M1303&lt;&gt;"",M1303&gt;0),M1303+N1303+O1303,"")</f>
        <v/>
      </c>
      <c r="Q1175" s="11">
        <f>IF(AND(L1303&lt;&gt;"",L1303&gt;0,P1303&lt;&gt;""),P1303/L1303,"")</f>
        <v/>
      </c>
      <c r="R1175" s="16">
        <f>IF(AND(P1303&lt;&gt;"",P1303&gt;0),(I1303+J1303+K1303)/P1303,"")</f>
        <v/>
      </c>
    </row>
    <row r="1176" ht="67.5" customHeight="1">
      <c r="A1176" s="5" t="inlineStr">
        <is>
          <t>2026-07-13</t>
        </is>
      </c>
      <c r="B1176" s="5" t="inlineStr">
        <is>
          <t>29周</t>
        </is>
      </c>
      <c r="C1176" s="5" t="inlineStr">
        <is>
          <t>抖音</t>
        </is>
      </c>
      <c r="D1176" s="5" t="n"/>
      <c r="E1176" s="5" t="n"/>
      <c r="F1176" s="5" t="inlineStr">
        <is>
          <t>https://v.douyin.com/z4dWbS2KzW0/</t>
        </is>
      </c>
      <c r="G1176" s="5" t="inlineStr">
        <is>
          <t>1093W</t>
        </is>
      </c>
      <c r="H1176" s="5" t="inlineStr">
        <is>
          <t>鞋子合集</t>
        </is>
      </c>
      <c r="I1176" s="5" t="n">
        <v>203.835</v>
      </c>
      <c r="J1176" s="5" t="n"/>
      <c r="K1176" s="5" t="n"/>
      <c r="L1176" s="5" t="n">
        <v>8300</v>
      </c>
      <c r="M1176" s="5" t="n">
        <v>282</v>
      </c>
      <c r="N1176" s="5" t="n">
        <v>56</v>
      </c>
      <c r="O1176" s="5" t="n">
        <v>26</v>
      </c>
      <c r="P1176" s="8">
        <f>IF(AND(M1304&lt;&gt;"",M1304&gt;0),M1304+N1304+O1304,"")</f>
        <v/>
      </c>
      <c r="Q1176" s="11">
        <f>IF(AND(L1304&lt;&gt;"",L1304&gt;0,P1304&lt;&gt;""),P1304/L1304,"")</f>
        <v/>
      </c>
      <c r="R1176" s="16">
        <f>IF(AND(P1304&lt;&gt;"",P1304&gt;0),(I1304+J1304+K1304)/P1304,"")</f>
        <v/>
      </c>
    </row>
    <row r="1177" ht="81" customHeight="1">
      <c r="A1177" s="5" t="inlineStr">
        <is>
          <t>2026-07-13</t>
        </is>
      </c>
      <c r="B1177" s="5" t="inlineStr">
        <is>
          <t>29周</t>
        </is>
      </c>
      <c r="C1177" s="5" t="inlineStr">
        <is>
          <t>抖音</t>
        </is>
      </c>
      <c r="D1177" s="5" t="n"/>
      <c r="E1177" s="5" t="n"/>
      <c r="F1177" s="5" t="inlineStr">
        <is>
          <t>https://v.douyin.com/pnvZIcQ2UQI/</t>
        </is>
      </c>
      <c r="G1177" s="5" t="inlineStr">
        <is>
          <t>489</t>
        </is>
      </c>
      <c r="H1177" s="5" t="inlineStr">
        <is>
          <t>鞋子合集</t>
        </is>
      </c>
      <c r="I1177" s="5" t="n">
        <v>74.625</v>
      </c>
      <c r="J1177" s="5" t="n"/>
      <c r="K1177" s="5" t="n"/>
      <c r="L1177" s="5" t="n">
        <v>33000</v>
      </c>
      <c r="M1177" s="5" t="n">
        <v>517</v>
      </c>
      <c r="N1177" s="5" t="n">
        <v>137</v>
      </c>
      <c r="O1177" s="5" t="n">
        <v>37</v>
      </c>
      <c r="P1177" s="8">
        <f>IF(AND(M1305&lt;&gt;"",M1305&gt;0),M1305+N1305+O1305,"")</f>
        <v/>
      </c>
      <c r="Q1177" s="11">
        <f>IF(AND(L1305&lt;&gt;"",L1305&gt;0,P1305&lt;&gt;""),P1305/L1305,"")</f>
        <v/>
      </c>
      <c r="R1177" s="16">
        <f>IF(AND(P1305&lt;&gt;"",P1305&gt;0),(I1305+J1305+K1305)/P1305,"")</f>
        <v/>
      </c>
    </row>
    <row r="1178" ht="40.5" customHeight="1">
      <c r="A1178" s="5" t="inlineStr">
        <is>
          <t>2026-07-13</t>
        </is>
      </c>
      <c r="B1178" s="5" t="inlineStr">
        <is>
          <t>29周</t>
        </is>
      </c>
      <c r="C1178" s="5" t="inlineStr">
        <is>
          <t>抖音</t>
        </is>
      </c>
      <c r="D1178" s="5" t="n"/>
      <c r="E1178" s="5" t="n"/>
      <c r="F1178" s="5" t="inlineStr">
        <is>
          <t>https://www.douyin.com/video/7661957739283804890</t>
        </is>
      </c>
      <c r="G1178" s="5" t="inlineStr">
        <is>
          <t>0003A2</t>
        </is>
      </c>
      <c r="H1178" s="5" t="inlineStr">
        <is>
          <t>虞书欣</t>
        </is>
      </c>
      <c r="I1178" s="5" t="n">
        <v>96.75</v>
      </c>
      <c r="J1178" s="5" t="n"/>
      <c r="K1178" s="5" t="n"/>
      <c r="L1178" s="5" t="n">
        <v>18000</v>
      </c>
      <c r="M1178" s="5" t="n">
        <v>662</v>
      </c>
      <c r="N1178" s="5" t="n">
        <v>20</v>
      </c>
      <c r="O1178" s="5" t="n">
        <v>83</v>
      </c>
      <c r="P1178" s="8">
        <f>IF(AND(M1306&lt;&gt;"",M1306&gt;0),M1306+N1306+O1306,"")</f>
        <v/>
      </c>
      <c r="Q1178" s="11">
        <f>IF(AND(L1306&lt;&gt;"",L1306&gt;0,P1306&lt;&gt;""),P1306/L1306,"")</f>
        <v/>
      </c>
      <c r="R1178" s="16">
        <f>IF(AND(P1306&lt;&gt;"",P1306&gt;0),(I1306+J1306+K1306)/P1306,"")</f>
        <v/>
      </c>
    </row>
    <row r="1179" ht="54" customHeight="1">
      <c r="A1179" s="5" t="inlineStr">
        <is>
          <t>2026-07-13</t>
        </is>
      </c>
      <c r="B1179" s="5" t="inlineStr">
        <is>
          <t>29周</t>
        </is>
      </c>
      <c r="C1179" s="5" t="inlineStr">
        <is>
          <t>小红书</t>
        </is>
      </c>
      <c r="D1179" s="5" t="n"/>
      <c r="E1179" s="5" t="n"/>
      <c r="F1179" s="5" t="inlineStr">
        <is>
          <t>https://www.xiaohongshu.com/discovery/item/6a54d4f4000000001503f1da?xsec_token=CBtC7-VdOJ0zpJt3aZZX8MVJCDxsJtv10zEsxfSINwdpg=&amp;xsec_source=app_share&amp;type=video</t>
        </is>
      </c>
      <c r="G1179" s="5" t="inlineStr">
        <is>
          <t>489</t>
        </is>
      </c>
      <c r="H1179" s="5" t="inlineStr">
        <is>
          <t>鞋子合集</t>
        </is>
      </c>
      <c r="I1179" s="5" t="n">
        <v>74.625</v>
      </c>
      <c r="J1179" s="5" t="n"/>
      <c r="K1179" s="5" t="n"/>
      <c r="L1179" s="5" t="n">
        <v>1389</v>
      </c>
      <c r="M1179" s="5" t="n">
        <v>61</v>
      </c>
      <c r="N1179" s="5" t="n">
        <v>15</v>
      </c>
      <c r="O1179" s="5" t="n">
        <v>12</v>
      </c>
      <c r="P1179" s="8">
        <f>IF(AND(M1307&lt;&gt;"",M1307&gt;0),M1307+N1307+O1307,"")</f>
        <v/>
      </c>
      <c r="Q1179" s="11">
        <f>IF(AND(L1307&lt;&gt;"",L1307&gt;0,P1307&lt;&gt;""),P1307/L1307,"")</f>
        <v/>
      </c>
      <c r="R1179" s="16">
        <f>IF(AND(P1307&lt;&gt;"",P1307&gt;0),(I1307+J1307+K1307)/P1307,"")</f>
        <v/>
      </c>
    </row>
    <row r="1180" ht="81" customHeight="1">
      <c r="A1180" s="5" t="inlineStr">
        <is>
          <t>2026-07-13</t>
        </is>
      </c>
      <c r="B1180" s="5" t="inlineStr">
        <is>
          <t>29周</t>
        </is>
      </c>
      <c r="C1180" s="5" t="inlineStr">
        <is>
          <t>小红书</t>
        </is>
      </c>
      <c r="D1180" s="5" t="n"/>
      <c r="E1180" s="5" t="n"/>
      <c r="F1180" s="5" t="inlineStr">
        <is>
          <t>https://www.xiaohongshu.com/discovery/item/6a54dde600000000070132ba?xsec_token=CBtC7-VdOJ0zpJt3aZZX8MVF93zi8tOxGWA8XiRMfczp4=&amp;xsec_source=app_share&amp;type=video</t>
        </is>
      </c>
      <c r="G1180" s="5" t="inlineStr">
        <is>
          <t>1093W</t>
        </is>
      </c>
      <c r="H1180" s="5" t="inlineStr">
        <is>
          <t>鞋子合集</t>
        </is>
      </c>
      <c r="I1180" s="5" t="n">
        <v>23.835</v>
      </c>
      <c r="J1180" s="5" t="n"/>
      <c r="K1180" s="5" t="n"/>
      <c r="L1180" s="5" t="n">
        <v>341</v>
      </c>
      <c r="M1180" s="5" t="n">
        <v>16</v>
      </c>
      <c r="N1180" s="5" t="n">
        <v>4</v>
      </c>
      <c r="O1180" s="5" t="n">
        <v>5</v>
      </c>
      <c r="P1180" s="8">
        <f>IF(AND(M1308&lt;&gt;"",M1308&gt;0),M1308+N1308+O1308,"")</f>
        <v/>
      </c>
      <c r="Q1180" s="11">
        <f>IF(AND(L1308&lt;&gt;"",L1308&gt;0,P1308&lt;&gt;""),P1308/L1308,"")</f>
        <v/>
      </c>
      <c r="R1180" s="16">
        <f>IF(AND(P1308&lt;&gt;"",P1308&gt;0),(I1308+J1308+K1308)/P1308,"")</f>
        <v/>
      </c>
    </row>
    <row r="1181" ht="81" customHeight="1">
      <c r="A1181" s="5" t="inlineStr">
        <is>
          <t>2026-07-13</t>
        </is>
      </c>
      <c r="B1181" s="5" t="inlineStr">
        <is>
          <t>29周</t>
        </is>
      </c>
      <c r="C1181" s="5" t="inlineStr">
        <is>
          <t>小红书</t>
        </is>
      </c>
      <c r="D1181" s="5" t="n"/>
      <c r="E1181" s="5" t="n"/>
      <c r="F1181" s="5" t="inlineStr">
        <is>
          <t>https://www.xiaohongshu.com/discovery/item/6a54e042000000001102f501?xsec_token=CBtC7-VdOJ0zpJt3aZZX8MVIxeqgo4W_DO6kZZXzQQ9MU=&amp;xsec_source=app_share&amp;type=video</t>
        </is>
      </c>
      <c r="G1181" s="5" t="inlineStr">
        <is>
          <t>1093W</t>
        </is>
      </c>
      <c r="H1181" s="5" t="inlineStr">
        <is>
          <t>跳舞穿搭</t>
        </is>
      </c>
      <c r="I1181" s="5" t="n">
        <v>23.835</v>
      </c>
      <c r="J1181" s="5" t="n"/>
      <c r="K1181" s="5" t="n"/>
      <c r="L1181" s="5" t="n">
        <v>684</v>
      </c>
      <c r="M1181" s="5" t="n">
        <v>46</v>
      </c>
      <c r="N1181" s="5" t="n">
        <v>5</v>
      </c>
      <c r="O1181" s="5" t="n">
        <v>6</v>
      </c>
      <c r="P1181" s="8">
        <f>IF(AND(M1309&lt;&gt;"",M1309&gt;0),M1309+N1309+O1309,"")</f>
        <v/>
      </c>
      <c r="Q1181" s="11">
        <f>IF(AND(L1309&lt;&gt;"",L1309&gt;0,P1309&lt;&gt;""),P1309/L1309,"")</f>
        <v/>
      </c>
      <c r="R1181" s="16">
        <f>IF(AND(P1309&lt;&gt;"",P1309&gt;0),(I1309+J1309+K1309)/P1309,"")</f>
        <v/>
      </c>
    </row>
    <row r="1182" ht="81" customHeight="1">
      <c r="A1182" s="5" t="inlineStr">
        <is>
          <t>2026-07-14</t>
        </is>
      </c>
      <c r="B1182" s="5" t="inlineStr">
        <is>
          <t>29周</t>
        </is>
      </c>
      <c r="C1182" s="5" t="inlineStr">
        <is>
          <t>抖音</t>
        </is>
      </c>
      <c r="D1182" s="5" t="n"/>
      <c r="E1182" s="5" t="n"/>
      <c r="F1182" s="5" t="inlineStr">
        <is>
          <t>https://www.douyin.com/user/MS4wLjABAAAAcRErIW9wPSx1FPdfklUCYIwcyWw04rENSJmxCOywlJM?from_tab_name=main&amp;modal_id=7662231994781705585&amp;vid=7662231994781705585</t>
        </is>
      </c>
      <c r="G1182" s="5" t="inlineStr">
        <is>
          <t>459</t>
        </is>
      </c>
      <c r="H1182" s="5" t="inlineStr">
        <is>
          <t>穿搭</t>
        </is>
      </c>
      <c r="I1182" s="5" t="n">
        <v>20.045</v>
      </c>
      <c r="J1182" s="5" t="n"/>
      <c r="K1182" s="5" t="n"/>
      <c r="L1182" s="5" t="n">
        <v>31000</v>
      </c>
      <c r="M1182" s="5" t="n">
        <v>1692</v>
      </c>
      <c r="N1182" s="5" t="n">
        <v>187</v>
      </c>
      <c r="O1182" s="5" t="n">
        <v>22</v>
      </c>
      <c r="P1182" s="8">
        <f>IF(AND(M1310&lt;&gt;"",M1310&gt;0),M1310+N1310+O1310,"")</f>
        <v/>
      </c>
      <c r="Q1182" s="11">
        <f>IF(AND(L1310&lt;&gt;"",L1310&gt;0,P1310&lt;&gt;""),P1310/L1310,"")</f>
        <v/>
      </c>
      <c r="R1182" s="16">
        <f>IF(AND(P1310&lt;&gt;"",P1310&gt;0),(I1310+J1310+K1310)/P1310,"")</f>
        <v/>
      </c>
    </row>
    <row r="1183" ht="81" customHeight="1">
      <c r="A1183" s="5" t="inlineStr">
        <is>
          <t>2026-07-14</t>
        </is>
      </c>
      <c r="B1183" s="5" t="inlineStr">
        <is>
          <t>29周</t>
        </is>
      </c>
      <c r="C1183" s="5" t="inlineStr">
        <is>
          <t>抖音</t>
        </is>
      </c>
      <c r="D1183" s="5" t="n"/>
      <c r="E1183" s="5" t="n"/>
      <c r="F1183" s="5" t="inlineStr">
        <is>
          <t>https://v.douyin.com/5KOYIahLL1I/ SYz:/ :1pm e@o.dN 03/21</t>
        </is>
      </c>
      <c r="G1183" s="5" t="inlineStr">
        <is>
          <t>1093W</t>
        </is>
      </c>
      <c r="H1183" s="5" t="inlineStr">
        <is>
          <t>群像穿搭</t>
        </is>
      </c>
      <c r="I1183" s="5" t="n">
        <v>89.84</v>
      </c>
      <c r="J1183" s="5" t="n"/>
      <c r="K1183" s="5" t="n"/>
      <c r="L1183" s="5" t="n">
        <v>3300</v>
      </c>
      <c r="M1183" s="5" t="n">
        <v>156</v>
      </c>
      <c r="N1183" s="5" t="n">
        <v>2</v>
      </c>
      <c r="O1183" s="5" t="n">
        <v>6</v>
      </c>
      <c r="P1183" s="8">
        <f>IF(AND(M1311&lt;&gt;"",M1311&gt;0),M1311+N1311+O1311,"")</f>
        <v/>
      </c>
      <c r="Q1183" s="11">
        <f>IF(AND(L1311&lt;&gt;"",L1311&gt;0,P1311&lt;&gt;""),P1311/L1311,"")</f>
        <v/>
      </c>
      <c r="R1183" s="16">
        <f>IF(AND(P1311&lt;&gt;"",P1311&gt;0),(I1311+J1311+K1311)/P1311,"")</f>
        <v/>
      </c>
    </row>
    <row r="1184" ht="67.5" customHeight="1">
      <c r="A1184" s="5" t="inlineStr">
        <is>
          <t>2026-07-15</t>
        </is>
      </c>
      <c r="B1184" s="5" t="inlineStr">
        <is>
          <t>29周</t>
        </is>
      </c>
      <c r="C1184" s="5" t="inlineStr">
        <is>
          <t>抖音</t>
        </is>
      </c>
      <c r="D1184" s="5" t="n"/>
      <c r="E1184" s="5" t="n"/>
      <c r="F1184" s="5" t="inlineStr">
        <is>
          <t>https://v.douyin.com/CFYwgSDwwB4/</t>
        </is>
      </c>
      <c r="G1184" s="5" t="inlineStr">
        <is>
          <t>459</t>
        </is>
      </c>
      <c r="H1184" s="5" t="inlineStr">
        <is>
          <t>生命力穿搭</t>
        </is>
      </c>
      <c r="I1184" s="5" t="n">
        <v>20.045</v>
      </c>
      <c r="J1184" s="5" t="n"/>
      <c r="K1184" s="5" t="n"/>
      <c r="L1184" s="5" t="n">
        <v>5406</v>
      </c>
      <c r="M1184" s="5" t="n">
        <v>195</v>
      </c>
      <c r="N1184" s="5" t="n">
        <v>19</v>
      </c>
      <c r="O1184" s="5" t="n">
        <v>17</v>
      </c>
      <c r="P1184" s="8">
        <f>IF(AND(M1312&lt;&gt;"",M1312&gt;0),M1312+N1312+O1312,"")</f>
        <v/>
      </c>
      <c r="Q1184" s="11">
        <f>IF(AND(L1312&lt;&gt;"",L1312&gt;0,P1312&lt;&gt;""),P1312/L1312,"")</f>
        <v/>
      </c>
      <c r="R1184" s="16">
        <f>IF(AND(P1312&lt;&gt;"",P1312&gt;0),(I1312+J1312+K1312)/P1312,"")</f>
        <v/>
      </c>
    </row>
    <row r="1185" ht="67.5" customHeight="1">
      <c r="A1185" s="5" t="inlineStr">
        <is>
          <t>2026-07-15</t>
        </is>
      </c>
      <c r="B1185" s="5" t="inlineStr">
        <is>
          <t>29周</t>
        </is>
      </c>
      <c r="C1185" s="5" t="inlineStr">
        <is>
          <t>抖音</t>
        </is>
      </c>
      <c r="D1185" s="5" t="n"/>
      <c r="E1185" s="5" t="n"/>
      <c r="F1185" s="5" t="inlineStr">
        <is>
          <t>https://v.douyin.com/SfZTsjhhSzI/</t>
        </is>
      </c>
      <c r="G1185" s="5" t="inlineStr">
        <is>
          <t>0003A2</t>
        </is>
      </c>
      <c r="H1185" s="5" t="inlineStr">
        <is>
          <t>虞书欣</t>
        </is>
      </c>
      <c r="I1185" s="5" t="n">
        <v>96.75</v>
      </c>
      <c r="J1185" s="5" t="n"/>
      <c r="K1185" s="5" t="n"/>
      <c r="L1185" s="5" t="n">
        <v>13000</v>
      </c>
      <c r="M1185" s="5" t="n">
        <v>606</v>
      </c>
      <c r="N1185" s="5" t="n">
        <v>10</v>
      </c>
      <c r="O1185" s="5" t="n">
        <v>31</v>
      </c>
      <c r="P1185" s="8">
        <f>IF(AND(M1313&lt;&gt;"",M1313&gt;0),M1313+N1313+O1313,"")</f>
        <v/>
      </c>
      <c r="Q1185" s="11">
        <f>IF(AND(L1313&lt;&gt;"",L1313&gt;0,P1313&lt;&gt;""),P1313/L1313,"")</f>
        <v/>
      </c>
      <c r="R1185" s="16">
        <f>IF(AND(P1313&lt;&gt;"",P1313&gt;0),(I1313+J1313+K1313)/P1313,"")</f>
        <v/>
      </c>
    </row>
    <row r="1186" ht="27" customHeight="1">
      <c r="A1186" s="5" t="inlineStr">
        <is>
          <t>2026-07-15</t>
        </is>
      </c>
      <c r="B1186" s="5" t="inlineStr">
        <is>
          <t>29周</t>
        </is>
      </c>
      <c r="C1186" s="5" t="inlineStr">
        <is>
          <t>抖音</t>
        </is>
      </c>
      <c r="D1186" s="5" t="n"/>
      <c r="E1186" s="5" t="n"/>
      <c r="F1186" s="5" t="inlineStr">
        <is>
          <t>https://v.douyin.com/xaKSxpo3z_Q/</t>
        </is>
      </c>
      <c r="G1186" s="5" t="inlineStr">
        <is>
          <t>0002A1</t>
        </is>
      </c>
      <c r="H1186" s="5" t="inlineStr">
        <is>
          <t>穿搭</t>
        </is>
      </c>
      <c r="I1186" s="5" t="n">
        <v>103.85</v>
      </c>
      <c r="J1186" s="5" t="n"/>
      <c r="K1186" s="5" t="n"/>
      <c r="L1186" s="5" t="n">
        <v>28000</v>
      </c>
      <c r="M1186" s="5" t="n">
        <v>1638</v>
      </c>
      <c r="N1186" s="5" t="n">
        <v>244</v>
      </c>
      <c r="O1186" s="5" t="n">
        <v>65</v>
      </c>
      <c r="P1186" s="8">
        <f>IF(AND(M1314&lt;&gt;"",M1314&gt;0),M1314+N1314+O1314,"")</f>
        <v/>
      </c>
      <c r="Q1186" s="11">
        <f>IF(AND(L1314&lt;&gt;"",L1314&gt;0,P1314&lt;&gt;""),P1314/L1314,"")</f>
        <v/>
      </c>
      <c r="R1186" s="16">
        <f>IF(AND(P1314&lt;&gt;"",P1314&gt;0),(I1314+J1314+K1314)/P1314,"")</f>
        <v/>
      </c>
    </row>
    <row r="1187" ht="27" customHeight="1">
      <c r="A1187" s="5" t="inlineStr">
        <is>
          <t>2026-07-15</t>
        </is>
      </c>
      <c r="B1187" s="5" t="inlineStr">
        <is>
          <t>29周</t>
        </is>
      </c>
      <c r="C1187" s="5" t="inlineStr">
        <is>
          <t>抖音</t>
        </is>
      </c>
      <c r="D1187" s="5" t="n"/>
      <c r="E1187" s="5" t="n"/>
      <c r="F1187" s="5" t="inlineStr">
        <is>
          <t>https://v.douyin.com/Sg28nwcaJIs/ 04/18 :5pm e@O.kp Tlc:/</t>
        </is>
      </c>
      <c r="G1187" s="5" t="inlineStr">
        <is>
          <t>0003A2</t>
        </is>
      </c>
      <c r="H1187" s="5" t="inlineStr">
        <is>
          <t>上班穿搭</t>
        </is>
      </c>
      <c r="I1187" s="5" t="n"/>
      <c r="J1187" s="5" t="n"/>
      <c r="K1187" s="5" t="n"/>
      <c r="L1187" s="5" t="n">
        <v>14000</v>
      </c>
      <c r="M1187" s="5" t="n">
        <v>303</v>
      </c>
      <c r="N1187" s="5" t="n">
        <v>95</v>
      </c>
      <c r="O1187" s="5" t="n">
        <v>25</v>
      </c>
      <c r="P1187" s="8">
        <f>IF(AND(M1315&lt;&gt;"",M1315&gt;0),M1315+N1315+O1315,"")</f>
        <v/>
      </c>
      <c r="Q1187" s="11">
        <f>IF(AND(L1315&lt;&gt;"",L1315&gt;0,P1315&lt;&gt;""),P1315/L1315,"")</f>
        <v/>
      </c>
      <c r="R1187" s="16">
        <f>IF(AND(P1315&lt;&gt;"",P1315&gt;0),(I1315+J1315+K1315)/P1315,"")</f>
        <v/>
      </c>
    </row>
    <row r="1188" ht="27" customHeight="1">
      <c r="A1188" s="5" t="inlineStr">
        <is>
          <t>2026-07-15</t>
        </is>
      </c>
      <c r="B1188" s="5" t="inlineStr">
        <is>
          <t>29周</t>
        </is>
      </c>
      <c r="C1188" s="5" t="inlineStr">
        <is>
          <t>抖音</t>
        </is>
      </c>
      <c r="D1188" s="5" t="n"/>
      <c r="E1188" s="5" t="n"/>
      <c r="F1188" s="5" t="inlineStr">
        <is>
          <t>https://www.douyin.com/note/7662711896378775673</t>
        </is>
      </c>
      <c r="G1188" s="5" t="inlineStr">
        <is>
          <t>495</t>
        </is>
      </c>
      <c r="H1188" s="5" t="inlineStr">
        <is>
          <t>侯明昊</t>
        </is>
      </c>
      <c r="I1188" s="5" t="n">
        <v>97.86</v>
      </c>
      <c r="J1188" s="5" t="n"/>
      <c r="K1188" s="5" t="n"/>
      <c r="L1188" s="5" t="n">
        <v>2747</v>
      </c>
      <c r="M1188" s="5" t="n">
        <v>152</v>
      </c>
      <c r="N1188" s="5" t="n">
        <v>4</v>
      </c>
      <c r="O1188" s="5" t="n">
        <v>2</v>
      </c>
      <c r="P1188" s="8">
        <f>IF(AND(M1316&lt;&gt;"",M1316&gt;0),M1316+N1316+O1316,"")</f>
        <v/>
      </c>
      <c r="Q1188" s="11">
        <f>IF(AND(L1316&lt;&gt;"",L1316&gt;0,P1316&lt;&gt;""),P1316/L1316,"")</f>
        <v/>
      </c>
      <c r="R1188" s="16">
        <f>IF(AND(P1316&lt;&gt;"",P1316&gt;0),(I1316+J1316+K1316)/P1316,"")</f>
        <v/>
      </c>
    </row>
    <row r="1189" ht="27" customHeight="1">
      <c r="A1189" s="5" t="inlineStr">
        <is>
          <t>2026-07-15</t>
        </is>
      </c>
      <c r="B1189" s="5" t="inlineStr">
        <is>
          <t>29周</t>
        </is>
      </c>
      <c r="C1189" s="5" t="inlineStr">
        <is>
          <t>快手</t>
        </is>
      </c>
      <c r="D1189" s="5" t="n"/>
      <c r="E1189" s="5" t="n"/>
      <c r="F1189" s="5" t="inlineStr">
        <is>
          <t>https://v.kuaishou.com/n3vz1d6V</t>
        </is>
      </c>
      <c r="G1189" s="5" t="inlineStr">
        <is>
          <t>1093W</t>
        </is>
      </c>
      <c r="H1189" s="5" t="inlineStr">
        <is>
          <t>左奇函</t>
        </is>
      </c>
      <c r="I1189" s="5" t="n">
        <v>23.835</v>
      </c>
      <c r="J1189" s="5" t="n"/>
      <c r="K1189" s="5" t="n"/>
      <c r="L1189" s="5" t="n">
        <v>30000</v>
      </c>
      <c r="M1189" s="5" t="n">
        <v>1196</v>
      </c>
      <c r="N1189" s="5" t="n">
        <v>157</v>
      </c>
      <c r="O1189" s="5" t="n">
        <v>74</v>
      </c>
      <c r="P1189" s="8">
        <f>IF(AND(M1317&lt;&gt;"",M1317&gt;0),M1317+N1317+O1317,"")</f>
        <v/>
      </c>
      <c r="Q1189" s="11">
        <f>IF(AND(L1317&lt;&gt;"",L1317&gt;0,P1317&lt;&gt;""),P1317/L1317,"")</f>
        <v/>
      </c>
      <c r="R1189" s="16">
        <f>IF(AND(P1317&lt;&gt;"",P1317&gt;0),(I1317+J1317+K1317)/P1317,"")</f>
        <v/>
      </c>
    </row>
    <row r="1190" ht="27" customHeight="1">
      <c r="A1190" s="5" t="inlineStr">
        <is>
          <t>2026-07-15</t>
        </is>
      </c>
      <c r="B1190" s="5" t="inlineStr">
        <is>
          <t>29周</t>
        </is>
      </c>
      <c r="C1190" s="5" t="inlineStr">
        <is>
          <t>小红书</t>
        </is>
      </c>
      <c r="D1190" s="5" t="n"/>
      <c r="E1190" s="5" t="n"/>
      <c r="F1190" s="5" t="inlineStr">
        <is>
          <t>https://www.xiaohongshu.com/discovery/item/6a5749a6000000001700a747?xsec_token=CBFt51cz8E_eWjszN7c9erWu9_p_FwaHRkNoTgZRhY_To=&amp;xsec_source=app_share&amp;type=video</t>
        </is>
      </c>
      <c r="G1190" s="5" t="inlineStr">
        <is>
          <t>1093W</t>
        </is>
      </c>
      <c r="H1190" s="5" t="inlineStr">
        <is>
          <t>左奇函</t>
        </is>
      </c>
      <c r="I1190" s="5" t="n">
        <v>23.835</v>
      </c>
      <c r="J1190" s="5" t="n"/>
      <c r="K1190" s="5" t="n"/>
      <c r="L1190" s="5" t="n">
        <v>9233</v>
      </c>
      <c r="M1190" s="5" t="n">
        <v>720</v>
      </c>
      <c r="N1190" s="5" t="n">
        <v>71</v>
      </c>
      <c r="O1190" s="5" t="n">
        <v>41</v>
      </c>
      <c r="P1190" s="8">
        <f>IF(AND(M1318&lt;&gt;"",M1318&gt;0),M1318+N1318+O1318,"")</f>
        <v/>
      </c>
      <c r="Q1190" s="11">
        <f>IF(AND(L1318&lt;&gt;"",L1318&gt;0,P1318&lt;&gt;""),P1318/L1318,"")</f>
        <v/>
      </c>
      <c r="R1190" s="16">
        <f>IF(AND(P1318&lt;&gt;"",P1318&gt;0),(I1318+J1318+K1318)/P1318,"")</f>
        <v/>
      </c>
    </row>
    <row r="1191" ht="27" customHeight="1">
      <c r="A1191" s="5" t="inlineStr">
        <is>
          <t>2026-07-16</t>
        </is>
      </c>
      <c r="B1191" s="5" t="inlineStr">
        <is>
          <t>29周</t>
        </is>
      </c>
      <c r="C1191" s="5" t="inlineStr">
        <is>
          <t>小红书</t>
        </is>
      </c>
      <c r="D1191" s="5" t="n"/>
      <c r="E1191" s="5" t="n"/>
      <c r="F1191" s="5" t="inlineStr">
        <is>
          <t>https://www.xiaohongshu.com/discovery/item/6a5883f60000000022019ac4?xsec_token=CBBLyU8TOJ-kVbmmVfTVmVpVmaBTmXM_x6PQ0x2Onq1U0=&amp;xsec_source=app_share</t>
        </is>
      </c>
      <c r="G1191" s="5" t="inlineStr">
        <is>
          <t>0002A1</t>
        </is>
      </c>
      <c r="H1191" s="5" t="inlineStr">
        <is>
          <t>穿搭</t>
        </is>
      </c>
      <c r="I1191" s="5" t="n">
        <v>103.85</v>
      </c>
      <c r="J1191" s="5" t="n"/>
      <c r="K1191" s="5" t="n"/>
      <c r="L1191" s="5" t="n">
        <v>4359</v>
      </c>
      <c r="M1191" s="5" t="n">
        <v>253</v>
      </c>
      <c r="N1191" s="5" t="n">
        <v>50</v>
      </c>
      <c r="O1191" s="5" t="n">
        <v>21</v>
      </c>
      <c r="P1191" s="8">
        <f>IF(AND(M1319&lt;&gt;"",M1319&gt;0),M1319+N1319+O1319,"")</f>
        <v/>
      </c>
      <c r="Q1191" s="11">
        <f>IF(AND(L1319&lt;&gt;"",L1319&gt;0,P1319&lt;&gt;""),P1319/L1319,"")</f>
        <v/>
      </c>
      <c r="R1191" s="16">
        <f>IF(AND(P1319&lt;&gt;"",P1319&gt;0),(I1319+J1319+K1319)/P1319,"")</f>
        <v/>
      </c>
    </row>
    <row r="1192" ht="27" customHeight="1">
      <c r="A1192" s="5" t="inlineStr">
        <is>
          <t>2026-07-16</t>
        </is>
      </c>
      <c r="B1192" s="5" t="inlineStr">
        <is>
          <t>29周</t>
        </is>
      </c>
      <c r="C1192" s="5" t="inlineStr">
        <is>
          <t>小红书</t>
        </is>
      </c>
      <c r="D1192" s="5" t="n"/>
      <c r="E1192" s="5" t="n"/>
      <c r="F1192" s="5" t="inlineStr">
        <is>
          <t>https://www.xiaohongshu.com/discovery/item/6a58a00100000000130266e7?xsec_token=CBBLyU8TOJ-kVbmmVfTVmVpcZWQhI08_C667mYdqPcHqY=&amp;xsec_source=app_share&amp;type=video</t>
        </is>
      </c>
      <c r="G1192" s="5" t="inlineStr">
        <is>
          <t>489</t>
        </is>
      </c>
      <c r="H1192" s="5" t="inlineStr">
        <is>
          <t>邓紫棋</t>
        </is>
      </c>
      <c r="I1192" s="5" t="n">
        <v>24.625</v>
      </c>
      <c r="J1192" s="5" t="n"/>
      <c r="K1192" s="5" t="n"/>
      <c r="L1192" s="5" t="n">
        <v>2992</v>
      </c>
      <c r="M1192" s="5" t="n">
        <v>217</v>
      </c>
      <c r="N1192" s="5" t="n">
        <v>38</v>
      </c>
      <c r="O1192" s="5" t="n">
        <v>11</v>
      </c>
      <c r="P1192" s="8">
        <f>IF(AND(M1320&lt;&gt;"",M1320&gt;0),M1320+N1320+O1320,"")</f>
        <v/>
      </c>
      <c r="Q1192" s="11">
        <f>IF(AND(L1320&lt;&gt;"",L1320&gt;0,P1320&lt;&gt;""),P1320/L1320,"")</f>
        <v/>
      </c>
      <c r="R1192" s="16">
        <f>IF(AND(P1320&lt;&gt;"",P1320&gt;0),(I1320+J1320+K1320)/P1320,"")</f>
        <v/>
      </c>
    </row>
    <row r="1193" ht="81" customHeight="1">
      <c r="A1193" s="5" t="inlineStr">
        <is>
          <t>2026-07-16</t>
        </is>
      </c>
      <c r="B1193" s="5" t="inlineStr">
        <is>
          <t>29周</t>
        </is>
      </c>
      <c r="C1193" s="5" t="inlineStr">
        <is>
          <t>小红书</t>
        </is>
      </c>
      <c r="D1193" s="5" t="n"/>
      <c r="E1193" s="5" t="n"/>
      <c r="F1193" s="5" t="inlineStr">
        <is>
          <t>https://www.xiaohongshu.com/discovery/item/6a58a3f6000000001101090f?xsec_token=CBBLyU8TOJ-kVbmmVfTVmVpajn9t51sORtvWFsBq6TozI=&amp;xsec_source=app_share&amp;type=video</t>
        </is>
      </c>
      <c r="G1193" s="5" t="inlineStr">
        <is>
          <t>1093W</t>
        </is>
      </c>
      <c r="H1193" s="5" t="inlineStr">
        <is>
          <t>张桂源</t>
        </is>
      </c>
      <c r="I1193" s="5" t="n">
        <v>15.89</v>
      </c>
      <c r="J1193" s="5" t="n"/>
      <c r="K1193" s="5" t="n"/>
      <c r="L1193" s="5" t="n">
        <v>3021</v>
      </c>
      <c r="M1193" s="5" t="n">
        <v>200</v>
      </c>
      <c r="N1193" s="5" t="n">
        <v>5</v>
      </c>
      <c r="O1193" s="5" t="n">
        <v>30</v>
      </c>
      <c r="P1193" s="8">
        <f>IF(AND(M1321&lt;&gt;"",M1321&gt;0),M1321+N1321+O1321,"")</f>
        <v/>
      </c>
      <c r="Q1193" s="11">
        <f>IF(AND(L1321&lt;&gt;"",L1321&gt;0,P1321&lt;&gt;""),P1321/L1321,"")</f>
        <v/>
      </c>
      <c r="R1193" s="16">
        <f>IF(AND(P1321&lt;&gt;"",P1321&gt;0),(I1321+J1321+K1321)/P1321,"")</f>
        <v/>
      </c>
    </row>
    <row r="1194" ht="27" customHeight="1">
      <c r="A1194" s="5" t="inlineStr">
        <is>
          <t>2026-07-17</t>
        </is>
      </c>
      <c r="B1194" s="5" t="inlineStr">
        <is>
          <t>29周</t>
        </is>
      </c>
      <c r="C1194" s="5" t="inlineStr">
        <is>
          <t>抖音</t>
        </is>
      </c>
      <c r="D1194" s="5" t="n"/>
      <c r="E1194" s="5" t="n"/>
      <c r="F1194" s="5" t="inlineStr">
        <is>
          <t>https://v.douyin.com/0zloYhcIV88/ 12/06 q@E.Hv :7pm GII:/</t>
        </is>
      </c>
      <c r="G1194" s="5" t="inlineStr">
        <is>
          <t>1093W</t>
        </is>
      </c>
      <c r="H1194" s="5" t="inlineStr">
        <is>
          <t>跳舞穿搭</t>
        </is>
      </c>
      <c r="I1194" s="5" t="n">
        <v>247.67</v>
      </c>
      <c r="J1194" s="5" t="n"/>
      <c r="K1194" s="5" t="n"/>
      <c r="L1194" s="5" t="n">
        <v>73000</v>
      </c>
      <c r="M1194" s="5" t="n">
        <v>2399</v>
      </c>
      <c r="N1194" s="5" t="n">
        <v>112</v>
      </c>
      <c r="O1194" s="5" t="n">
        <v>57</v>
      </c>
      <c r="P1194" s="8">
        <f>IF(AND(M1322&lt;&gt;"",M1322&gt;0),M1322+N1322+O1322,"")</f>
        <v/>
      </c>
      <c r="Q1194" s="11">
        <f>IF(AND(L1322&lt;&gt;"",L1322&gt;0,P1322&lt;&gt;""),P1322/L1322,"")</f>
        <v/>
      </c>
      <c r="R1194" s="16">
        <f>IF(AND(P1322&lt;&gt;"",P1322&gt;0),(I1322+J1322+K1322)/P1322,"")</f>
        <v/>
      </c>
    </row>
    <row r="1195" ht="27" customHeight="1">
      <c r="A1195" s="5" t="inlineStr">
        <is>
          <t>2026-07-17</t>
        </is>
      </c>
      <c r="B1195" s="5" t="inlineStr">
        <is>
          <t>29周</t>
        </is>
      </c>
      <c r="C1195" s="5" t="inlineStr">
        <is>
          <t>抖音</t>
        </is>
      </c>
      <c r="D1195" s="5" t="n"/>
      <c r="E1195" s="5" t="n"/>
      <c r="F1195" s="5" t="inlineStr">
        <is>
          <t>https://v.douyin.com/Q6yWot36piA/ I@v.se</t>
        </is>
      </c>
      <c r="G1195" s="5" t="inlineStr">
        <is>
          <t>489</t>
        </is>
      </c>
      <c r="H1195" s="5" t="inlineStr">
        <is>
          <t>陈奕恒</t>
        </is>
      </c>
      <c r="I1195" s="5" t="n">
        <v>48.375</v>
      </c>
      <c r="J1195" s="5" t="n"/>
      <c r="K1195" s="5" t="n"/>
      <c r="L1195" s="5" t="n">
        <v>1541</v>
      </c>
      <c r="M1195" s="5" t="n">
        <v>202</v>
      </c>
      <c r="N1195" s="5" t="n">
        <v>6</v>
      </c>
      <c r="O1195" s="5" t="n">
        <v>2</v>
      </c>
      <c r="P1195" s="8">
        <f>IF(AND(M1323&lt;&gt;"",M1323&gt;0),M1323+N1323+O1323,"")</f>
        <v/>
      </c>
      <c r="Q1195" s="11">
        <f>IF(AND(L1323&lt;&gt;"",L1323&gt;0,P1323&lt;&gt;""),P1323/L1323,"")</f>
        <v/>
      </c>
      <c r="R1195" s="16">
        <f>IF(AND(P1323&lt;&gt;"",P1323&gt;0),(I1323+J1323+K1323)/P1323,"")</f>
        <v/>
      </c>
    </row>
    <row r="1196" ht="27" customHeight="1">
      <c r="A1196" s="5" t="inlineStr">
        <is>
          <t>2026-07-17</t>
        </is>
      </c>
      <c r="B1196" s="5" t="inlineStr">
        <is>
          <t>29周</t>
        </is>
      </c>
      <c r="C1196" s="5" t="inlineStr">
        <is>
          <t>抖音</t>
        </is>
      </c>
      <c r="D1196" s="5" t="n"/>
      <c r="E1196" s="5" t="n"/>
      <c r="F1196" s="5" t="inlineStr">
        <is>
          <t>https://www.douyin.com/?recommend=1</t>
        </is>
      </c>
      <c r="G1196" s="5" t="inlineStr">
        <is>
          <t>0003A2</t>
        </is>
      </c>
      <c r="H1196" s="5" t="inlineStr">
        <is>
          <t>鞋子合集</t>
        </is>
      </c>
      <c r="I1196" s="5" t="n">
        <v>148.375</v>
      </c>
      <c r="J1196" s="5" t="n"/>
      <c r="K1196" s="5" t="n"/>
      <c r="L1196" s="5" t="n">
        <v>2300</v>
      </c>
      <c r="M1196" s="5" t="n">
        <v>1443</v>
      </c>
      <c r="N1196" s="5" t="n">
        <v>37</v>
      </c>
      <c r="O1196" s="5" t="n">
        <v>50</v>
      </c>
      <c r="P1196" s="8">
        <f>IF(AND(M1324&lt;&gt;"",M1324&gt;0),M1324+N1324+O1324,"")</f>
        <v/>
      </c>
      <c r="Q1196" s="11">
        <f>IF(AND(L1324&lt;&gt;"",L1324&gt;0,P1324&lt;&gt;""),P1324/L1324,"")</f>
        <v/>
      </c>
      <c r="R1196" s="16">
        <f>IF(AND(P1324&lt;&gt;"",P1324&gt;0),(I1324+J1324+K1324)/P1324,"")</f>
        <v/>
      </c>
    </row>
    <row r="1197" ht="81" customHeight="1">
      <c r="A1197" s="5" t="inlineStr">
        <is>
          <t>2026-07-17</t>
        </is>
      </c>
      <c r="B1197" s="5" t="inlineStr">
        <is>
          <t>29周</t>
        </is>
      </c>
      <c r="C1197" s="5" t="inlineStr">
        <is>
          <t>抖音</t>
        </is>
      </c>
      <c r="D1197" s="5" t="n"/>
      <c r="E1197" s="5" t="n"/>
      <c r="F1197" s="5" t="inlineStr">
        <is>
          <t>https://www.douyin.com/user/self?from_tab_name=main&amp;modal_id=7663009622417417211&amp;showTab=like</t>
        </is>
      </c>
      <c r="G1197" s="5" t="inlineStr">
        <is>
          <t>0003A2</t>
        </is>
      </c>
      <c r="H1197" s="5" t="inlineStr">
        <is>
          <t>穿搭</t>
        </is>
      </c>
      <c r="I1197" s="5" t="n">
        <v>148.375</v>
      </c>
      <c r="J1197" s="5" t="n"/>
      <c r="K1197" s="5" t="n"/>
      <c r="L1197" s="5" t="n">
        <v>12000</v>
      </c>
      <c r="M1197" s="5" t="n">
        <v>455</v>
      </c>
      <c r="N1197" s="5" t="n">
        <v>47</v>
      </c>
      <c r="O1197" s="5" t="n">
        <v>10</v>
      </c>
      <c r="P1197" s="8">
        <f>IF(AND(M1325&lt;&gt;"",M1325&gt;0),M1325+N1325+O1325,"")</f>
        <v/>
      </c>
      <c r="Q1197" s="11">
        <f>IF(AND(L1325&lt;&gt;"",L1325&gt;0,P1325&lt;&gt;""),P1325/L1325,"")</f>
        <v/>
      </c>
      <c r="R1197" s="16">
        <f>IF(AND(P1325&lt;&gt;"",P1325&gt;0),(I1325+J1325+K1325)/P1325,"")</f>
        <v/>
      </c>
    </row>
    <row r="1198" ht="27" customHeight="1">
      <c r="A1198" s="5" t="inlineStr">
        <is>
          <t>2026-07-17</t>
        </is>
      </c>
      <c r="B1198" s="5" t="inlineStr">
        <is>
          <t>29周</t>
        </is>
      </c>
      <c r="C1198" s="5" t="inlineStr">
        <is>
          <t>抖音</t>
        </is>
      </c>
      <c r="D1198" s="5" t="n"/>
      <c r="E1198" s="5" t="n"/>
      <c r="F1198" s="5" t="inlineStr">
        <is>
          <t>https://www.douyin.com/user/self?from_tab_name=main&amp;modal_id=7663048456092523697&amp;showTab=like</t>
        </is>
      </c>
      <c r="G1198" s="5" t="inlineStr">
        <is>
          <t>489</t>
        </is>
      </c>
      <c r="H1198" s="5" t="inlineStr">
        <is>
          <t>邓紫棋</t>
        </is>
      </c>
      <c r="I1198" s="5" t="n">
        <v>49.25</v>
      </c>
      <c r="J1198" s="5" t="n"/>
      <c r="K1198" s="5" t="n"/>
      <c r="L1198" s="5" t="n">
        <v>2648</v>
      </c>
      <c r="M1198" s="5" t="n">
        <v>267</v>
      </c>
      <c r="N1198" s="5" t="n">
        <v>15</v>
      </c>
      <c r="O1198" s="5" t="n">
        <v>10</v>
      </c>
      <c r="P1198" s="8">
        <f>IF(AND(M1326&lt;&gt;"",M1326&gt;0),M1326+N1326+O1326,"")</f>
        <v/>
      </c>
      <c r="Q1198" s="11">
        <f>IF(AND(L1326&lt;&gt;"",L1326&gt;0,P1326&lt;&gt;""),P1326/L1326,"")</f>
        <v/>
      </c>
      <c r="R1198" s="16">
        <f>IF(AND(P1326&lt;&gt;"",P1326&gt;0),(I1326+J1326+K1326)/P1326,"")</f>
        <v/>
      </c>
    </row>
    <row r="1199" ht="94.5" customHeight="1">
      <c r="A1199" s="5" t="inlineStr">
        <is>
          <t>2026-07-17</t>
        </is>
      </c>
      <c r="B1199" s="5" t="inlineStr">
        <is>
          <t>29周</t>
        </is>
      </c>
      <c r="C1199" s="5" t="inlineStr">
        <is>
          <t>抖音</t>
        </is>
      </c>
      <c r="D1199" s="5" t="n"/>
      <c r="E1199" s="5" t="n"/>
      <c r="F1199" s="5" t="inlineStr">
        <is>
          <t>https://www.douyin.com/user/self?from_tab_name=main&amp;modal_id=7663055258008735461&amp;showTab=like</t>
        </is>
      </c>
      <c r="G1199" s="5" t="inlineStr">
        <is>
          <t>0003A2</t>
        </is>
      </c>
      <c r="H1199" s="5" t="inlineStr">
        <is>
          <t>穿搭</t>
        </is>
      </c>
      <c r="I1199" s="5" t="n">
        <v>48.375</v>
      </c>
      <c r="J1199" s="5" t="n"/>
      <c r="K1199" s="5" t="n"/>
      <c r="L1199" s="5" t="n">
        <v>4023</v>
      </c>
      <c r="M1199" s="5" t="n">
        <v>147</v>
      </c>
      <c r="N1199" s="5" t="n">
        <v>10</v>
      </c>
      <c r="O1199" s="5" t="n">
        <v>15</v>
      </c>
      <c r="P1199" s="8">
        <f>IF(AND(M1327&lt;&gt;"",M1327&gt;0),M1327+N1327+O1327,"")</f>
        <v/>
      </c>
      <c r="Q1199" s="11">
        <f>IF(AND(L1327&lt;&gt;"",L1327&gt;0,P1327&lt;&gt;""),P1327/L1327,"")</f>
        <v/>
      </c>
      <c r="R1199" s="16">
        <f>IF(AND(P1327&lt;&gt;"",P1327&gt;0),(I1327+J1327+K1327)/P1327,"")</f>
        <v/>
      </c>
    </row>
    <row r="1200" ht="27" customHeight="1">
      <c r="A1200" s="5" t="inlineStr">
        <is>
          <t>2026-07-17</t>
        </is>
      </c>
      <c r="B1200" s="5" t="inlineStr">
        <is>
          <t>29周</t>
        </is>
      </c>
      <c r="C1200" s="5" t="inlineStr">
        <is>
          <t>抖音</t>
        </is>
      </c>
      <c r="D1200" s="5" t="n"/>
      <c r="E1200" s="5" t="n"/>
      <c r="F1200" s="5" t="inlineStr">
        <is>
          <t>https://www.douyin.com/user/MS4wLjABAAAAu0EfQr5cnA4rdN9PCDZ8UiKSGFlB3du_U_OVyJAEJfU/search/%E6%B7%91%E5%A5%B3%E9%AB%98?aid=d4464f94-c764-4b88-93db-4469950fb962&amp;modal_id=7663444153096146346&amp;type=general</t>
        </is>
      </c>
      <c r="G1200" s="5" t="inlineStr">
        <is>
          <t>1093W</t>
        </is>
      </c>
      <c r="H1200" s="5" t="inlineStr">
        <is>
          <t>跳舞穿搭</t>
        </is>
      </c>
      <c r="I1200" s="5" t="n">
        <v>73.83499999999999</v>
      </c>
      <c r="J1200" s="5" t="n"/>
      <c r="K1200" s="5" t="n"/>
      <c r="L1200" s="5" t="n">
        <v>32000</v>
      </c>
      <c r="M1200" s="5" t="n">
        <v>865</v>
      </c>
      <c r="N1200" s="5" t="n">
        <v>159</v>
      </c>
      <c r="O1200" s="5" t="n">
        <v>59</v>
      </c>
      <c r="P1200" s="8">
        <f>IF(AND(M1328&lt;&gt;"",M1328&gt;0),M1328+N1328+O1328,"")</f>
        <v/>
      </c>
      <c r="Q1200" s="11">
        <f>IF(AND(L1328&lt;&gt;"",L1328&gt;0,P1328&lt;&gt;""),P1328/L1328,"")</f>
        <v/>
      </c>
      <c r="R1200" s="16">
        <f>IF(AND(P1328&lt;&gt;"",P1328&gt;0),(I1328+J1328+K1328)/P1328,"")</f>
        <v/>
      </c>
    </row>
    <row r="1201" ht="81" customHeight="1">
      <c r="A1201" s="5" t="inlineStr">
        <is>
          <t>2026-07-17</t>
        </is>
      </c>
      <c r="B1201" s="5" t="inlineStr">
        <is>
          <t>29周</t>
        </is>
      </c>
      <c r="C1201" s="5" t="inlineStr">
        <is>
          <t>抖音</t>
        </is>
      </c>
      <c r="D1201" s="5" t="n"/>
      <c r="E1201" s="5" t="n"/>
      <c r="F1201" s="5" t="inlineStr">
        <is>
          <t>https://www.douyin.com/user/MS4wLjABAAAANdhSl8m-Yw376v3qzReq_cXxEza02BzblIovBKEFVrWs7xvS0UnurAkZmGBus0yd?from_tab_name=main&amp;modal_id=7661866907075900027</t>
        </is>
      </c>
      <c r="G1201" s="5" t="inlineStr">
        <is>
          <t>1093W</t>
        </is>
      </c>
      <c r="H1201" s="5" t="inlineStr">
        <is>
          <t>张桂源</t>
        </is>
      </c>
      <c r="I1201" s="5" t="n">
        <v>47.67</v>
      </c>
      <c r="J1201" s="5" t="n"/>
      <c r="K1201" s="5" t="n"/>
      <c r="L1201" s="5" t="n">
        <v>1310</v>
      </c>
      <c r="M1201" s="5" t="n">
        <v>244</v>
      </c>
      <c r="N1201" s="5" t="n">
        <v>10</v>
      </c>
      <c r="O1201" s="5" t="n">
        <v>45</v>
      </c>
      <c r="P1201" s="8">
        <f>IF(AND(M1329&lt;&gt;"",M1329&gt;0),M1329+N1329+O1329,"")</f>
        <v/>
      </c>
      <c r="Q1201" s="11">
        <f>IF(AND(L1329&lt;&gt;"",L1329&gt;0,P1329&lt;&gt;""),P1329/L1329,"")</f>
        <v/>
      </c>
      <c r="R1201" s="16">
        <f>IF(AND(P1329&lt;&gt;"",P1329&gt;0),(I1329+J1329+K1329)/P1329,"")</f>
        <v/>
      </c>
    </row>
    <row r="1202" ht="27" customHeight="1">
      <c r="A1202" s="5" t="inlineStr">
        <is>
          <t>2026-07-17</t>
        </is>
      </c>
      <c r="B1202" s="5" t="inlineStr">
        <is>
          <t>29周</t>
        </is>
      </c>
      <c r="C1202" s="5" t="inlineStr">
        <is>
          <t>抖音</t>
        </is>
      </c>
      <c r="D1202" s="5" t="n"/>
      <c r="E1202" s="5" t="n"/>
      <c r="F1202" s="5" t="inlineStr">
        <is>
          <t>https://www.douyin.com/user/MS4wLjABAAAAKUYZ9LN71qcMYYQMbDomS8BCbgqmLdhK2waC0AamY_Y?from_tab_name=main&amp;modal_id=7662346624316240052</t>
        </is>
      </c>
      <c r="G1202" s="5" t="inlineStr">
        <is>
          <t>1093W</t>
        </is>
      </c>
      <c r="H1202" s="5" t="inlineStr">
        <is>
          <t>张桂源</t>
        </is>
      </c>
      <c r="I1202" s="5" t="n">
        <v>47.67</v>
      </c>
      <c r="J1202" s="5" t="n"/>
      <c r="K1202" s="5" t="n"/>
      <c r="L1202" s="5" t="n">
        <v>1239</v>
      </c>
      <c r="M1202" s="5" t="n">
        <v>329</v>
      </c>
      <c r="N1202" s="5" t="n">
        <v>16</v>
      </c>
      <c r="O1202" s="5" t="n">
        <v>17</v>
      </c>
      <c r="P1202" s="8">
        <f>IF(AND(M1330&lt;&gt;"",M1330&gt;0),M1330+N1330+O1330,"")</f>
        <v/>
      </c>
      <c r="Q1202" s="11">
        <f>IF(AND(L1330&lt;&gt;"",L1330&gt;0,P1330&lt;&gt;""),P1330/L1330,"")</f>
        <v/>
      </c>
      <c r="R1202" s="16">
        <f>IF(AND(P1330&lt;&gt;"",P1330&gt;0),(I1330+J1330+K1330)/P1330,"")</f>
        <v/>
      </c>
    </row>
    <row r="1203" ht="27" customHeight="1">
      <c r="A1203" s="5" t="inlineStr">
        <is>
          <t>2026-07-17</t>
        </is>
      </c>
      <c r="B1203" s="5" t="inlineStr">
        <is>
          <t>29周</t>
        </is>
      </c>
      <c r="C1203" s="5" t="inlineStr">
        <is>
          <t>抖音</t>
        </is>
      </c>
      <c r="D1203" s="5" t="n"/>
      <c r="E1203" s="5" t="n"/>
      <c r="F1203" s="5" t="inlineStr">
        <is>
          <t>https://www.douyin.com/user/MS4wLjABAAAA7q8mrk-vXnyY6CpnbkF9PmuRQhyK2nCM0F3U2k6C4B8bjYxnbKMlfuV625yduEfp?from_tab_name=main&amp;modal_id=7661887477658348969</t>
        </is>
      </c>
      <c r="G1203" s="5" t="inlineStr">
        <is>
          <t>1093W</t>
        </is>
      </c>
      <c r="H1203" s="5" t="inlineStr">
        <is>
          <t>左航</t>
        </is>
      </c>
      <c r="I1203" s="5" t="n">
        <v>47.67</v>
      </c>
      <c r="J1203" s="5" t="n"/>
      <c r="K1203" s="5" t="n"/>
      <c r="L1203" s="5" t="n">
        <v>11000</v>
      </c>
      <c r="M1203" s="5" t="n">
        <v>1101</v>
      </c>
      <c r="N1203" s="5" t="n">
        <v>75</v>
      </c>
      <c r="O1203" s="5" t="n">
        <v>27</v>
      </c>
      <c r="P1203" s="8">
        <f>IF(AND(M1331&lt;&gt;"",M1331&gt;0),M1331+N1331+O1331,"")</f>
        <v/>
      </c>
      <c r="Q1203" s="11">
        <f>IF(AND(L1331&lt;&gt;"",L1331&gt;0,P1331&lt;&gt;""),P1331/L1331,"")</f>
        <v/>
      </c>
      <c r="R1203" s="16">
        <f>IF(AND(P1331&lt;&gt;"",P1331&gt;0),(I1331+J1331+K1331)/P1331,"")</f>
        <v/>
      </c>
    </row>
    <row r="1204">
      <c r="A1204" s="5" t="inlineStr">
        <is>
          <t>2026-07-17</t>
        </is>
      </c>
      <c r="B1204" s="5" t="inlineStr">
        <is>
          <t>29周</t>
        </is>
      </c>
      <c r="C1204" s="5" t="inlineStr">
        <is>
          <t>抖音</t>
        </is>
      </c>
      <c r="D1204" s="5" t="n"/>
      <c r="E1204" s="5" t="n"/>
      <c r="F1204" s="5" t="inlineStr">
        <is>
          <t>https://www.douyin.com/user/MS4wLjABAAAAzCGR49WhsR4GEZBis1q405-e3ytRK-GdpqdT_WTC5LUig9enMijOM9FaiNw--Kkc?from_tab_name=main&amp;modal_id=7660842987186857098</t>
        </is>
      </c>
      <c r="G1204" s="5" t="inlineStr">
        <is>
          <t>0003A2</t>
        </is>
      </c>
      <c r="H1204" s="5" t="inlineStr">
        <is>
          <t>苏新皓</t>
        </is>
      </c>
      <c r="I1204" s="5" t="n">
        <v>96.75</v>
      </c>
      <c r="J1204" s="5" t="n"/>
      <c r="K1204" s="5" t="n"/>
      <c r="L1204" s="5" t="n">
        <v>14000</v>
      </c>
      <c r="M1204" s="5" t="n">
        <v>2019</v>
      </c>
      <c r="N1204" s="5" t="n">
        <v>61</v>
      </c>
      <c r="O1204" s="5" t="n">
        <v>35</v>
      </c>
      <c r="P1204" s="8">
        <f>IF(AND(M1332&lt;&gt;"",M1332&gt;0),M1332+N1332+O1332,"")</f>
        <v/>
      </c>
      <c r="Q1204" s="11">
        <f>IF(AND(L1332&lt;&gt;"",L1332&gt;0,P1332&lt;&gt;""),P1332/L1332,"")</f>
        <v/>
      </c>
      <c r="R1204" s="16">
        <f>IF(AND(P1332&lt;&gt;"",P1332&gt;0),(I1332+J1332+K1332)/P1332,"")</f>
        <v/>
      </c>
    </row>
    <row r="1205" ht="27" customHeight="1">
      <c r="A1205" s="5" t="inlineStr">
        <is>
          <t>2026-07-17</t>
        </is>
      </c>
      <c r="B1205" s="5" t="inlineStr">
        <is>
          <t>29周</t>
        </is>
      </c>
      <c r="C1205" s="5" t="inlineStr">
        <is>
          <t>抖音</t>
        </is>
      </c>
      <c r="D1205" s="5" t="n"/>
      <c r="E1205" s="5" t="n"/>
      <c r="F1205" s="5" t="inlineStr">
        <is>
          <t>https://www.douyin.com/user/MS4wLjABAAAAyv1HKq6ApKvlUj8DQKGPjxCgUhPkyo1lK7HQQCNIhiQ?from_tab_name=main&amp;modal_id=7663069141926387850</t>
        </is>
      </c>
      <c r="G1205" s="5" t="inlineStr">
        <is>
          <t>0003A2</t>
        </is>
      </c>
      <c r="H1205" s="5" t="inlineStr">
        <is>
          <t>跳舞穿搭</t>
        </is>
      </c>
      <c r="I1205" s="5" t="n">
        <v>138.375</v>
      </c>
      <c r="J1205" s="5" t="n"/>
      <c r="K1205" s="5" t="n"/>
      <c r="L1205" s="5" t="n">
        <v>116000</v>
      </c>
      <c r="M1205" s="5" t="n">
        <v>5177</v>
      </c>
      <c r="N1205" s="5" t="n">
        <v>248</v>
      </c>
      <c r="O1205" s="5" t="n">
        <v>133</v>
      </c>
      <c r="P1205" s="8">
        <f>IF(AND(M1333&lt;&gt;"",M1333&gt;0),M1333+N1333+O1333,"")</f>
        <v/>
      </c>
      <c r="Q1205" s="11">
        <f>IF(AND(L1333&lt;&gt;"",L1333&gt;0,P1333&lt;&gt;""),P1333/L1333,"")</f>
        <v/>
      </c>
      <c r="R1205" s="16">
        <f>IF(AND(P1333&lt;&gt;"",P1333&gt;0),(I1333+J1333+K1333)/P1333,"")</f>
        <v/>
      </c>
    </row>
    <row r="1206" ht="27" customHeight="1">
      <c r="A1206" s="5" t="inlineStr">
        <is>
          <t>2026-07-17</t>
        </is>
      </c>
      <c r="B1206" s="5" t="inlineStr">
        <is>
          <t>29周</t>
        </is>
      </c>
      <c r="C1206" s="5" t="inlineStr">
        <is>
          <t>抖音</t>
        </is>
      </c>
      <c r="D1206" s="5" t="n"/>
      <c r="E1206" s="5" t="n"/>
      <c r="F1206" s="5" t="inlineStr">
        <is>
          <t>https://www.douyin.com/video/7663442070611448486</t>
        </is>
      </c>
      <c r="G1206" s="5" t="inlineStr">
        <is>
          <t>0003A2</t>
        </is>
      </c>
      <c r="H1206" s="5" t="inlineStr">
        <is>
          <t>拍照姿势</t>
        </is>
      </c>
      <c r="I1206" s="5" t="n">
        <v>96.75</v>
      </c>
      <c r="J1206" s="5" t="n"/>
      <c r="K1206" s="5" t="n"/>
      <c r="L1206" s="5" t="n">
        <v>9800</v>
      </c>
      <c r="M1206" s="5" t="n">
        <v>201</v>
      </c>
      <c r="N1206" s="5" t="n">
        <v>46</v>
      </c>
      <c r="O1206" s="5" t="n">
        <v>17</v>
      </c>
      <c r="P1206" s="8">
        <f>IF(AND(M1334&lt;&gt;"",M1334&gt;0),M1334+N1334+O1334,"")</f>
        <v/>
      </c>
      <c r="Q1206" s="11">
        <f>IF(AND(L1334&lt;&gt;"",L1334&gt;0,P1334&lt;&gt;""),P1334/L1334,"")</f>
        <v/>
      </c>
      <c r="R1206" s="16">
        <f>IF(AND(P1334&lt;&gt;"",P1334&gt;0),(I1334+J1334+K1334)/P1334,"")</f>
        <v/>
      </c>
    </row>
    <row r="1207" ht="67.5" customHeight="1">
      <c r="A1207" s="5" t="inlineStr">
        <is>
          <t>2026-07-17</t>
        </is>
      </c>
      <c r="B1207" s="5" t="inlineStr">
        <is>
          <t>29周</t>
        </is>
      </c>
      <c r="C1207" s="5" t="inlineStr">
        <is>
          <t>抖音</t>
        </is>
      </c>
      <c r="D1207" s="5" t="n"/>
      <c r="E1207" s="5" t="n"/>
      <c r="F1207" s="5" t="inlineStr">
        <is>
          <t>https://v.douyin.com/wj7-W5lVPmQ/ C@h.ba</t>
        </is>
      </c>
      <c r="G1207" s="5" t="inlineStr">
        <is>
          <t>0003A2</t>
        </is>
      </c>
      <c r="H1207" s="5" t="inlineStr">
        <is>
          <t>虞书欣</t>
        </is>
      </c>
      <c r="I1207" s="5" t="n">
        <v>48.375</v>
      </c>
      <c r="J1207" s="5" t="n"/>
      <c r="K1207" s="5" t="n"/>
      <c r="L1207" s="5" t="n">
        <v>13000</v>
      </c>
      <c r="M1207" s="5" t="n">
        <v>788</v>
      </c>
      <c r="N1207" s="5" t="n">
        <v>42</v>
      </c>
      <c r="O1207" s="5" t="n">
        <v>36</v>
      </c>
      <c r="P1207" s="8">
        <f>IF(AND(M1335&lt;&gt;"",M1335&gt;0),M1335+N1335+O1335,"")</f>
        <v/>
      </c>
      <c r="Q1207" s="11">
        <f>IF(AND(L1335&lt;&gt;"",L1335&gt;0,P1335&lt;&gt;""),P1335/L1335,"")</f>
        <v/>
      </c>
      <c r="R1207" s="16">
        <f>IF(AND(P1335&lt;&gt;"",P1335&gt;0),(I1335+J1335+K1335)/P1335,"")</f>
        <v/>
      </c>
    </row>
    <row r="1208" ht="135" customHeight="1">
      <c r="A1208" s="5" t="inlineStr">
        <is>
          <t>2026-07-17</t>
        </is>
      </c>
      <c r="B1208" s="5" t="inlineStr">
        <is>
          <t>29周</t>
        </is>
      </c>
      <c r="C1208" s="5" t="inlineStr">
        <is>
          <t>抖音</t>
        </is>
      </c>
      <c r="D1208" s="5" t="n"/>
      <c r="E1208" s="5" t="n"/>
      <c r="F1208" s="5" t="inlineStr">
        <is>
          <t>https://v.douyin.com/Ktgw5kyk90g/</t>
        </is>
      </c>
      <c r="G1208" s="5" t="inlineStr">
        <is>
          <t>459</t>
        </is>
      </c>
      <c r="H1208" s="5" t="inlineStr">
        <is>
          <t>生命力穿搭</t>
        </is>
      </c>
      <c r="I1208" s="5" t="n">
        <v>20.045</v>
      </c>
      <c r="J1208" s="5" t="n"/>
      <c r="K1208" s="5" t="n"/>
      <c r="L1208" s="5" t="n">
        <v>1944</v>
      </c>
      <c r="M1208" s="5" t="n">
        <v>357</v>
      </c>
      <c r="N1208" s="5" t="n">
        <v>40</v>
      </c>
      <c r="O1208" s="5" t="n">
        <v>26</v>
      </c>
      <c r="P1208" s="8">
        <f>IF(AND(M1336&lt;&gt;"",M1336&gt;0),M1336+N1336+O1336,"")</f>
        <v/>
      </c>
      <c r="Q1208" s="11">
        <f>IF(AND(L1336&lt;&gt;"",L1336&gt;0,P1336&lt;&gt;""),P1336/L1336,"")</f>
        <v/>
      </c>
      <c r="R1208" s="16">
        <f>IF(AND(P1336&lt;&gt;"",P1336&gt;0),(I1336+J1336+K1336)/P1336,"")</f>
        <v/>
      </c>
    </row>
    <row r="1209" ht="27" customHeight="1">
      <c r="A1209" s="5" t="inlineStr">
        <is>
          <t>2026-07-17</t>
        </is>
      </c>
      <c r="B1209" s="5" t="inlineStr">
        <is>
          <t>29周</t>
        </is>
      </c>
      <c r="C1209" s="5" t="inlineStr">
        <is>
          <t>快手</t>
        </is>
      </c>
      <c r="D1209" s="5" t="n"/>
      <c r="E1209" s="5" t="n"/>
      <c r="F1209" s="5" t="inlineStr">
        <is>
          <t>https://v.kuaishou.com/J4IXqztp</t>
        </is>
      </c>
      <c r="G1209" s="5" t="inlineStr">
        <is>
          <t>489</t>
        </is>
      </c>
      <c r="H1209" s="5" t="inlineStr">
        <is>
          <t>陈奕恒</t>
        </is>
      </c>
      <c r="I1209" s="5" t="n">
        <v>24.625</v>
      </c>
      <c r="J1209" s="5" t="n"/>
      <c r="K1209" s="5" t="n"/>
      <c r="L1209" s="5" t="n">
        <v>1144</v>
      </c>
      <c r="M1209" s="5" t="n">
        <v>180</v>
      </c>
      <c r="N1209" s="5" t="n">
        <v>2</v>
      </c>
      <c r="O1209" s="5" t="n">
        <v>16</v>
      </c>
      <c r="P1209" s="8">
        <f>IF(AND(M1337&lt;&gt;"",M1337&gt;0),M1337+N1337+O1337,"")</f>
        <v/>
      </c>
      <c r="Q1209" s="11">
        <f>IF(AND(L1337&lt;&gt;"",L1337&gt;0,P1337&lt;&gt;""),P1337/L1337,"")</f>
        <v/>
      </c>
      <c r="R1209" s="16">
        <f>IF(AND(P1337&lt;&gt;"",P1337&gt;0),(I1337+J1337+K1337)/P1337,"")</f>
        <v/>
      </c>
    </row>
    <row r="1210" ht="27" customHeight="1">
      <c r="A1210" s="5" t="inlineStr">
        <is>
          <t>2026-07-17</t>
        </is>
      </c>
      <c r="B1210" s="5" t="inlineStr">
        <is>
          <t>29周</t>
        </is>
      </c>
      <c r="C1210" s="5" t="inlineStr">
        <is>
          <t>抖音</t>
        </is>
      </c>
      <c r="D1210" s="5" t="n"/>
      <c r="E1210" s="5" t="n"/>
      <c r="F1210" s="5" t="inlineStr">
        <is>
          <t>https://v.douyin.com/3gKMn6mAkc8/</t>
        </is>
      </c>
      <c r="G1210" s="5" t="inlineStr">
        <is>
          <t>489</t>
        </is>
      </c>
      <c r="H1210" s="5" t="inlineStr">
        <is>
          <t>马嘉祺</t>
        </is>
      </c>
      <c r="I1210" s="5" t="n">
        <v>16.416</v>
      </c>
      <c r="J1210" s="5" t="n"/>
      <c r="K1210" s="5" t="n"/>
      <c r="L1210" s="5" t="n">
        <v>430</v>
      </c>
      <c r="M1210" s="5" t="n">
        <v>99</v>
      </c>
      <c r="N1210" s="5" t="n">
        <v>1</v>
      </c>
      <c r="O1210" s="5" t="n">
        <v>24</v>
      </c>
      <c r="P1210" s="8">
        <f>IF(AND(M1338&lt;&gt;"",M1338&gt;0),M1338+N1338+O1338,"")</f>
        <v/>
      </c>
      <c r="Q1210" s="11">
        <f>IF(AND(L1338&lt;&gt;"",L1338&gt;0,P1338&lt;&gt;""),P1338/L1338,"")</f>
        <v/>
      </c>
      <c r="R1210" s="16">
        <f>IF(AND(P1338&lt;&gt;"",P1338&gt;0),(I1338+J1338+K1338)/P1338,"")</f>
        <v/>
      </c>
    </row>
    <row r="1211" ht="81" customHeight="1">
      <c r="A1211" s="5" t="inlineStr">
        <is>
          <t>2026-07-17</t>
        </is>
      </c>
      <c r="B1211" s="5" t="inlineStr">
        <is>
          <t>29周</t>
        </is>
      </c>
      <c r="C1211" s="5" t="inlineStr">
        <is>
          <t>快手</t>
        </is>
      </c>
      <c r="D1211" s="5" t="n"/>
      <c r="E1211" s="5" t="n"/>
      <c r="F1211" s="5" t="inlineStr">
        <is>
          <t>https://v.kuaishou.com/KFweN4cy</t>
        </is>
      </c>
      <c r="G1211" s="5" t="inlineStr">
        <is>
          <t>489</t>
        </is>
      </c>
      <c r="H1211" s="5" t="inlineStr">
        <is>
          <t>马嘉祺</t>
        </is>
      </c>
      <c r="I1211" s="5" t="n">
        <v>16.416</v>
      </c>
      <c r="J1211" s="5" t="n"/>
      <c r="K1211" s="5" t="n"/>
      <c r="L1211" s="5" t="n">
        <v>8445</v>
      </c>
      <c r="M1211" s="5" t="n">
        <v>662</v>
      </c>
      <c r="N1211" s="5" t="n">
        <v>8</v>
      </c>
      <c r="O1211" s="5" t="n">
        <v>4</v>
      </c>
      <c r="P1211" s="8">
        <f>IF(AND(M1339&lt;&gt;"",M1339&gt;0),M1339+N1339+O1339,"")</f>
        <v/>
      </c>
      <c r="Q1211" s="11">
        <f>IF(AND(L1339&lt;&gt;"",L1339&gt;0,P1339&lt;&gt;""),P1339/L1339,"")</f>
        <v/>
      </c>
      <c r="R1211" s="16">
        <f>IF(AND(P1339&lt;&gt;"",P1339&gt;0),(I1339+J1339+K1339)/P1339,"")</f>
        <v/>
      </c>
    </row>
    <row r="1212" ht="81" customHeight="1">
      <c r="A1212" s="5" t="inlineStr">
        <is>
          <t>2026-07-17</t>
        </is>
      </c>
      <c r="B1212" s="5" t="inlineStr">
        <is>
          <t>29周</t>
        </is>
      </c>
      <c r="C1212" s="5" t="inlineStr">
        <is>
          <t>小红书</t>
        </is>
      </c>
      <c r="D1212" s="5" t="n"/>
      <c r="E1212" s="5" t="n"/>
      <c r="F1212" s="5" t="inlineStr">
        <is>
          <t>https://www.xiaohongshu.com/discovery/item/6a59e6db000000001102c9fd?xsec_token=CBu4gJKF8S5ihbfxJecwkUX4zbAmNY4T_TVoIWJxYP_7g=&amp;xsec_source=app_share&amp;type=video</t>
        </is>
      </c>
      <c r="G1212" s="5" t="inlineStr">
        <is>
          <t>489</t>
        </is>
      </c>
      <c r="H1212" s="5" t="inlineStr">
        <is>
          <t>马嘉祺</t>
        </is>
      </c>
      <c r="I1212" s="5" t="n">
        <v>16.416</v>
      </c>
      <c r="J1212" s="5" t="n"/>
      <c r="K1212" s="5" t="n"/>
      <c r="L1212" s="5" t="n">
        <v>790</v>
      </c>
      <c r="M1212" s="5" t="n">
        <v>69</v>
      </c>
      <c r="N1212" s="5" t="n">
        <v>6</v>
      </c>
      <c r="O1212" s="5" t="n">
        <v>0</v>
      </c>
      <c r="P1212" s="8">
        <f>IF(AND(M1340&lt;&gt;"",M1340&gt;0),M1340+N1340+O1340,"")</f>
        <v/>
      </c>
      <c r="Q1212" s="11">
        <f>IF(AND(L1340&lt;&gt;"",L1340&gt;0,P1340&lt;&gt;""),P1340/L1340,"")</f>
        <v/>
      </c>
      <c r="R1212" s="16">
        <f>IF(AND(P1340&lt;&gt;"",P1340&gt;0),(I1340+J1340+K1340)/P1340,"")</f>
        <v/>
      </c>
    </row>
    <row r="1213" ht="94.5" customHeight="1">
      <c r="A1213" s="5" t="inlineStr">
        <is>
          <t>2026-07-17</t>
        </is>
      </c>
      <c r="B1213" s="5" t="inlineStr">
        <is>
          <t>29周</t>
        </is>
      </c>
      <c r="C1213" s="5" t="inlineStr">
        <is>
          <t>小红书</t>
        </is>
      </c>
      <c r="D1213" s="5" t="n"/>
      <c r="E1213" s="5" t="n"/>
      <c r="F1213" s="5" t="inlineStr">
        <is>
          <t>https://www.xiaohongshu.com/discovery/item/6a59ff79000000000103267c?xsec_token=CBu4gJKF8S5ihbfxJecwkUX-vbjLR92uFlO_6yGexytOY=&amp;xsec_source=app_share&amp;type=video</t>
        </is>
      </c>
      <c r="G1213" s="5" t="inlineStr">
        <is>
          <t>489</t>
        </is>
      </c>
      <c r="H1213" s="5" t="inlineStr">
        <is>
          <t>陈奕恒</t>
        </is>
      </c>
      <c r="I1213" s="5" t="n">
        <v>24.625</v>
      </c>
      <c r="J1213" s="5" t="n"/>
      <c r="K1213" s="5" t="n"/>
      <c r="L1213" s="5" t="n">
        <v>849</v>
      </c>
      <c r="M1213" s="5" t="n">
        <v>71</v>
      </c>
      <c r="N1213" s="5" t="n">
        <v>1</v>
      </c>
      <c r="O1213" s="5" t="n">
        <v>4</v>
      </c>
      <c r="P1213" s="8">
        <f>IF(AND(M1341&lt;&gt;"",M1341&gt;0),M1341+N1341+O1341,"")</f>
        <v/>
      </c>
      <c r="Q1213" s="11">
        <f>IF(AND(L1341&lt;&gt;"",L1341&gt;0,P1341&lt;&gt;""),P1341/L1341,"")</f>
        <v/>
      </c>
      <c r="R1213" s="16">
        <f>IF(AND(P1341&lt;&gt;"",P1341&gt;0),(I1341+J1341+K1341)/P1341,"")</f>
        <v/>
      </c>
    </row>
    <row r="1214" ht="27" customHeight="1">
      <c r="A1214" s="5" t="inlineStr">
        <is>
          <t>2026-07-17</t>
        </is>
      </c>
      <c r="B1214" s="5" t="inlineStr">
        <is>
          <t>29周</t>
        </is>
      </c>
      <c r="C1214" s="5" t="inlineStr">
        <is>
          <t>小红书</t>
        </is>
      </c>
      <c r="D1214" s="5" t="n"/>
      <c r="E1214" s="5" t="n"/>
      <c r="F1214" s="5" t="inlineStr">
        <is>
          <t>https://www.xiaohongshu.com/discovery/item/6a5a0588000000000101da54?xsec_token=CBSdGojppbbtnTGMXSRlGatyzwVEBG8Y-ARmjwpeWTsDg=&amp;xsec_source=app_share&amp;type=video</t>
        </is>
      </c>
      <c r="G1214" s="5" t="inlineStr">
        <is>
          <t>0003A2</t>
        </is>
      </c>
      <c r="H1214" s="5" t="inlineStr">
        <is>
          <t>拍照姿势</t>
        </is>
      </c>
      <c r="I1214" s="5" t="n">
        <v>48.375</v>
      </c>
      <c r="J1214" s="5" t="n"/>
      <c r="K1214" s="5" t="n"/>
      <c r="L1214" s="5" t="n">
        <v>2395</v>
      </c>
      <c r="M1214" s="5" t="n">
        <v>79</v>
      </c>
      <c r="N1214" s="5" t="n">
        <v>29</v>
      </c>
      <c r="O1214" s="5" t="n">
        <v>12</v>
      </c>
      <c r="P1214" s="8">
        <f>IF(AND(M1342&lt;&gt;"",M1342&gt;0),M1342+N1342+O1342,"")</f>
        <v/>
      </c>
      <c r="Q1214" s="11">
        <f>IF(AND(L1342&lt;&gt;"",L1342&gt;0,P1342&lt;&gt;""),P1342/L1342,"")</f>
        <v/>
      </c>
      <c r="R1214" s="16">
        <f>IF(AND(P1342&lt;&gt;"",P1342&gt;0),(I1342+J1342+K1342)/P1342,"")</f>
        <v/>
      </c>
    </row>
    <row r="1215" ht="27" customHeight="1">
      <c r="A1215" s="5" t="inlineStr">
        <is>
          <t>2026-07-17</t>
        </is>
      </c>
      <c r="B1215" s="5" t="inlineStr">
        <is>
          <t>29周</t>
        </is>
      </c>
      <c r="C1215" s="5" t="inlineStr">
        <is>
          <t>小红书</t>
        </is>
      </c>
      <c r="D1215" s="5" t="n"/>
      <c r="E1215" s="5" t="n"/>
      <c r="F1215" s="5" t="inlineStr">
        <is>
          <t>https://www.xiaohongshu.com/discovery/item/6a5a21b1000000000101d188?xsec_token=CBSdGojppbbtnTGMXSRlGat6-mp6oSoaFaZ13lTWI452Q=&amp;xsec_source=app_share</t>
        </is>
      </c>
      <c r="G1215" s="5" t="inlineStr">
        <is>
          <t>459</t>
        </is>
      </c>
      <c r="H1215" s="5" t="inlineStr">
        <is>
          <t>穿搭</t>
        </is>
      </c>
      <c r="I1215" s="5" t="n">
        <v>20.045</v>
      </c>
      <c r="J1215" s="5" t="n"/>
      <c r="K1215" s="5" t="n"/>
      <c r="L1215" s="5" t="n">
        <v>970</v>
      </c>
      <c r="M1215" s="5" t="n">
        <v>36</v>
      </c>
      <c r="N1215" s="5" t="n">
        <v>10</v>
      </c>
      <c r="O1215" s="5" t="n">
        <v>18</v>
      </c>
      <c r="P1215" s="8">
        <f>IF(AND(M1343&lt;&gt;"",M1343&gt;0),M1343+N1343+O1343,"")</f>
        <v/>
      </c>
      <c r="Q1215" s="11">
        <f>IF(AND(L1343&lt;&gt;"",L1343&gt;0,P1343&lt;&gt;""),P1343/L1343,"")</f>
        <v/>
      </c>
      <c r="R1215" s="16">
        <f>IF(AND(P1343&lt;&gt;"",P1343&gt;0),(I1343+J1343+K1343)/P1343,"")</f>
        <v/>
      </c>
    </row>
    <row r="1216" ht="27" customHeight="1">
      <c r="A1216" s="5" t="inlineStr">
        <is>
          <t>2026-07-18</t>
        </is>
      </c>
      <c r="B1216" s="5" t="inlineStr">
        <is>
          <t>29周</t>
        </is>
      </c>
      <c r="C1216" s="5" t="inlineStr">
        <is>
          <t>抖音</t>
        </is>
      </c>
      <c r="D1216" s="5" t="n"/>
      <c r="E1216" s="5" t="n"/>
      <c r="F1216" s="5" t="inlineStr">
        <is>
          <t>https://v.douyin.com/FfUa3mbmOlE/</t>
        </is>
      </c>
      <c r="G1216" s="5" t="inlineStr">
        <is>
          <t>459</t>
        </is>
      </c>
      <c r="H1216" s="5" t="inlineStr">
        <is>
          <t>群像穿搭</t>
        </is>
      </c>
      <c r="I1216" s="5" t="n">
        <v>37.34</v>
      </c>
      <c r="J1216" s="5" t="n"/>
      <c r="K1216" s="5" t="n"/>
      <c r="L1216" s="5" t="n">
        <v>2900</v>
      </c>
      <c r="M1216" s="5" t="n">
        <v>382</v>
      </c>
      <c r="N1216" s="5" t="n">
        <v>7</v>
      </c>
      <c r="O1216" s="5" t="n">
        <v>8</v>
      </c>
      <c r="P1216" s="8">
        <f>IF(AND(M1344&lt;&gt;"",M1344&gt;0),M1344+N1344+O1344,"")</f>
        <v/>
      </c>
      <c r="Q1216" s="11">
        <f>IF(AND(L1344&lt;&gt;"",L1344&gt;0,P1344&lt;&gt;""),P1344/L1344,"")</f>
        <v/>
      </c>
      <c r="R1216" s="16">
        <f>IF(AND(P1344&lt;&gt;"",P1344&gt;0),(I1344+J1344+K1344)/P1344,"")</f>
        <v/>
      </c>
    </row>
    <row r="1217" ht="81" customHeight="1">
      <c r="A1217" s="5" t="inlineStr">
        <is>
          <t>2026-07-18</t>
        </is>
      </c>
      <c r="B1217" s="5" t="inlineStr">
        <is>
          <t>29周</t>
        </is>
      </c>
      <c r="C1217" s="5" t="inlineStr">
        <is>
          <t>抖音</t>
        </is>
      </c>
      <c r="D1217" s="5" t="n"/>
      <c r="E1217" s="5" t="n"/>
      <c r="F1217" s="5" t="inlineStr">
        <is>
          <t>https://v.douyin.com/TAg_nU0CSjs/</t>
        </is>
      </c>
      <c r="G1217" s="5" t="inlineStr">
        <is>
          <t>1093W</t>
        </is>
      </c>
      <c r="H1217" s="5" t="inlineStr">
        <is>
          <t>朱映宸</t>
        </is>
      </c>
      <c r="I1217" s="5" t="n">
        <v>47.67</v>
      </c>
      <c r="J1217" s="5" t="n"/>
      <c r="K1217" s="5" t="n"/>
      <c r="L1217" s="5" t="n">
        <v>2847</v>
      </c>
      <c r="M1217" s="5" t="n">
        <v>232</v>
      </c>
      <c r="N1217" s="5" t="n">
        <v>17</v>
      </c>
      <c r="O1217" s="5" t="n">
        <v>22</v>
      </c>
      <c r="P1217" s="8">
        <f>IF(AND(M1345&lt;&gt;"",M1345&gt;0),M1345+N1345+O1345,"")</f>
        <v/>
      </c>
      <c r="Q1217" s="11">
        <f>IF(AND(L1345&lt;&gt;"",L1345&gt;0,P1345&lt;&gt;""),P1345/L1345,"")</f>
        <v/>
      </c>
      <c r="R1217" s="16">
        <f>IF(AND(P1345&lt;&gt;"",P1345&gt;0),(I1345+J1345+K1345)/P1345,"")</f>
        <v/>
      </c>
    </row>
    <row r="1218" ht="27" customHeight="1">
      <c r="A1218" s="5" t="inlineStr">
        <is>
          <t>2026-07-18</t>
        </is>
      </c>
      <c r="B1218" s="5" t="inlineStr">
        <is>
          <t>29周</t>
        </is>
      </c>
      <c r="C1218" s="5" t="inlineStr">
        <is>
          <t>抖音</t>
        </is>
      </c>
      <c r="D1218" s="5" t="n"/>
      <c r="E1218" s="5" t="n"/>
      <c r="F1218" s="5" t="inlineStr">
        <is>
          <t>https://v.douyin.com/jMH_1uiPW7Q/</t>
        </is>
      </c>
      <c r="G1218" s="5" t="inlineStr">
        <is>
          <t>489</t>
        </is>
      </c>
      <c r="H1218" s="5" t="inlineStr">
        <is>
          <t>陈奕恒</t>
        </is>
      </c>
      <c r="I1218" s="5" t="n">
        <v>24.625</v>
      </c>
      <c r="J1218" s="5" t="n"/>
      <c r="K1218" s="5" t="n"/>
      <c r="L1218" s="5" t="n">
        <v>1055</v>
      </c>
      <c r="M1218" s="5" t="n">
        <v>187</v>
      </c>
      <c r="N1218" s="5" t="n">
        <v>3</v>
      </c>
      <c r="O1218" s="5" t="n">
        <v>24</v>
      </c>
      <c r="P1218" s="8">
        <f>IF(AND(M1346&lt;&gt;"",M1346&gt;0),M1346+N1346+O1346,"")</f>
        <v/>
      </c>
      <c r="Q1218" s="11">
        <f>IF(AND(L1346&lt;&gt;"",L1346&gt;0,P1346&lt;&gt;""),P1346/L1346,"")</f>
        <v/>
      </c>
      <c r="R1218" s="16">
        <f>IF(AND(P1346&lt;&gt;"",P1346&gt;0),(I1346+J1346+K1346)/P1346,"")</f>
        <v/>
      </c>
    </row>
    <row r="1219" ht="67.5" customHeight="1">
      <c r="A1219" s="5" t="inlineStr">
        <is>
          <t>2026-07-18</t>
        </is>
      </c>
      <c r="B1219" s="5" t="inlineStr">
        <is>
          <t>29周</t>
        </is>
      </c>
      <c r="C1219" s="5" t="inlineStr">
        <is>
          <t>抖音</t>
        </is>
      </c>
      <c r="D1219" s="5" t="n"/>
      <c r="E1219" s="5" t="n"/>
      <c r="F1219" s="5" t="inlineStr">
        <is>
          <t>https://v.douyin.com/waSmBZFk4gk/</t>
        </is>
      </c>
      <c r="G1219" s="5" t="inlineStr">
        <is>
          <t>1093W</t>
        </is>
      </c>
      <c r="H1219" s="5" t="inlineStr">
        <is>
          <t>穆祉丞</t>
        </is>
      </c>
      <c r="I1219" s="5" t="n">
        <v>47.67</v>
      </c>
      <c r="J1219" s="5" t="n"/>
      <c r="K1219" s="5" t="n"/>
      <c r="L1219" s="5" t="n">
        <v>3270</v>
      </c>
      <c r="M1219" s="5" t="n">
        <v>257</v>
      </c>
      <c r="N1219" s="5" t="n">
        <v>2</v>
      </c>
      <c r="O1219" s="5" t="n">
        <v>16</v>
      </c>
      <c r="P1219" s="8">
        <f>IF(AND(M1347&lt;&gt;"",M1347&gt;0),M1347+N1347+O1347,"")</f>
        <v/>
      </c>
      <c r="Q1219" s="11">
        <f>IF(AND(L1347&lt;&gt;"",L1347&gt;0,P1347&lt;&gt;""),P1347/L1347,"")</f>
        <v/>
      </c>
      <c r="R1219" s="16">
        <f>IF(AND(P1347&lt;&gt;"",P1347&gt;0),(I1347+J1347+K1347)/P1347,"")</f>
        <v/>
      </c>
    </row>
    <row r="1220" ht="81" customHeight="1">
      <c r="A1220" s="5" t="inlineStr">
        <is>
          <t>2026-07-18</t>
        </is>
      </c>
      <c r="B1220" s="5" t="inlineStr">
        <is>
          <t>29周</t>
        </is>
      </c>
      <c r="C1220" s="5" t="inlineStr">
        <is>
          <t>抖音</t>
        </is>
      </c>
      <c r="D1220" s="5" t="n"/>
      <c r="E1220" s="5" t="n"/>
      <c r="F1220" s="5" t="inlineStr">
        <is>
          <t>https://v.douyin.com/8T91w5eDIQs/</t>
        </is>
      </c>
      <c r="G1220" s="5" t="inlineStr">
        <is>
          <t>489</t>
        </is>
      </c>
      <c r="H1220" s="5" t="inlineStr">
        <is>
          <t>穿搭</t>
        </is>
      </c>
      <c r="I1220" s="5" t="n">
        <v>224.625</v>
      </c>
      <c r="J1220" s="5" t="n"/>
      <c r="K1220" s="5" t="n"/>
      <c r="L1220" s="5" t="n">
        <v>20000</v>
      </c>
      <c r="M1220" s="5" t="n">
        <v>730</v>
      </c>
      <c r="N1220" s="5" t="n">
        <v>38</v>
      </c>
      <c r="O1220" s="5" t="n">
        <v>58</v>
      </c>
      <c r="P1220" s="8">
        <f>IF(AND(M1348&lt;&gt;"",M1348&gt;0),M1348+N1348+O1348,"")</f>
        <v/>
      </c>
      <c r="Q1220" s="11">
        <f>IF(AND(L1348&lt;&gt;"",L1348&gt;0,P1348&lt;&gt;""),P1348/L1348,"")</f>
        <v/>
      </c>
      <c r="R1220" s="16">
        <f>IF(AND(P1348&lt;&gt;"",P1348&gt;0),(I1348+J1348+K1348)/P1348,"")</f>
        <v/>
      </c>
    </row>
    <row r="1221" ht="81" customHeight="1">
      <c r="A1221" s="5" t="inlineStr">
        <is>
          <t>2026-07-18</t>
        </is>
      </c>
      <c r="B1221" s="5" t="inlineStr">
        <is>
          <t>29周</t>
        </is>
      </c>
      <c r="C1221" s="5" t="inlineStr">
        <is>
          <t>抖音</t>
        </is>
      </c>
      <c r="D1221" s="5" t="n"/>
      <c r="E1221" s="5" t="n"/>
      <c r="F1221" s="5" t="inlineStr">
        <is>
          <t>https://v.douyin.com/2nZk-X60goU/ 10/07 e@B.Ty lca:/ :7pm</t>
        </is>
      </c>
      <c r="G1221" s="5" t="inlineStr">
        <is>
          <t>1093W</t>
        </is>
      </c>
      <c r="H1221" s="5" t="inlineStr">
        <is>
          <t>左奇函</t>
        </is>
      </c>
      <c r="I1221" s="5" t="n">
        <v>23.835</v>
      </c>
      <c r="J1221" s="5" t="n"/>
      <c r="K1221" s="5" t="n"/>
      <c r="L1221" s="5" t="n">
        <v>2841</v>
      </c>
      <c r="M1221" s="5" t="n">
        <v>429</v>
      </c>
      <c r="N1221" s="5" t="n">
        <v>23</v>
      </c>
      <c r="O1221" s="5" t="n">
        <v>82</v>
      </c>
      <c r="P1221" s="8">
        <f>IF(AND(M1349&lt;&gt;"",M1349&gt;0),M1349+N1349+O1349,"")</f>
        <v/>
      </c>
      <c r="Q1221" s="11">
        <f>IF(AND(L1349&lt;&gt;"",L1349&gt;0,P1349&lt;&gt;""),P1349/L1349,"")</f>
        <v/>
      </c>
      <c r="R1221" s="16">
        <f>IF(AND(P1349&lt;&gt;"",P1349&gt;0),(I1349+J1349+K1349)/P1349,"")</f>
        <v/>
      </c>
    </row>
    <row r="1222" ht="81" customHeight="1">
      <c r="A1222" s="5" t="inlineStr">
        <is>
          <t>2026-07-18</t>
        </is>
      </c>
      <c r="B1222" s="5" t="inlineStr">
        <is>
          <t>29周</t>
        </is>
      </c>
      <c r="C1222" s="5" t="inlineStr">
        <is>
          <t>快手</t>
        </is>
      </c>
      <c r="D1222" s="5" t="n"/>
      <c r="E1222" s="5" t="n"/>
      <c r="F1222" s="5" t="inlineStr">
        <is>
          <t>https://v.kuaishou.com/KthUXs2p</t>
        </is>
      </c>
      <c r="G1222" s="5" t="inlineStr">
        <is>
          <t>1093W</t>
        </is>
      </c>
      <c r="H1222" s="5" t="inlineStr">
        <is>
          <t>张桂源</t>
        </is>
      </c>
      <c r="I1222" s="5" t="n">
        <v>23.835</v>
      </c>
      <c r="J1222" s="5" t="n"/>
      <c r="K1222" s="5" t="n"/>
      <c r="L1222" s="5" t="n">
        <v>10000</v>
      </c>
      <c r="M1222" s="5" t="n">
        <v>315</v>
      </c>
      <c r="N1222" s="5" t="n">
        <v>6</v>
      </c>
      <c r="O1222" s="5" t="n">
        <v>14</v>
      </c>
      <c r="P1222" s="8">
        <f>IF(AND(M1350&lt;&gt;"",M1350&gt;0),M1350+N1350+O1350,"")</f>
        <v/>
      </c>
      <c r="Q1222" s="11">
        <f>IF(AND(L1350&lt;&gt;"",L1350&gt;0,P1350&lt;&gt;""),P1350/L1350,"")</f>
        <v/>
      </c>
      <c r="R1222" s="16">
        <f>IF(AND(P1350&lt;&gt;"",P1350&gt;0),(I1350+J1350+K1350)/P1350,"")</f>
        <v/>
      </c>
    </row>
    <row r="1223" ht="27" customHeight="1">
      <c r="A1223" s="5" t="inlineStr">
        <is>
          <t>2026-07-18</t>
        </is>
      </c>
      <c r="B1223" s="5" t="inlineStr">
        <is>
          <t>29周</t>
        </is>
      </c>
      <c r="C1223" s="5" t="inlineStr">
        <is>
          <t>小红书</t>
        </is>
      </c>
      <c r="D1223" s="5" t="n"/>
      <c r="E1223" s="5" t="n"/>
      <c r="F1223" s="5" t="inlineStr">
        <is>
          <t>https://www.xiaohongshu.com/discovery/item/6a5adeea000000001003eb6c?xsec_token=CBsS8cN6SmfkleRcrzAC0Y2ewdNz0vAGrHx7D77K6dRNE=&amp;xsec_source=app_share&amp;type=video</t>
        </is>
      </c>
      <c r="G1223" s="5" t="inlineStr">
        <is>
          <t>1093W</t>
        </is>
      </c>
      <c r="H1223" s="5" t="inlineStr">
        <is>
          <t>张桂源</t>
        </is>
      </c>
      <c r="I1223" s="5" t="n">
        <v>23.835</v>
      </c>
      <c r="J1223" s="5" t="n"/>
      <c r="K1223" s="5" t="n"/>
      <c r="L1223" s="5" t="n">
        <v>748</v>
      </c>
      <c r="M1223" s="5" t="n">
        <v>49</v>
      </c>
      <c r="N1223" s="5" t="n">
        <v>2</v>
      </c>
      <c r="O1223" s="5" t="n">
        <v>8</v>
      </c>
      <c r="P1223" s="8">
        <f>IF(AND(M1351&lt;&gt;"",M1351&gt;0),M1351+N1351+O1351,"")</f>
        <v/>
      </c>
      <c r="Q1223" s="11">
        <f>IF(AND(L1351&lt;&gt;"",L1351&gt;0,P1351&lt;&gt;""),P1351/L1351,"")</f>
        <v/>
      </c>
      <c r="R1223" s="16">
        <f>IF(AND(P1351&lt;&gt;"",P1351&gt;0),(I1351+J1351+K1351)/P1351,"")</f>
        <v/>
      </c>
    </row>
    <row r="1224" ht="67.5" customHeight="1">
      <c r="A1224" s="5" t="inlineStr">
        <is>
          <t>2026-07-18</t>
        </is>
      </c>
      <c r="B1224" s="5" t="inlineStr">
        <is>
          <t>29周</t>
        </is>
      </c>
      <c r="C1224" s="5" t="inlineStr">
        <is>
          <t>小红书</t>
        </is>
      </c>
      <c r="D1224" s="5" t="n"/>
      <c r="E1224" s="5" t="n"/>
      <c r="F1224" s="5" t="inlineStr">
        <is>
          <t>https://www.xiaohongshu.com/discovery/item/6a5af6a20000000009035b09?xsec_token=CBLB-iw-y0OImNdYozHwWpPoa-diFy_g2gdSsdQjA-tkg=&amp;xsec_source=app_share&amp;type=video</t>
        </is>
      </c>
      <c r="G1224" s="5" t="inlineStr">
        <is>
          <t>1093W</t>
        </is>
      </c>
      <c r="H1224" s="5" t="inlineStr">
        <is>
          <t>穆祉丞</t>
        </is>
      </c>
      <c r="I1224" s="5" t="n">
        <v>23.835</v>
      </c>
      <c r="J1224" s="5" t="n"/>
      <c r="K1224" s="5" t="n"/>
      <c r="L1224" s="5" t="n">
        <v>277</v>
      </c>
      <c r="M1224" s="5" t="n">
        <v>20</v>
      </c>
      <c r="N1224" s="5" t="n">
        <v>1</v>
      </c>
      <c r="O1224" s="5" t="n">
        <v>1</v>
      </c>
      <c r="P1224" s="8">
        <f>IF(AND(M1352&lt;&gt;"",M1352&gt;0),M1352+N1352+O1352,"")</f>
        <v/>
      </c>
      <c r="Q1224" s="11">
        <f>IF(AND(L1352&lt;&gt;"",L1352&gt;0,P1352&lt;&gt;""),P1352/L1352,"")</f>
        <v/>
      </c>
      <c r="R1224" s="16">
        <f>IF(AND(P1352&lt;&gt;"",P1352&gt;0),(I1352+J1352+K1352)/P1352,"")</f>
        <v/>
      </c>
    </row>
    <row r="1225" ht="81" customHeight="1">
      <c r="A1225" s="5" t="inlineStr">
        <is>
          <t>2026-07-18</t>
        </is>
      </c>
      <c r="B1225" s="5" t="inlineStr">
        <is>
          <t>29周</t>
        </is>
      </c>
      <c r="C1225" s="5" t="inlineStr">
        <is>
          <t>小红书</t>
        </is>
      </c>
      <c r="D1225" s="5" t="n"/>
      <c r="E1225" s="5" t="n"/>
      <c r="F1225" s="5" t="inlineStr">
        <is>
          <t>https://www.xiaohongshu.com/discovery/item/6a5b55e20000000001031d78?xsec_token=CB80RkveJeKQUNsmtEIIbe6yJISL3IOik8WydMgUS2H2g=&amp;xsec_source=app_share&amp;type=video</t>
        </is>
      </c>
      <c r="G1225" s="5" t="inlineStr">
        <is>
          <t>1093W</t>
        </is>
      </c>
      <c r="H1225" s="5" t="inlineStr">
        <is>
          <t>左奇函</t>
        </is>
      </c>
      <c r="I1225" s="5" t="n">
        <v>23.835</v>
      </c>
      <c r="J1225" s="5" t="n"/>
      <c r="K1225" s="5" t="n"/>
      <c r="L1225" s="5" t="n">
        <v>1294</v>
      </c>
      <c r="M1225" s="5" t="n">
        <v>107</v>
      </c>
      <c r="N1225" s="5" t="n">
        <v>6</v>
      </c>
      <c r="O1225" s="5" t="n">
        <v>4</v>
      </c>
      <c r="P1225" s="8">
        <f>IF(AND(M1353&lt;&gt;"",M1353&gt;0),M1353+N1353+O1353,"")</f>
        <v/>
      </c>
      <c r="Q1225" s="11">
        <f>IF(AND(L1353&lt;&gt;"",L1353&gt;0,P1353&lt;&gt;""),P1353/L1353,"")</f>
        <v/>
      </c>
      <c r="R1225" s="16">
        <f>IF(AND(P1353&lt;&gt;"",P1353&gt;0),(I1353+J1353+K1353)/P1353,"")</f>
        <v/>
      </c>
    </row>
    <row r="1226" ht="27" customHeight="1">
      <c r="A1226" s="5" t="inlineStr">
        <is>
          <t>2026-07-18</t>
        </is>
      </c>
      <c r="B1226" s="5" t="inlineStr">
        <is>
          <t>29周</t>
        </is>
      </c>
      <c r="C1226" s="5" t="inlineStr">
        <is>
          <t>小红书</t>
        </is>
      </c>
      <c r="D1226" s="5" t="n"/>
      <c r="E1226" s="5" t="n"/>
      <c r="F1226" s="5" t="inlineStr">
        <is>
          <t>https://www.xiaohongshu.com/discovery/item/6a5b62c00000000009034ec2?xsec_token=CB80RkveJeKQUNsmtEIIbe6wjavW4xB_ZudJV2OgnyfaM=&amp;xsec_source=app_share&amp;type=video</t>
        </is>
      </c>
      <c r="G1226" s="5" t="inlineStr">
        <is>
          <t>1093W</t>
        </is>
      </c>
      <c r="H1226" s="5" t="inlineStr">
        <is>
          <t>鞠婧祎</t>
        </is>
      </c>
      <c r="I1226" s="5" t="n">
        <v>47.67</v>
      </c>
      <c r="J1226" s="5" t="n"/>
      <c r="K1226" s="5" t="n"/>
      <c r="L1226" s="5" t="n">
        <v>5768</v>
      </c>
      <c r="M1226" s="5" t="n">
        <v>346</v>
      </c>
      <c r="N1226" s="5" t="n">
        <v>33</v>
      </c>
      <c r="O1226" s="5" t="n">
        <v>63</v>
      </c>
      <c r="P1226" s="8">
        <f>IF(AND(M1354&lt;&gt;"",M1354&gt;0),M1354+N1354+O1354,"")</f>
        <v/>
      </c>
      <c r="Q1226" s="11">
        <f>IF(AND(L1354&lt;&gt;"",L1354&gt;0,P1354&lt;&gt;""),P1354/L1354,"")</f>
        <v/>
      </c>
      <c r="R1226" s="16">
        <f>IF(AND(P1354&lt;&gt;"",P1354&gt;0),(I1354+J1354+K1354)/P1354,"")</f>
        <v/>
      </c>
    </row>
    <row r="1227" ht="27" customHeight="1">
      <c r="A1227" s="5" t="inlineStr">
        <is>
          <t>2026-07-18</t>
        </is>
      </c>
      <c r="B1227" s="5" t="inlineStr">
        <is>
          <t>29周</t>
        </is>
      </c>
      <c r="C1227" s="5" t="inlineStr">
        <is>
          <t>小红书</t>
        </is>
      </c>
      <c r="D1227" s="5" t="n"/>
      <c r="E1227" s="5" t="n"/>
      <c r="F1227" s="5" t="inlineStr">
        <is>
          <t>https://www.xiaohongshu.com/discovery/item/6a5b90ce000000001102c56f?xsec_token=CB80RkveJeKQUNsmtEIIbe6xGjb_GXhB-jpsoIg0VAx70=&amp;xsec_source=app_share&amp;type=video</t>
        </is>
      </c>
      <c r="G1227" s="5" t="inlineStr">
        <is>
          <t>1093W</t>
        </is>
      </c>
      <c r="H1227" s="5" t="inlineStr">
        <is>
          <t>跳舞穿搭</t>
        </is>
      </c>
      <c r="I1227" s="5" t="n">
        <v>47.67</v>
      </c>
      <c r="J1227" s="5" t="n"/>
      <c r="K1227" s="5" t="n"/>
      <c r="L1227" s="5" t="n">
        <v>10517</v>
      </c>
      <c r="M1227" s="5" t="n">
        <v>836</v>
      </c>
      <c r="N1227" s="5" t="n">
        <v>41</v>
      </c>
      <c r="O1227" s="5" t="n">
        <v>32</v>
      </c>
      <c r="P1227" s="8">
        <f>IF(AND(M1355&lt;&gt;"",M1355&gt;0),M1355+N1355+O1355,"")</f>
        <v/>
      </c>
      <c r="Q1227" s="11">
        <f>IF(AND(L1355&lt;&gt;"",L1355&gt;0,P1355&lt;&gt;""),P1355/L1355,"")</f>
        <v/>
      </c>
      <c r="R1227" s="16">
        <f>IF(AND(P1355&lt;&gt;"",P1355&gt;0),(I1355+J1355+K1355)/P1355,"")</f>
        <v/>
      </c>
    </row>
    <row r="1228" ht="27" customHeight="1">
      <c r="A1228" s="5" t="inlineStr">
        <is>
          <t>2026-07-19</t>
        </is>
      </c>
      <c r="B1228" s="5" t="inlineStr">
        <is>
          <t>29周</t>
        </is>
      </c>
      <c r="C1228" s="5" t="inlineStr">
        <is>
          <t>抖音</t>
        </is>
      </c>
      <c r="D1228" s="5" t="n"/>
      <c r="E1228" s="5" t="n"/>
      <c r="F1228" s="5" t="inlineStr">
        <is>
          <t>https://www.douyin.com/user/MS4wLjABAAAAmsx7LYXDrDreFs7bWVXvnzq3fIVTUBC1MmOt-h3DkYa44P0N_bmCXdVULdSrh0YH?from_tab_name=main&amp;modal_id=7664169972234458048</t>
        </is>
      </c>
      <c r="G1228" s="5" t="inlineStr">
        <is>
          <t>459</t>
        </is>
      </c>
      <c r="H1228" s="5" t="inlineStr">
        <is>
          <t>穿搭</t>
        </is>
      </c>
      <c r="I1228" s="5" t="n">
        <v>40.09</v>
      </c>
      <c r="J1228" s="5" t="n"/>
      <c r="K1228" s="5" t="n"/>
      <c r="L1228" s="5" t="n">
        <v>9735</v>
      </c>
      <c r="M1228" s="5" t="n">
        <v>1004</v>
      </c>
      <c r="N1228" s="5" t="n">
        <v>107</v>
      </c>
      <c r="O1228" s="5" t="n">
        <v>24</v>
      </c>
      <c r="P1228" s="8">
        <f>IF(AND(M1356&lt;&gt;"",M1356&gt;0),M1356+N1356+O1356,"")</f>
        <v/>
      </c>
      <c r="Q1228" s="11">
        <f>IF(AND(L1356&lt;&gt;"",L1356&gt;0,P1356&lt;&gt;""),P1356/L1356,"")</f>
        <v/>
      </c>
      <c r="R1228" s="16">
        <f>IF(AND(P1356&lt;&gt;"",P1356&gt;0),(I1356+J1356+K1356)/P1356,"")</f>
        <v/>
      </c>
    </row>
    <row r="1229" ht="27" customHeight="1">
      <c r="A1229" s="5" t="inlineStr">
        <is>
          <t>2026-07-19</t>
        </is>
      </c>
      <c r="B1229" s="5" t="inlineStr">
        <is>
          <t>29周</t>
        </is>
      </c>
      <c r="C1229" s="5" t="inlineStr">
        <is>
          <t>抖音</t>
        </is>
      </c>
      <c r="D1229" s="5" t="n"/>
      <c r="E1229" s="5" t="n"/>
      <c r="F1229" s="5" t="inlineStr">
        <is>
          <t>https://v.douyin.com/9uu4ZmcWdtQ/</t>
        </is>
      </c>
      <c r="G1229" s="5" t="inlineStr">
        <is>
          <t>489</t>
        </is>
      </c>
      <c r="H1229" s="5" t="inlineStr">
        <is>
          <t>赵露思</t>
        </is>
      </c>
      <c r="I1229" s="5" t="n">
        <v>49.25</v>
      </c>
      <c r="J1229" s="5" t="n"/>
      <c r="K1229" s="5" t="n"/>
      <c r="L1229" s="5" t="n">
        <v>27000</v>
      </c>
      <c r="M1229" s="5" t="n">
        <v>1821</v>
      </c>
      <c r="N1229" s="5" t="n">
        <v>129</v>
      </c>
      <c r="O1229" s="5" t="n">
        <v>95</v>
      </c>
      <c r="P1229" s="8">
        <f>IF(AND(M1357&lt;&gt;"",M1357&gt;0),M1357+N1357+O1357,"")</f>
        <v/>
      </c>
      <c r="Q1229" s="11">
        <f>IF(AND(L1357&lt;&gt;"",L1357&gt;0,P1357&lt;&gt;""),P1357/L1357,"")</f>
        <v/>
      </c>
      <c r="R1229" s="16">
        <f>IF(AND(P1357&lt;&gt;"",P1357&gt;0),(I1357+J1357+K1357)/P1357,"")</f>
        <v/>
      </c>
    </row>
    <row r="1230" ht="27" customHeight="1">
      <c r="A1230" s="5" t="inlineStr">
        <is>
          <t>2026-07-19</t>
        </is>
      </c>
      <c r="B1230" s="5" t="inlineStr">
        <is>
          <t>29周</t>
        </is>
      </c>
      <c r="C1230" s="5" t="inlineStr">
        <is>
          <t>抖音</t>
        </is>
      </c>
      <c r="D1230" s="5" t="n"/>
      <c r="E1230" s="5" t="n"/>
      <c r="F1230" s="5" t="inlineStr">
        <is>
          <t>https://v.douyin.com/DP084TTJQr0/</t>
        </is>
      </c>
      <c r="G1230" s="5" t="inlineStr">
        <is>
          <t>489</t>
        </is>
      </c>
      <c r="H1230" s="5" t="inlineStr">
        <is>
          <t>陈奕恒</t>
        </is>
      </c>
      <c r="I1230" s="5" t="n">
        <v>49.25</v>
      </c>
      <c r="J1230" s="5" t="n"/>
      <c r="K1230" s="5" t="n"/>
      <c r="L1230" s="5" t="n">
        <v>1765</v>
      </c>
      <c r="M1230" s="5" t="n">
        <v>252</v>
      </c>
      <c r="N1230" s="5" t="n">
        <v>4</v>
      </c>
      <c r="O1230" s="5" t="n">
        <v>15</v>
      </c>
      <c r="P1230" s="8">
        <f>IF(AND(M1358&lt;&gt;"",M1358&gt;0),M1358+N1358+O1358,"")</f>
        <v/>
      </c>
      <c r="Q1230" s="11">
        <f>IF(AND(L1358&lt;&gt;"",L1358&gt;0,P1358&lt;&gt;""),P1358/L1358,"")</f>
        <v/>
      </c>
      <c r="R1230" s="16">
        <f>IF(AND(P1358&lt;&gt;"",P1358&gt;0),(I1358+J1358+K1358)/P1358,"")</f>
        <v/>
      </c>
    </row>
    <row r="1231" ht="27" customHeight="1">
      <c r="A1231" s="5" t="inlineStr">
        <is>
          <t>2026-07-19</t>
        </is>
      </c>
      <c r="B1231" s="5" t="inlineStr">
        <is>
          <t>29周</t>
        </is>
      </c>
      <c r="C1231" s="5" t="inlineStr">
        <is>
          <t>抖音</t>
        </is>
      </c>
      <c r="D1231" s="5" t="n"/>
      <c r="E1231" s="5" t="n"/>
      <c r="F1231" s="5" t="inlineStr">
        <is>
          <t>https://v.douyin.com/fz1-0Zhkle8/</t>
        </is>
      </c>
      <c r="G1231" s="5" t="inlineStr">
        <is>
          <t>1093W</t>
        </is>
      </c>
      <c r="H1231" s="5" t="inlineStr">
        <is>
          <t>张桂源</t>
        </is>
      </c>
      <c r="I1231" s="5" t="n">
        <v>23.835</v>
      </c>
      <c r="J1231" s="5" t="n"/>
      <c r="K1231" s="5" t="n"/>
      <c r="L1231" s="5" t="n">
        <v>1684</v>
      </c>
      <c r="M1231" s="5" t="n">
        <v>201</v>
      </c>
      <c r="N1231" s="5" t="n">
        <v>8</v>
      </c>
      <c r="O1231" s="5" t="n">
        <v>14</v>
      </c>
      <c r="P1231" s="8">
        <f>IF(AND(M1359&lt;&gt;"",M1359&gt;0),M1359+N1359+O1359,"")</f>
        <v/>
      </c>
      <c r="Q1231" s="11">
        <f>IF(AND(L1359&lt;&gt;"",L1359&gt;0,P1359&lt;&gt;""),P1359/L1359,"")</f>
        <v/>
      </c>
      <c r="R1231" s="16">
        <f>IF(AND(P1359&lt;&gt;"",P1359&gt;0),(I1359+J1359+K1359)/P1359,"")</f>
        <v/>
      </c>
    </row>
    <row r="1232" ht="67.5" customHeight="1">
      <c r="A1232" s="5" t="inlineStr">
        <is>
          <t>2026-07-20</t>
        </is>
      </c>
      <c r="B1232" s="5" t="inlineStr">
        <is>
          <t>30周</t>
        </is>
      </c>
      <c r="C1232" s="5" t="inlineStr">
        <is>
          <t>抖音</t>
        </is>
      </c>
      <c r="D1232" s="5" t="n"/>
      <c r="E1232" s="5" t="n"/>
      <c r="F1232" s="5" t="inlineStr">
        <is>
          <t>https://www.douyin.com/user/MS4wLjABAAAAf3mZo6itedm-d3V7lxh_5LqE-BNNXszlvfkI6qmRoEqrYBQcGZw4BxrlE_3aRYrm?from_tab_name=main&amp;modal_id=7664462476297771642&amp;vid=7664462476297771642</t>
        </is>
      </c>
      <c r="G1232" s="5" t="inlineStr">
        <is>
          <t>0003A2</t>
        </is>
      </c>
      <c r="H1232" s="5" t="inlineStr">
        <is>
          <t>鞋子合集</t>
        </is>
      </c>
      <c r="I1232" s="5" t="n">
        <v>103.375</v>
      </c>
      <c r="J1232" s="5" t="n"/>
      <c r="K1232" s="5" t="n"/>
      <c r="L1232" s="5" t="n">
        <v>35000</v>
      </c>
      <c r="M1232" s="5" t="n">
        <v>1776</v>
      </c>
      <c r="N1232" s="5" t="n">
        <v>935</v>
      </c>
      <c r="O1232" s="5" t="n">
        <v>60</v>
      </c>
      <c r="P1232" s="8">
        <f>IF(AND(M1360&lt;&gt;"",M1360&gt;0),M1360+N1360+O1360,"")</f>
        <v/>
      </c>
      <c r="Q1232" s="11">
        <f>IF(AND(L1360&lt;&gt;"",L1360&gt;0,P1360&lt;&gt;""),P1360/L1360,"")</f>
        <v/>
      </c>
      <c r="R1232" s="16">
        <f>IF(AND(P1360&lt;&gt;"",P1360&gt;0),(I1360+J1360+K1360)/P1360,"")</f>
        <v/>
      </c>
    </row>
    <row r="1233" ht="67.5" customHeight="1">
      <c r="A1233" s="5" t="inlineStr">
        <is>
          <t>2026-07-20</t>
        </is>
      </c>
      <c r="B1233" s="5" t="inlineStr">
        <is>
          <t>30周</t>
        </is>
      </c>
      <c r="C1233" s="5" t="inlineStr">
        <is>
          <t>抖音</t>
        </is>
      </c>
      <c r="D1233" s="5" t="n"/>
      <c r="E1233" s="5" t="n"/>
      <c r="F1233" s="5" t="inlineStr">
        <is>
          <t>https://v.douyin.com/qU3zXoj9IPg/</t>
        </is>
      </c>
      <c r="G1233" s="5" t="inlineStr">
        <is>
          <t>0003A2</t>
        </is>
      </c>
      <c r="H1233" s="5" t="inlineStr">
        <is>
          <t>刘轩丞</t>
        </is>
      </c>
      <c r="I1233" s="5" t="n">
        <v>49.375</v>
      </c>
      <c r="J1233" s="5" t="n"/>
      <c r="K1233" s="5" t="n"/>
      <c r="L1233" s="5" t="n">
        <v>4882</v>
      </c>
      <c r="M1233" s="5" t="n">
        <v>256</v>
      </c>
      <c r="N1233" s="5" t="n">
        <v>22</v>
      </c>
      <c r="O1233" s="5" t="n">
        <v>33</v>
      </c>
      <c r="P1233" s="8">
        <f>IF(AND(M1361&lt;&gt;"",M1361&gt;0),M1361+N1361+O1361,"")</f>
        <v/>
      </c>
      <c r="Q1233" s="11">
        <f>IF(AND(L1361&lt;&gt;"",L1361&gt;0,P1361&lt;&gt;""),P1361/L1361,"")</f>
        <v/>
      </c>
      <c r="R1233" s="16">
        <f>IF(AND(P1361&lt;&gt;"",P1361&gt;0),(I1361+J1361+K1361)/P1361,"")</f>
        <v/>
      </c>
    </row>
    <row r="1234" ht="81" customHeight="1">
      <c r="A1234" s="5" t="inlineStr">
        <is>
          <t>2026-07-20</t>
        </is>
      </c>
      <c r="B1234" s="5" t="inlineStr">
        <is>
          <t>30周</t>
        </is>
      </c>
      <c r="C1234" s="5" t="inlineStr">
        <is>
          <t>抖音</t>
        </is>
      </c>
      <c r="D1234" s="5" t="n"/>
      <c r="E1234" s="5" t="n"/>
      <c r="F1234" s="5" t="inlineStr">
        <is>
          <t>https://v.douyin.com/2U8D0FgKMLA/</t>
        </is>
      </c>
      <c r="G1234" s="5" t="inlineStr">
        <is>
          <t>459</t>
        </is>
      </c>
      <c r="H1234" s="5" t="inlineStr">
        <is>
          <t>生命力穿搭</t>
        </is>
      </c>
      <c r="I1234" s="5" t="n">
        <v>520.09</v>
      </c>
      <c r="J1234" s="5" t="n"/>
      <c r="K1234" s="5" t="n"/>
      <c r="L1234" s="5" t="n">
        <v>447000</v>
      </c>
      <c r="M1234" s="5" t="n">
        <v>32000</v>
      </c>
      <c r="N1234" s="5" t="n">
        <v>8452</v>
      </c>
      <c r="O1234" s="5" t="n">
        <v>301</v>
      </c>
      <c r="P1234" s="8">
        <f>IF(AND(M1362&lt;&gt;"",M1362&gt;0),M1362+N1362+O1362,"")</f>
        <v/>
      </c>
      <c r="Q1234" s="11">
        <f>IF(AND(L1362&lt;&gt;"",L1362&gt;0,P1362&lt;&gt;""),P1362/L1362,"")</f>
        <v/>
      </c>
      <c r="R1234" s="16">
        <f>IF(AND(P1362&lt;&gt;"",P1362&gt;0),(I1362+J1362+K1362)/P1362,"")</f>
        <v/>
      </c>
    </row>
    <row r="1235" ht="81" customHeight="1">
      <c r="A1235" s="5" t="inlineStr">
        <is>
          <t>2026-07-20</t>
        </is>
      </c>
      <c r="B1235" s="5" t="inlineStr">
        <is>
          <t>30周</t>
        </is>
      </c>
      <c r="C1235" s="5" t="inlineStr">
        <is>
          <t>抖音</t>
        </is>
      </c>
      <c r="D1235" s="5" t="n"/>
      <c r="E1235" s="5" t="n"/>
      <c r="F1235" s="5" t="inlineStr">
        <is>
          <t>https://v.douyin.com/xVfs5e3Eo64/</t>
        </is>
      </c>
      <c r="G1235" s="5" t="inlineStr">
        <is>
          <t>1093W</t>
        </is>
      </c>
      <c r="H1235" s="5" t="inlineStr">
        <is>
          <t>张桂源</t>
        </is>
      </c>
      <c r="I1235" s="5" t="n">
        <v>47.67</v>
      </c>
      <c r="J1235" s="5" t="n"/>
      <c r="K1235" s="5" t="n"/>
      <c r="L1235" s="5" t="n">
        <v>22061</v>
      </c>
      <c r="M1235" s="5" t="n">
        <v>344</v>
      </c>
      <c r="N1235" s="5" t="n">
        <v>6</v>
      </c>
      <c r="O1235" s="5" t="n">
        <v>122</v>
      </c>
      <c r="P1235" s="8">
        <f>IF(AND(M1363&lt;&gt;"",M1363&gt;0),M1363+N1363+O1363,"")</f>
        <v/>
      </c>
      <c r="Q1235" s="11">
        <f>IF(AND(L1363&lt;&gt;"",L1363&gt;0,P1363&lt;&gt;""),P1363/L1363,"")</f>
        <v/>
      </c>
      <c r="R1235" s="16">
        <f>IF(AND(P1363&lt;&gt;"",P1363&gt;0),(I1363+J1363+K1363)/P1363,"")</f>
        <v/>
      </c>
    </row>
    <row r="1236" ht="27" customHeight="1">
      <c r="A1236" s="5" t="inlineStr">
        <is>
          <t>2026-07-20</t>
        </is>
      </c>
      <c r="B1236" s="5" t="inlineStr">
        <is>
          <t>30周</t>
        </is>
      </c>
      <c r="C1236" s="5" t="inlineStr">
        <is>
          <t>抖音</t>
        </is>
      </c>
      <c r="D1236" s="5" t="n"/>
      <c r="E1236" s="5" t="n"/>
      <c r="F1236" s="5" t="inlineStr">
        <is>
          <t>https://www.douyin.com/video/7664254551914139130</t>
        </is>
      </c>
      <c r="G1236" s="5" t="inlineStr">
        <is>
          <t>459</t>
        </is>
      </c>
      <c r="H1236" s="5" t="inlineStr">
        <is>
          <t>群像穿搭</t>
        </is>
      </c>
      <c r="I1236" s="5" t="n"/>
      <c r="J1236" s="5" t="n"/>
      <c r="K1236" s="5" t="n"/>
      <c r="L1236" s="5" t="n">
        <v>2331</v>
      </c>
      <c r="M1236" s="5" t="n">
        <v>228</v>
      </c>
      <c r="N1236" s="5" t="n">
        <v>1</v>
      </c>
      <c r="O1236" s="5" t="n">
        <v>0</v>
      </c>
      <c r="P1236" s="8">
        <f>IF(AND(M1364&lt;&gt;"",M1364&gt;0),M1364+N1364+O1364,"")</f>
        <v/>
      </c>
      <c r="Q1236" s="11">
        <f>IF(AND(L1364&lt;&gt;"",L1364&gt;0,P1364&lt;&gt;""),P1364/L1364,"")</f>
        <v/>
      </c>
      <c r="R1236" s="16">
        <f>IF(AND(P1364&lt;&gt;"",P1364&gt;0),(I1364+J1364+K1364)/P1364,"")</f>
        <v/>
      </c>
    </row>
    <row r="1237" ht="27" customHeight="1">
      <c r="A1237" s="5" t="inlineStr">
        <is>
          <t>2026-07-20</t>
        </is>
      </c>
      <c r="B1237" s="5" t="inlineStr">
        <is>
          <t>30周</t>
        </is>
      </c>
      <c r="C1237" s="5" t="inlineStr">
        <is>
          <t>小红书</t>
        </is>
      </c>
      <c r="D1237" s="5" t="n"/>
      <c r="E1237" s="5" t="n"/>
      <c r="F1237" s="5" t="inlineStr">
        <is>
          <t>https://www.xiaohongshu.com/discovery/item/6a5d9e76000000000a03a5cd?xsec_token=CBfHLVn5jKJjVHxFOV1mgHLGrKs38qMxGB4kdl9TyjB1U=&amp;xsec_source=app_share&amp;type=video</t>
        </is>
      </c>
      <c r="G1237" s="5" t="inlineStr">
        <is>
          <t>0003A2</t>
        </is>
      </c>
      <c r="H1237" s="5" t="inlineStr">
        <is>
          <t>鞋子合集</t>
        </is>
      </c>
      <c r="I1237" s="5" t="n">
        <v>103.375</v>
      </c>
      <c r="J1237" s="5" t="n"/>
      <c r="K1237" s="5" t="n"/>
      <c r="L1237" s="5" t="n">
        <v>20265</v>
      </c>
      <c r="M1237" s="5" t="n">
        <v>1587</v>
      </c>
      <c r="N1237" s="5" t="n">
        <v>719</v>
      </c>
      <c r="O1237" s="5" t="n">
        <v>40</v>
      </c>
      <c r="P1237" s="8">
        <f>IF(AND(M1365&lt;&gt;"",M1365&gt;0),M1365+N1365+O1365,"")</f>
        <v/>
      </c>
      <c r="Q1237" s="11">
        <f>IF(AND(L1365&lt;&gt;"",L1365&gt;0,P1365&lt;&gt;""),P1365/L1365,"")</f>
        <v/>
      </c>
      <c r="R1237" s="16">
        <f>IF(AND(P1365&lt;&gt;"",P1365&gt;0),(I1365+J1365+K1365)/P1365,"")</f>
        <v/>
      </c>
    </row>
    <row r="1238" ht="27" customHeight="1">
      <c r="A1238" s="5" t="inlineStr">
        <is>
          <t>2026-07-20</t>
        </is>
      </c>
      <c r="B1238" s="5" t="inlineStr">
        <is>
          <t>30周</t>
        </is>
      </c>
      <c r="C1238" s="5" t="inlineStr">
        <is>
          <t>小红书</t>
        </is>
      </c>
      <c r="D1238" s="5" t="n"/>
      <c r="E1238" s="5" t="n"/>
      <c r="F1238" s="5" t="inlineStr">
        <is>
          <t>https://www.xiaohongshu.com/discovery/item/6a5db700000000000f030869?xsec_token=CBfHLVn5jKJjVHxFOV1mgHLEX07IpgyELtYEYxj_Pplsk=&amp;xsec_source=app_share&amp;type=video</t>
        </is>
      </c>
      <c r="G1238" s="5" t="inlineStr">
        <is>
          <t>489</t>
        </is>
      </c>
      <c r="H1238" s="5" t="inlineStr">
        <is>
          <t>陈奕恒</t>
        </is>
      </c>
      <c r="I1238" s="5" t="n">
        <v>49.25</v>
      </c>
      <c r="J1238" s="5" t="n"/>
      <c r="K1238" s="5" t="n"/>
      <c r="L1238" s="5" t="n">
        <v>10647</v>
      </c>
      <c r="M1238" s="5" t="n">
        <v>774</v>
      </c>
      <c r="N1238" s="5" t="n">
        <v>29</v>
      </c>
      <c r="O1238" s="5" t="n">
        <v>83</v>
      </c>
      <c r="P1238" s="8">
        <f>IF(AND(M1366&lt;&gt;"",M1366&gt;0),M1366+N1366+O1366,"")</f>
        <v/>
      </c>
      <c r="Q1238" s="11">
        <f>IF(AND(L1366&lt;&gt;"",L1366&gt;0,P1366&lt;&gt;""),P1366/L1366,"")</f>
        <v/>
      </c>
      <c r="R1238" s="16">
        <f>IF(AND(P1366&lt;&gt;"",P1366&gt;0),(I1366+J1366+K1366)/P1366,"")</f>
        <v/>
      </c>
    </row>
    <row r="1239" ht="27" customHeight="1">
      <c r="A1239" s="5" t="inlineStr">
        <is>
          <t>2026-07-20</t>
        </is>
      </c>
      <c r="B1239" s="5" t="inlineStr">
        <is>
          <t>30周</t>
        </is>
      </c>
      <c r="C1239" s="5" t="inlineStr">
        <is>
          <t>小红书</t>
        </is>
      </c>
      <c r="D1239" s="5" t="n"/>
      <c r="E1239" s="5" t="n"/>
      <c r="F1239" s="5" t="inlineStr">
        <is>
          <t>https://www.xiaohongshu.com/discovery/item/6a5ddc57000000001c00c7d2?xsec_token=CBfHLVn5jKJjVHxFOV1mgHLKl3umywKRsXcFIbn8XzV6E=&amp;xsec_source=app_share&amp;type=video</t>
        </is>
      </c>
      <c r="G1239" s="5" t="inlineStr">
        <is>
          <t>489</t>
        </is>
      </c>
      <c r="H1239" s="5" t="inlineStr">
        <is>
          <t>穿搭</t>
        </is>
      </c>
      <c r="I1239" s="5" t="n">
        <v>24.625</v>
      </c>
      <c r="J1239" s="5" t="n"/>
      <c r="K1239" s="5" t="n"/>
      <c r="L1239" s="5" t="n">
        <v>2327</v>
      </c>
      <c r="M1239" s="5" t="n">
        <v>172</v>
      </c>
      <c r="N1239" s="5" t="n">
        <v>2</v>
      </c>
      <c r="O1239" s="5" t="n">
        <v>13</v>
      </c>
      <c r="P1239" s="8">
        <f>IF(AND(M1367&lt;&gt;"",M1367&gt;0),M1367+N1367+O1367,"")</f>
        <v/>
      </c>
      <c r="Q1239" s="11">
        <f>IF(AND(L1367&lt;&gt;"",L1367&gt;0,P1367&lt;&gt;""),P1367/L1367,"")</f>
        <v/>
      </c>
      <c r="R1239" s="16">
        <f>IF(AND(P1367&lt;&gt;"",P1367&gt;0),(I1367+J1367+K1367)/P1367,"")</f>
        <v/>
      </c>
    </row>
    <row r="1240" ht="67.5" customHeight="1">
      <c r="A1240" s="5" t="inlineStr">
        <is>
          <t>2026-07-21</t>
        </is>
      </c>
      <c r="B1240" s="5" t="inlineStr">
        <is>
          <t>30周</t>
        </is>
      </c>
      <c r="C1240" s="5" t="inlineStr">
        <is>
          <t>抖音</t>
        </is>
      </c>
      <c r="D1240" s="5" t="n"/>
      <c r="E1240" s="5" t="n"/>
      <c r="F1240" s="5" t="inlineStr">
        <is>
          <t>https://v.douyin.com/nUCvNcem6I4/</t>
        </is>
      </c>
      <c r="G1240" s="5" t="inlineStr">
        <is>
          <t>1093W</t>
        </is>
      </c>
      <c r="H1240" s="5" t="inlineStr">
        <is>
          <t>好物口播</t>
        </is>
      </c>
      <c r="I1240" s="5" t="n">
        <v>217.67</v>
      </c>
      <c r="J1240" s="5" t="n"/>
      <c r="K1240" s="5" t="n"/>
      <c r="L1240" s="5" t="n">
        <v>1200</v>
      </c>
      <c r="M1240" s="5" t="n">
        <v>149</v>
      </c>
      <c r="N1240" s="5" t="n">
        <v>20</v>
      </c>
      <c r="O1240" s="5" t="n">
        <v>17</v>
      </c>
      <c r="P1240" s="8">
        <f>IF(AND(M1368&lt;&gt;"",M1368&gt;0),M1368+N1368+O1368,"")</f>
        <v/>
      </c>
      <c r="Q1240" s="11">
        <f>IF(AND(L1368&lt;&gt;"",L1368&gt;0,P1368&lt;&gt;""),P1368/L1368,"")</f>
        <v/>
      </c>
      <c r="R1240" s="16">
        <f>IF(AND(P1368&lt;&gt;"",P1368&gt;0),(I1368+J1368+K1368)/P1368,"")</f>
        <v/>
      </c>
    </row>
    <row r="1241" ht="81" customHeight="1">
      <c r="A1241" s="5" t="inlineStr">
        <is>
          <t>2026-07-21</t>
        </is>
      </c>
      <c r="B1241" s="5" t="inlineStr">
        <is>
          <t>30周</t>
        </is>
      </c>
      <c r="C1241" s="5" t="inlineStr">
        <is>
          <t>抖音</t>
        </is>
      </c>
      <c r="D1241" s="5" t="n"/>
      <c r="E1241" s="5" t="n"/>
      <c r="F1241" s="5" t="inlineStr">
        <is>
          <t>https://v.douyin.com/l95oO9RQZhg/</t>
        </is>
      </c>
      <c r="G1241" s="5" t="inlineStr">
        <is>
          <t>1093W</t>
        </is>
      </c>
      <c r="H1241" s="5" t="inlineStr">
        <is>
          <t>张桂源</t>
        </is>
      </c>
      <c r="I1241" s="5" t="n">
        <v>47.67</v>
      </c>
      <c r="J1241" s="5" t="n"/>
      <c r="K1241" s="5" t="n"/>
      <c r="L1241" s="5" t="n">
        <v>1122</v>
      </c>
      <c r="M1241" s="5" t="n">
        <v>161</v>
      </c>
      <c r="N1241" s="5" t="n">
        <v>12</v>
      </c>
      <c r="O1241" s="5" t="n">
        <v>29</v>
      </c>
      <c r="P1241" s="8">
        <f>IF(AND(M1369&lt;&gt;"",M1369&gt;0),M1369+N1369+O1369,"")</f>
        <v/>
      </c>
      <c r="Q1241" s="11">
        <f>IF(AND(L1369&lt;&gt;"",L1369&gt;0,P1369&lt;&gt;""),P1369/L1369,"")</f>
        <v/>
      </c>
      <c r="R1241" s="16">
        <f>IF(AND(P1369&lt;&gt;"",P1369&gt;0),(I1369+J1369+K1369)/P1369,"")</f>
        <v/>
      </c>
    </row>
    <row r="1242" ht="81" customHeight="1">
      <c r="A1242" s="5" t="inlineStr">
        <is>
          <t>2026-07-21</t>
        </is>
      </c>
      <c r="B1242" s="5" t="inlineStr">
        <is>
          <t>30周</t>
        </is>
      </c>
      <c r="C1242" s="5" t="inlineStr">
        <is>
          <t>抖音</t>
        </is>
      </c>
      <c r="D1242" s="5" t="n"/>
      <c r="E1242" s="5" t="n"/>
      <c r="F1242" s="5" t="inlineStr">
        <is>
          <t>https://v.douyin.com/8wrNGOMWnao/</t>
        </is>
      </c>
      <c r="G1242" s="5" t="inlineStr">
        <is>
          <t>0003A2</t>
        </is>
      </c>
      <c r="H1242" s="5" t="inlineStr">
        <is>
          <t>刘轩丞</t>
        </is>
      </c>
      <c r="I1242" s="5" t="n">
        <v>49.375</v>
      </c>
      <c r="J1242" s="5" t="n"/>
      <c r="K1242" s="5" t="n"/>
      <c r="L1242" s="5" t="n">
        <v>2800</v>
      </c>
      <c r="M1242" s="5" t="n">
        <v>245</v>
      </c>
      <c r="N1242" s="5" t="n">
        <v>10</v>
      </c>
      <c r="O1242" s="5" t="n">
        <v>17</v>
      </c>
      <c r="P1242" s="8">
        <f>IF(AND(M1370&lt;&gt;"",M1370&gt;0),M1370+N1370+O1370,"")</f>
        <v/>
      </c>
      <c r="Q1242" s="11">
        <f>IF(AND(L1370&lt;&gt;"",L1370&gt;0,P1370&lt;&gt;""),P1370/L1370,"")</f>
        <v/>
      </c>
      <c r="R1242" s="16">
        <f>IF(AND(P1370&lt;&gt;"",P1370&gt;0),(I1370+J1370+K1370)/P1370,"")</f>
        <v/>
      </c>
    </row>
    <row r="1243" ht="67.5" customHeight="1">
      <c r="A1243" s="5" t="inlineStr">
        <is>
          <t>2026-07-21</t>
        </is>
      </c>
      <c r="B1243" s="5" t="inlineStr">
        <is>
          <t>30周</t>
        </is>
      </c>
      <c r="C1243" s="5" t="inlineStr">
        <is>
          <t>小红书</t>
        </is>
      </c>
      <c r="D1243" s="5" t="n"/>
      <c r="E1243" s="5" t="n"/>
      <c r="F1243" s="5" t="inlineStr">
        <is>
          <t>https://www.xiaohongshu.com/discovery/item/6a5f51e5000000000101d379?xsec_token=CBtTfesOSZXQoEbftulc0WBdTANOA1B83pN2UMuVuNC40=&amp;xsec_source=app_share&amp;type=video</t>
        </is>
      </c>
      <c r="G1243" s="5" t="inlineStr">
        <is>
          <t>489</t>
        </is>
      </c>
      <c r="H1243" s="5" t="inlineStr">
        <is>
          <t>陈奕恒</t>
        </is>
      </c>
      <c r="I1243" s="5" t="n">
        <v>24.625</v>
      </c>
      <c r="J1243" s="5" t="n"/>
      <c r="K1243" s="5" t="n"/>
      <c r="L1243" s="5" t="n">
        <v>1235</v>
      </c>
      <c r="M1243" s="5" t="n">
        <v>83</v>
      </c>
      <c r="N1243" s="5" t="n">
        <v>5</v>
      </c>
      <c r="O1243" s="5" t="n">
        <v>12</v>
      </c>
      <c r="P1243" s="8">
        <f>IF(AND(M1371&lt;&gt;"",M1371&gt;0),M1371+N1371+O1371,"")</f>
        <v/>
      </c>
      <c r="Q1243" s="11">
        <f>IF(AND(L1371&lt;&gt;"",L1371&gt;0,P1371&lt;&gt;""),P1371/L1371,"")</f>
        <v/>
      </c>
      <c r="R1243" s="16">
        <f>IF(AND(P1371&lt;&gt;"",P1371&gt;0),(I1371+J1371+K1371)/P1371,"")</f>
        <v/>
      </c>
    </row>
    <row r="1244" ht="27" customHeight="1">
      <c r="A1244" s="5" t="inlineStr">
        <is>
          <t>2026-07-21</t>
        </is>
      </c>
      <c r="B1244" s="5" t="inlineStr">
        <is>
          <t>30周</t>
        </is>
      </c>
      <c r="C1244" s="5" t="inlineStr">
        <is>
          <t>小红书</t>
        </is>
      </c>
      <c r="D1244" s="5" t="n"/>
      <c r="E1244" s="5" t="n"/>
      <c r="F1244" s="5" t="inlineStr">
        <is>
          <t>https://www.xiaohongshu.com/discovery/item/6a5f54f9000000000f0155ca?xsec_token=CBtTfesOSZXQoEbftulc0WBSAIfe4IOHvvXVaUAU5OSUs=&amp;xsec_source=app_share&amp;type=video</t>
        </is>
      </c>
      <c r="G1244" s="5" t="inlineStr">
        <is>
          <t>489</t>
        </is>
      </c>
      <c r="H1244" s="5" t="inlineStr">
        <is>
          <t>陈奕恒</t>
        </is>
      </c>
      <c r="I1244" s="5" t="n">
        <v>49.25</v>
      </c>
      <c r="J1244" s="5" t="n"/>
      <c r="K1244" s="5" t="n"/>
      <c r="L1244" s="5" t="n">
        <v>6033</v>
      </c>
      <c r="M1244" s="5" t="n">
        <v>424</v>
      </c>
      <c r="N1244" s="5" t="n">
        <v>27</v>
      </c>
      <c r="O1244" s="5" t="n">
        <v>50</v>
      </c>
      <c r="P1244" s="8">
        <f>IF(AND(M1372&lt;&gt;"",M1372&gt;0),M1372+N1372+O1372,"")</f>
        <v/>
      </c>
      <c r="Q1244" s="11">
        <f>IF(AND(L1372&lt;&gt;"",L1372&gt;0,P1372&lt;&gt;""),P1372/L1372,"")</f>
        <v/>
      </c>
      <c r="R1244" s="16">
        <f>IF(AND(P1372&lt;&gt;"",P1372&gt;0),(I1372+J1372+K1372)/P1372,"")</f>
        <v/>
      </c>
    </row>
    <row r="1245" ht="27" customHeight="1">
      <c r="A1245" s="5" t="inlineStr">
        <is>
          <t>2026-07-22</t>
        </is>
      </c>
      <c r="B1245" s="5" t="inlineStr">
        <is>
          <t>30周</t>
        </is>
      </c>
      <c r="C1245" s="5" t="inlineStr">
        <is>
          <t>小红书</t>
        </is>
      </c>
      <c r="D1245" s="5" t="n"/>
      <c r="E1245" s="5" t="n"/>
      <c r="F1245" s="5" t="inlineStr">
        <is>
          <t>https://www.xiaohongshu.com/discovery/item/6a6066e9000000001101b081?xsec_token=CBEx-99PgsbmYIJDYuTQ9gzqXdSNIeu6R255RE7KO3Ilg=&amp;xsec_source=app_share</t>
        </is>
      </c>
      <c r="G1245" s="5" t="inlineStr">
        <is>
          <t>0003A2</t>
        </is>
      </c>
      <c r="H1245" s="5" t="inlineStr">
        <is>
          <t>刘轩丞</t>
        </is>
      </c>
      <c r="I1245" s="5" t="n">
        <v>49.375</v>
      </c>
      <c r="J1245" s="5" t="n"/>
      <c r="K1245" s="5" t="n"/>
      <c r="L1245" s="5" t="n">
        <v>316</v>
      </c>
      <c r="M1245" s="5" t="n">
        <v>19</v>
      </c>
      <c r="N1245" s="5" t="n">
        <v>0</v>
      </c>
      <c r="O1245" s="5" t="n">
        <v>3</v>
      </c>
      <c r="P1245" s="8">
        <f>IF(AND(M1373&lt;&gt;"",M1373&gt;0),M1373+N1373+O1373,"")</f>
        <v/>
      </c>
      <c r="Q1245" s="11">
        <f>IF(AND(L1373&lt;&gt;"",L1373&gt;0,P1373&lt;&gt;""),P1373/L1373,"")</f>
        <v/>
      </c>
      <c r="R1245" s="16">
        <f>IF(AND(P1373&lt;&gt;"",P1373&gt;0),(I1373+J1373+K1373)/P1373,"")</f>
        <v/>
      </c>
    </row>
    <row r="1246" ht="81" customHeight="1">
      <c r="A1246" s="5" t="inlineStr">
        <is>
          <t>2026-07-22</t>
        </is>
      </c>
      <c r="B1246" s="5" t="inlineStr">
        <is>
          <t>30周</t>
        </is>
      </c>
      <c r="C1246" s="5" t="inlineStr">
        <is>
          <t>小红书</t>
        </is>
      </c>
      <c r="D1246" s="5" t="n"/>
      <c r="E1246" s="5" t="n"/>
      <c r="F1246" s="5" t="inlineStr">
        <is>
          <t>https://www.xiaohongshu.com/discovery/item/6a608b8e000000001c00c66c?xsec_token=CBJHCB_OE2jvYoje6QryWoXxo_XWW1tS5te0HFGI16ztk=&amp;xsec_source=app_share&amp;type=video</t>
        </is>
      </c>
      <c r="G1246" s="5" t="inlineStr">
        <is>
          <t>1093W</t>
        </is>
      </c>
      <c r="H1246" s="5" t="inlineStr">
        <is>
          <t>张桂源</t>
        </is>
      </c>
      <c r="I1246" s="5" t="n">
        <v>23.835</v>
      </c>
      <c r="J1246" s="5" t="n"/>
      <c r="K1246" s="5" t="n"/>
      <c r="L1246" s="5" t="n">
        <v>893</v>
      </c>
      <c r="M1246" s="5" t="n">
        <v>66</v>
      </c>
      <c r="N1246" s="5" t="n">
        <v>9</v>
      </c>
      <c r="O1246" s="5" t="n">
        <v>5</v>
      </c>
      <c r="P1246" s="8">
        <f>IF(AND(M1374&lt;&gt;"",M1374&gt;0),M1374+N1374+O1374,"")</f>
        <v/>
      </c>
      <c r="Q1246" s="11">
        <f>IF(AND(L1374&lt;&gt;"",L1374&gt;0,P1374&lt;&gt;""),P1374/L1374,"")</f>
        <v/>
      </c>
      <c r="R1246" s="16">
        <f>IF(AND(P1374&lt;&gt;"",P1374&gt;0),(I1374+J1374+K1374)/P1374,"")</f>
        <v/>
      </c>
    </row>
    <row r="1247">
      <c r="A1247" s="5" t="inlineStr">
        <is>
          <t>2026-07-22</t>
        </is>
      </c>
      <c r="B1247" s="5" t="inlineStr">
        <is>
          <t>30周</t>
        </is>
      </c>
      <c r="C1247" s="5" t="inlineStr">
        <is>
          <t>小红书</t>
        </is>
      </c>
      <c r="D1247" s="5" t="n"/>
      <c r="E1247" s="5" t="n"/>
      <c r="F1247" s="5" t="inlineStr">
        <is>
          <t>https://www.xiaohongshu.com/discovery/item/6a609592000000000f01c6b6?xsec_token=CBEx-99PgsbmYIJDYuTQ9gzoRtcOG6CZXL1IDskE58ZmY=&amp;xsec_source=app_share&amp;type=video</t>
        </is>
      </c>
      <c r="G1247" s="5" t="inlineStr">
        <is>
          <t>459</t>
        </is>
      </c>
      <c r="H1247" s="5" t="inlineStr">
        <is>
          <t>穿搭</t>
        </is>
      </c>
      <c r="I1247" s="5" t="n">
        <v>213.36</v>
      </c>
      <c r="J1247" s="5" t="n"/>
      <c r="K1247" s="5" t="n"/>
      <c r="L1247" s="5" t="n">
        <v>9533</v>
      </c>
      <c r="M1247" s="5" t="n">
        <v>454</v>
      </c>
      <c r="N1247" s="5" t="n">
        <v>43</v>
      </c>
      <c r="O1247" s="5" t="n">
        <v>140</v>
      </c>
      <c r="P1247" s="8">
        <f>IF(AND(M1375&lt;&gt;"",M1375&gt;0),M1375+N1375+O1375,"")</f>
        <v/>
      </c>
      <c r="Q1247" s="11">
        <f>IF(AND(L1375&lt;&gt;"",L1375&gt;0,P1375&lt;&gt;""),P1375/L1375,"")</f>
        <v/>
      </c>
      <c r="R1247" s="16">
        <f>IF(AND(P1375&lt;&gt;"",P1375&gt;0),(I1375+J1375+K1375)/P1375,"")</f>
        <v/>
      </c>
    </row>
    <row r="1248" ht="27" customHeight="1">
      <c r="A1248" s="5" t="inlineStr">
        <is>
          <t>2026-07-22</t>
        </is>
      </c>
      <c r="B1248" s="5" t="inlineStr">
        <is>
          <t>30周</t>
        </is>
      </c>
      <c r="C1248" s="5" t="inlineStr">
        <is>
          <t>小红书</t>
        </is>
      </c>
      <c r="D1248" s="5" t="n"/>
      <c r="E1248" s="5" t="n"/>
      <c r="F1248" s="5" t="inlineStr">
        <is>
          <t>https://www.xiaohongshu.com/discovery/item/6a609bc1000000001102e70f?xsec_token=CBEx-99PgsbmYIJDYuTQ9gzggU_vZFkvIJoUwO2WqdJpI=&amp;xsec_source=app_share&amp;type=video</t>
        </is>
      </c>
      <c r="G1248" s="5" t="inlineStr">
        <is>
          <t>1093W</t>
        </is>
      </c>
      <c r="H1248" s="5" t="inlineStr">
        <is>
          <t>张桂源</t>
        </is>
      </c>
      <c r="I1248" s="5" t="n">
        <v>15.89</v>
      </c>
      <c r="J1248" s="5" t="n"/>
      <c r="K1248" s="5" t="n"/>
      <c r="L1248" s="5" t="n">
        <v>2941</v>
      </c>
      <c r="M1248" s="5" t="n">
        <v>202</v>
      </c>
      <c r="N1248" s="5" t="n">
        <v>31</v>
      </c>
      <c r="O1248" s="5" t="n">
        <v>17</v>
      </c>
      <c r="P1248" s="8">
        <f>IF(AND(M1376&lt;&gt;"",M1376&gt;0),M1376+N1376+O1376,"")</f>
        <v/>
      </c>
      <c r="Q1248" s="11">
        <f>IF(AND(L1376&lt;&gt;"",L1376&gt;0,P1376&lt;&gt;""),P1376/L1376,"")</f>
        <v/>
      </c>
      <c r="R1248" s="16">
        <f>IF(AND(P1376&lt;&gt;"",P1376&gt;0),(I1376+J1376+K1376)/P1376,"")</f>
        <v/>
      </c>
    </row>
    <row r="1249" ht="27" customHeight="1">
      <c r="A1249" s="5" t="inlineStr">
        <is>
          <t>2026-07-23</t>
        </is>
      </c>
      <c r="B1249" s="5" t="inlineStr">
        <is>
          <t>30周</t>
        </is>
      </c>
      <c r="C1249" s="5" t="inlineStr">
        <is>
          <t>抖音</t>
        </is>
      </c>
      <c r="D1249" s="5" t="n"/>
      <c r="E1249" s="5" t="n"/>
      <c r="F1249" s="5" t="inlineStr">
        <is>
          <t>https://v.douyin.com/4ZwBi-Sd__w/</t>
        </is>
      </c>
      <c r="G1249" s="5" t="inlineStr">
        <is>
          <t>1093W</t>
        </is>
      </c>
      <c r="H1249" s="5" t="inlineStr">
        <is>
          <t>左航</t>
        </is>
      </c>
      <c r="I1249" s="5" t="n">
        <v>47.67</v>
      </c>
      <c r="J1249" s="5" t="n"/>
      <c r="K1249" s="5" t="n"/>
      <c r="L1249" s="5" t="n">
        <v>1858</v>
      </c>
      <c r="M1249" s="5" t="n">
        <v>273</v>
      </c>
      <c r="N1249" s="5" t="n">
        <v>6</v>
      </c>
      <c r="O1249" s="5" t="n">
        <v>28</v>
      </c>
      <c r="P1249" s="8">
        <f>IF(AND(M1377&lt;&gt;"",M1377&gt;0),M1377+N1377+O1377,"")</f>
        <v/>
      </c>
      <c r="Q1249" s="11">
        <f>IF(AND(L1377&lt;&gt;"",L1377&gt;0,P1377&lt;&gt;""),P1377/L1377,"")</f>
        <v/>
      </c>
      <c r="R1249" s="16">
        <f>IF(AND(P1377&lt;&gt;"",P1377&gt;0),(I1377+J1377+K1377)/P1377,"")</f>
        <v/>
      </c>
    </row>
    <row r="1250" ht="27" customHeight="1">
      <c r="A1250" s="5" t="inlineStr">
        <is>
          <t>2026-07-23</t>
        </is>
      </c>
      <c r="B1250" s="5" t="inlineStr">
        <is>
          <t>30周</t>
        </is>
      </c>
      <c r="C1250" s="5" t="inlineStr">
        <is>
          <t>抖音</t>
        </is>
      </c>
      <c r="D1250" s="5" t="n"/>
      <c r="E1250" s="5" t="n"/>
      <c r="F1250" s="5" t="inlineStr">
        <is>
          <t>https://v.douyin.com/9PckceZMW-A/</t>
        </is>
      </c>
      <c r="G1250" s="5" t="inlineStr">
        <is>
          <t>0003A2</t>
        </is>
      </c>
      <c r="H1250" s="5" t="inlineStr">
        <is>
          <t>刘轩丞</t>
        </is>
      </c>
      <c r="I1250" s="5" t="n">
        <v>98.75</v>
      </c>
      <c r="J1250" s="5" t="n"/>
      <c r="K1250" s="5" t="n"/>
      <c r="L1250" s="5" t="n">
        <v>1586</v>
      </c>
      <c r="M1250" s="5" t="n">
        <v>230</v>
      </c>
      <c r="N1250" s="5" t="n">
        <v>18</v>
      </c>
      <c r="O1250" s="5" t="n">
        <v>72</v>
      </c>
      <c r="P1250" s="8">
        <f>IF(AND(M1378&lt;&gt;"",M1378&gt;0),M1378+N1378+O1378,"")</f>
        <v/>
      </c>
      <c r="Q1250" s="11">
        <f>IF(AND(L1378&lt;&gt;"",L1378&gt;0,P1378&lt;&gt;""),P1378/L1378,"")</f>
        <v/>
      </c>
      <c r="R1250" s="16">
        <f>IF(AND(P1378&lt;&gt;"",P1378&gt;0),(I1378+J1378+K1378)/P1378,"")</f>
        <v/>
      </c>
    </row>
    <row r="1251" ht="27" customHeight="1">
      <c r="A1251" s="5" t="inlineStr">
        <is>
          <t>2026-07-23</t>
        </is>
      </c>
      <c r="B1251" s="5" t="inlineStr">
        <is>
          <t>30周</t>
        </is>
      </c>
      <c r="C1251" s="5" t="inlineStr">
        <is>
          <t>小红书</t>
        </is>
      </c>
      <c r="D1251" s="5" t="n"/>
      <c r="E1251" s="5" t="n"/>
      <c r="F1251" s="5" t="inlineStr">
        <is>
          <t>https://www.xiaohongshu.com/discovery/item/6a61a95b000000000103029f?xsec_token=CBe5Og_mJGb75_7EK1k7MsDMXvkrdLF-UZPJCLWU1dThs=&amp;xsec_source=app_share&amp;type=video</t>
        </is>
      </c>
      <c r="G1251" s="5" t="inlineStr">
        <is>
          <t>1093W</t>
        </is>
      </c>
      <c r="H1251" s="5" t="inlineStr">
        <is>
          <t>左航</t>
        </is>
      </c>
      <c r="I1251" s="5" t="n">
        <v>23.835</v>
      </c>
      <c r="J1251" s="5" t="n"/>
      <c r="K1251" s="5" t="n"/>
      <c r="L1251" s="5" t="n">
        <v>1737</v>
      </c>
      <c r="M1251" s="5" t="n">
        <v>152</v>
      </c>
      <c r="N1251" s="5" t="n">
        <v>4</v>
      </c>
      <c r="O1251" s="5" t="n">
        <v>4</v>
      </c>
      <c r="P1251" s="8">
        <f>IF(AND(M1379&lt;&gt;"",M1379&gt;0),M1379+N1379+O1379,"")</f>
        <v/>
      </c>
      <c r="Q1251" s="11">
        <f>IF(AND(L1379&lt;&gt;"",L1379&gt;0,P1379&lt;&gt;""),P1379/L1379,"")</f>
        <v/>
      </c>
      <c r="R1251" s="16">
        <f>IF(AND(P1379&lt;&gt;"",P1379&gt;0),(I1379+J1379+K1379)/P1379,"")</f>
        <v/>
      </c>
    </row>
    <row r="1252" ht="27" customHeight="1">
      <c r="A1252" s="5" t="inlineStr">
        <is>
          <t>2026-07-23</t>
        </is>
      </c>
      <c r="B1252" s="5" t="inlineStr">
        <is>
          <t>30周</t>
        </is>
      </c>
      <c r="C1252" s="5" t="inlineStr">
        <is>
          <t>小红书</t>
        </is>
      </c>
      <c r="D1252" s="5" t="n"/>
      <c r="E1252" s="5" t="n"/>
      <c r="F1252" s="5" t="inlineStr">
        <is>
          <t>https://www.xiaohongshu.com/discovery/item/6a61be97000000000f01f80f?xsec_token=CBkCuWCrce3jayjBSC74fG_8baj5N-SHtwbM6j9nvG3Zc=&amp;xsec_source=app_share</t>
        </is>
      </c>
      <c r="G1252" s="5" t="inlineStr">
        <is>
          <t>0003A2</t>
        </is>
      </c>
      <c r="H1252" s="5" t="inlineStr">
        <is>
          <t>刘轩丞</t>
        </is>
      </c>
      <c r="I1252" s="5" t="n">
        <v>49.375</v>
      </c>
      <c r="J1252" s="5" t="n"/>
      <c r="K1252" s="5" t="n"/>
      <c r="L1252" s="5" t="n">
        <v>167</v>
      </c>
      <c r="M1252" s="5" t="n">
        <v>10</v>
      </c>
      <c r="N1252" s="5" t="n">
        <v>0</v>
      </c>
      <c r="O1252" s="5" t="n">
        <v>1</v>
      </c>
      <c r="P1252" s="8">
        <f>IF(AND(M1380&lt;&gt;"",M1380&gt;0),M1380+N1380+O1380,"")</f>
        <v/>
      </c>
      <c r="Q1252" s="11">
        <f>IF(AND(L1380&lt;&gt;"",L1380&gt;0,P1380&lt;&gt;""),P1380/L1380,"")</f>
        <v/>
      </c>
      <c r="R1252" s="16">
        <f>IF(AND(P1380&lt;&gt;"",P1380&gt;0),(I1380+J1380+K1380)/P1380,"")</f>
        <v/>
      </c>
    </row>
    <row r="1253" ht="27" customHeight="1">
      <c r="A1253" s="5" t="inlineStr">
        <is>
          <t>2026-07-24</t>
        </is>
      </c>
      <c r="B1253" s="5" t="inlineStr">
        <is>
          <t>30周</t>
        </is>
      </c>
      <c r="C1253" s="5" t="inlineStr">
        <is>
          <t>抖音</t>
        </is>
      </c>
      <c r="D1253" s="5" t="n"/>
      <c r="E1253" s="5" t="n"/>
      <c r="F1253" s="5" t="inlineStr">
        <is>
          <t>https://v.douyin.com/ZnJB2ml3zIk/</t>
        </is>
      </c>
      <c r="G1253" s="5" t="inlineStr">
        <is>
          <t>1093W</t>
        </is>
      </c>
      <c r="H1253" s="5" t="inlineStr">
        <is>
          <t>张桂源</t>
        </is>
      </c>
      <c r="I1253" s="5" t="n">
        <v>15.89</v>
      </c>
      <c r="J1253" s="5" t="n"/>
      <c r="K1253" s="5" t="n"/>
      <c r="L1253" s="5" t="n">
        <v>25000</v>
      </c>
      <c r="M1253" s="5" t="n">
        <v>2324</v>
      </c>
      <c r="N1253" s="5" t="n">
        <v>117</v>
      </c>
      <c r="O1253" s="5" t="n">
        <v>104</v>
      </c>
      <c r="P1253" s="8">
        <f>IF(AND(M1381&lt;&gt;"",M1381&gt;0),M1381+N1381+O1381,"")</f>
        <v/>
      </c>
      <c r="Q1253" s="11">
        <f>IF(AND(L1381&lt;&gt;"",L1381&gt;0,P1381&lt;&gt;""),P1381/L1381,"")</f>
        <v/>
      </c>
      <c r="R1253" s="16">
        <f>IF(AND(P1381&lt;&gt;"",P1381&gt;0),(I1381+J1381+K1381)/P1381,"")</f>
        <v/>
      </c>
    </row>
    <row r="1254" ht="27" customHeight="1">
      <c r="A1254" s="5" t="inlineStr">
        <is>
          <t>2026-07-24</t>
        </is>
      </c>
      <c r="B1254" s="5" t="inlineStr">
        <is>
          <t>30周</t>
        </is>
      </c>
      <c r="C1254" s="5" t="inlineStr">
        <is>
          <t>快手</t>
        </is>
      </c>
      <c r="D1254" s="5" t="n"/>
      <c r="E1254" s="5" t="n"/>
      <c r="F1254" s="5" t="inlineStr">
        <is>
          <t>https://v.kuaishou.com/KLD9E1EV</t>
        </is>
      </c>
      <c r="G1254" s="5" t="inlineStr">
        <is>
          <t>1093W</t>
        </is>
      </c>
      <c r="H1254" s="5" t="inlineStr">
        <is>
          <t>张桂源</t>
        </is>
      </c>
      <c r="I1254" s="5" t="n">
        <v>15.89</v>
      </c>
      <c r="J1254" s="5" t="n"/>
      <c r="K1254" s="5" t="n"/>
      <c r="L1254" s="5" t="n">
        <v>5320</v>
      </c>
      <c r="M1254" s="5" t="n">
        <v>738</v>
      </c>
      <c r="N1254" s="5" t="n">
        <v>26</v>
      </c>
      <c r="O1254" s="5" t="n">
        <v>132</v>
      </c>
      <c r="P1254" s="8">
        <f>IF(AND(M1382&lt;&gt;"",M1382&gt;0),M1382+N1382+O1382,"")</f>
        <v/>
      </c>
      <c r="Q1254" s="11">
        <f>IF(AND(L1382&lt;&gt;"",L1382&gt;0,P1382&lt;&gt;""),P1382/L1382,"")</f>
        <v/>
      </c>
      <c r="R1254" s="16">
        <f>IF(AND(P1382&lt;&gt;"",P1382&gt;0),(I1382+J1382+K1382)/P1382,"")</f>
        <v/>
      </c>
    </row>
    <row r="1255" ht="27" customHeight="1">
      <c r="A1255" s="5" t="inlineStr">
        <is>
          <t>2026-07-24</t>
        </is>
      </c>
      <c r="B1255" s="5" t="inlineStr">
        <is>
          <t>30周</t>
        </is>
      </c>
      <c r="C1255" s="5" t="inlineStr">
        <is>
          <t>快手</t>
        </is>
      </c>
      <c r="D1255" s="5" t="n"/>
      <c r="E1255" s="5" t="n"/>
      <c r="F1255" s="5" t="inlineStr">
        <is>
          <t>https://v.kuaishou.com/J0FbvssX</t>
        </is>
      </c>
      <c r="G1255" s="5" t="inlineStr">
        <is>
          <t>1093W</t>
        </is>
      </c>
      <c r="H1255" s="5" t="inlineStr">
        <is>
          <t>左奇函</t>
        </is>
      </c>
      <c r="I1255" s="5" t="n">
        <v>47.67</v>
      </c>
      <c r="J1255" s="5" t="n"/>
      <c r="K1255" s="5" t="n"/>
      <c r="L1255" s="5" t="n">
        <v>47000</v>
      </c>
      <c r="M1255" s="5" t="n">
        <v>7435</v>
      </c>
      <c r="N1255" s="5" t="n">
        <v>247</v>
      </c>
      <c r="O1255" s="5" t="n">
        <v>527</v>
      </c>
      <c r="P1255" s="8">
        <f>IF(AND(M1383&lt;&gt;"",M1383&gt;0),M1383+N1383+O1383,"")</f>
        <v/>
      </c>
      <c r="Q1255" s="11">
        <f>IF(AND(L1383&lt;&gt;"",L1383&gt;0,P1383&lt;&gt;""),P1383/L1383,"")</f>
        <v/>
      </c>
      <c r="R1255" s="16">
        <f>IF(AND(P1383&lt;&gt;"",P1383&gt;0),(I1383+J1383+K1383)/P1383,"")</f>
        <v/>
      </c>
    </row>
    <row r="1256" ht="81" customHeight="1">
      <c r="A1256" s="5" t="inlineStr">
        <is>
          <t>2026-07-24</t>
        </is>
      </c>
      <c r="B1256" s="5" t="inlineStr">
        <is>
          <t>30周</t>
        </is>
      </c>
      <c r="C1256" s="5" t="inlineStr">
        <is>
          <t>抖音</t>
        </is>
      </c>
      <c r="D1256" s="5" t="n"/>
      <c r="E1256" s="5" t="n"/>
      <c r="F1256" s="5" t="inlineStr">
        <is>
          <t>https://v.douyin.com/2CyojjKC_HY/</t>
        </is>
      </c>
      <c r="G1256" s="5" t="inlineStr">
        <is>
          <t>1093W</t>
        </is>
      </c>
      <c r="H1256" s="5" t="inlineStr">
        <is>
          <t>张桂源</t>
        </is>
      </c>
      <c r="I1256" s="5" t="n">
        <v>47.67</v>
      </c>
      <c r="J1256" s="5" t="n"/>
      <c r="K1256" s="5" t="n"/>
      <c r="L1256" s="5" t="n">
        <v>12000</v>
      </c>
      <c r="M1256" s="5" t="n">
        <v>564</v>
      </c>
      <c r="N1256" s="5" t="n">
        <v>57</v>
      </c>
      <c r="O1256" s="5" t="n">
        <v>114</v>
      </c>
      <c r="P1256" s="8">
        <f>IF(AND(M1384&lt;&gt;"",M1384&gt;0),M1384+N1384+O1384,"")</f>
        <v/>
      </c>
      <c r="Q1256" s="11">
        <f>IF(AND(L1384&lt;&gt;"",L1384&gt;0,P1384&lt;&gt;""),P1384/L1384,"")</f>
        <v/>
      </c>
      <c r="R1256" s="16">
        <f>IF(AND(P1384&lt;&gt;"",P1384&gt;0),(I1384+J1384+K1384)/P1384,"")</f>
        <v/>
      </c>
    </row>
    <row r="1257" ht="81" customHeight="1">
      <c r="A1257" s="5" t="inlineStr">
        <is>
          <t>2026-07-24</t>
        </is>
      </c>
      <c r="B1257" s="5" t="inlineStr">
        <is>
          <t>30周</t>
        </is>
      </c>
      <c r="C1257" s="5" t="inlineStr">
        <is>
          <t>抖音</t>
        </is>
      </c>
      <c r="D1257" s="5" t="n"/>
      <c r="E1257" s="5" t="n"/>
      <c r="F1257" s="5" t="inlineStr">
        <is>
          <t>https://v.douyin.com/kLSF0mKR80U/</t>
        </is>
      </c>
      <c r="G1257" s="5" t="inlineStr">
        <is>
          <t>489</t>
        </is>
      </c>
      <c r="H1257" s="5" t="inlineStr">
        <is>
          <t>陈奕恒</t>
        </is>
      </c>
      <c r="I1257" s="5" t="n">
        <v>24.625</v>
      </c>
      <c r="J1257" s="5" t="n"/>
      <c r="K1257" s="5" t="n"/>
      <c r="L1257" s="5" t="n">
        <v>984</v>
      </c>
      <c r="M1257" s="5" t="n">
        <v>152</v>
      </c>
      <c r="N1257" s="5" t="n">
        <v>8</v>
      </c>
      <c r="O1257" s="5" t="n">
        <v>50</v>
      </c>
      <c r="P1257" s="8">
        <f>IF(AND(M1385&lt;&gt;"",M1385&gt;0),M1385+N1385+O1385,"")</f>
        <v/>
      </c>
      <c r="Q1257" s="11">
        <f>IF(AND(L1385&lt;&gt;"",L1385&gt;0,P1385&lt;&gt;""),P1385/L1385,"")</f>
        <v/>
      </c>
      <c r="R1257" s="16">
        <f>IF(AND(P1385&lt;&gt;"",P1385&gt;0),(I1385+J1385+K1385)/P1385,"")</f>
        <v/>
      </c>
    </row>
    <row r="1258" ht="27" customHeight="1">
      <c r="A1258" s="5" t="inlineStr">
        <is>
          <t>2026-07-24</t>
        </is>
      </c>
      <c r="B1258" s="5" t="inlineStr">
        <is>
          <t>30周</t>
        </is>
      </c>
      <c r="C1258" s="5" t="inlineStr">
        <is>
          <t>抖音</t>
        </is>
      </c>
      <c r="D1258" s="5" t="n"/>
      <c r="E1258" s="5" t="n"/>
      <c r="F1258" s="5" t="inlineStr">
        <is>
          <t>https://www.douyin.com/user/MS4wLjABAAAAAtNibLlEawnKFoaTptwERriOsQnIJ4ObCjnLTMX_tHaXcKnKQ8_x3ZFYA42tHcX6?from_tab_name=main&amp;modal_id=7665280733786672755</t>
        </is>
      </c>
      <c r="G1258" s="5" t="inlineStr">
        <is>
          <t>459</t>
        </is>
      </c>
      <c r="H1258" s="5" t="inlineStr">
        <is>
          <t>穿搭</t>
        </is>
      </c>
      <c r="I1258" s="5" t="n">
        <v>40.09</v>
      </c>
      <c r="J1258" s="5" t="n"/>
      <c r="K1258" s="5" t="n"/>
      <c r="L1258" s="5" t="n">
        <v>10000</v>
      </c>
      <c r="M1258" s="5" t="n">
        <v>449</v>
      </c>
      <c r="N1258" s="5" t="n">
        <v>25</v>
      </c>
      <c r="O1258" s="5" t="n">
        <v>25</v>
      </c>
      <c r="P1258" s="8">
        <f>IF(AND(M1386&lt;&gt;"",M1386&gt;0),M1386+N1386+O1386,"")</f>
        <v/>
      </c>
      <c r="Q1258" s="11">
        <f>IF(AND(L1386&lt;&gt;"",L1386&gt;0,P1386&lt;&gt;""),P1386/L1386,"")</f>
        <v/>
      </c>
      <c r="R1258" s="16">
        <f>IF(AND(P1386&lt;&gt;"",P1386&gt;0),(I1386+J1386+K1386)/P1386,"")</f>
        <v/>
      </c>
    </row>
    <row r="1259" ht="27" customHeight="1">
      <c r="A1259" s="5" t="inlineStr">
        <is>
          <t>2026-07-24</t>
        </is>
      </c>
      <c r="B1259" s="5" t="inlineStr">
        <is>
          <t>30周</t>
        </is>
      </c>
      <c r="C1259" s="5" t="inlineStr">
        <is>
          <t>抖音</t>
        </is>
      </c>
      <c r="D1259" s="5" t="n"/>
      <c r="E1259" s="5" t="n"/>
      <c r="F1259" s="5" t="inlineStr">
        <is>
          <t>https://www.douyin.com/user/MS4wLjABAAAAzLmepXODcqXVNAXq-Wj9ysgk5gAiGTJp0CWg1nHH7h9HKuuw-yPE43np-KvkIMUo?from_tab_name=main&amp;modal_id=7666042190103481253</t>
        </is>
      </c>
      <c r="G1259" s="5" t="inlineStr">
        <is>
          <t>1093W</t>
        </is>
      </c>
      <c r="H1259" s="5" t="inlineStr">
        <is>
          <t>张桂源</t>
        </is>
      </c>
      <c r="I1259" s="5" t="n">
        <v>47.67</v>
      </c>
      <c r="J1259" s="5" t="n"/>
      <c r="K1259" s="5" t="n"/>
      <c r="L1259" s="5" t="n">
        <v>2906</v>
      </c>
      <c r="M1259" s="5" t="n">
        <v>481</v>
      </c>
      <c r="N1259" s="5" t="n">
        <v>27</v>
      </c>
      <c r="O1259" s="5" t="n">
        <v>142</v>
      </c>
      <c r="P1259" s="8">
        <f>IF(AND(M1387&lt;&gt;"",M1387&gt;0),M1387+N1387+O1387,"")</f>
        <v/>
      </c>
      <c r="Q1259" s="11">
        <f>IF(AND(L1387&lt;&gt;"",L1387&gt;0,P1387&lt;&gt;""),P1387/L1387,"")</f>
        <v/>
      </c>
      <c r="R1259" s="16">
        <f>IF(AND(P1387&lt;&gt;"",P1387&gt;0),(I1387+J1387+K1387)/P1387,"")</f>
        <v/>
      </c>
    </row>
    <row r="1260">
      <c r="A1260" s="5" t="inlineStr">
        <is>
          <t>2026-07-24</t>
        </is>
      </c>
      <c r="B1260" s="5" t="inlineStr">
        <is>
          <t>30周</t>
        </is>
      </c>
      <c r="C1260" s="5" t="inlineStr">
        <is>
          <t>抖音</t>
        </is>
      </c>
      <c r="D1260" s="5" t="n"/>
      <c r="E1260" s="5" t="n"/>
      <c r="F1260" s="5" t="inlineStr">
        <is>
          <t>https://www.douyin.com/user/MS4wLjABAAAA7V-amYD7GA9IAPGZuXyqX8sjtQ0XOJZXci2eCe2VerEjVYER1I6UyXW-5u10uD_C?from_tab_name=main&amp;modal_id=7666041294652964721</t>
        </is>
      </c>
      <c r="G1260" s="5" t="inlineStr">
        <is>
          <t>1093W</t>
        </is>
      </c>
      <c r="H1260" s="5" t="inlineStr">
        <is>
          <t>张桂源</t>
        </is>
      </c>
      <c r="I1260" s="5" t="n">
        <v>23.835</v>
      </c>
      <c r="J1260" s="5" t="n"/>
      <c r="K1260" s="5" t="n"/>
      <c r="L1260" s="5" t="n">
        <v>21000</v>
      </c>
      <c r="M1260" s="5" t="n">
        <v>1895</v>
      </c>
      <c r="N1260" s="5" t="n">
        <v>210</v>
      </c>
      <c r="O1260" s="5" t="n">
        <v>227</v>
      </c>
      <c r="P1260" s="8">
        <f>IF(AND(M1388&lt;&gt;"",M1388&gt;0),M1388+N1388+O1388,"")</f>
        <v/>
      </c>
      <c r="Q1260" s="11">
        <f>IF(AND(L1388&lt;&gt;"",L1388&gt;0,P1388&lt;&gt;""),P1388/L1388,"")</f>
        <v/>
      </c>
      <c r="R1260" s="16">
        <f>IF(AND(P1388&lt;&gt;"",P1388&gt;0),(I1388+J1388+K1388)/P1388,"")</f>
        <v/>
      </c>
    </row>
    <row r="1261" ht="27" customHeight="1">
      <c r="A1261" s="5" t="inlineStr">
        <is>
          <t>2026-07-24</t>
        </is>
      </c>
      <c r="B1261" s="5" t="inlineStr">
        <is>
          <t>30周</t>
        </is>
      </c>
      <c r="C1261" s="5" t="inlineStr">
        <is>
          <t>抖音</t>
        </is>
      </c>
      <c r="D1261" s="5" t="n"/>
      <c r="E1261" s="5" t="n"/>
      <c r="F1261" s="5" t="inlineStr">
        <is>
          <t>https://www.douyin.com/user/MS4wLjABAAAAipM-L8nqGEYe9gyTkkalAlrc80gU4EMLKeO95b4ZHdU?from_tab_name=main&amp;modal_id=7665692412778206885</t>
        </is>
      </c>
      <c r="G1261" s="5" t="inlineStr">
        <is>
          <t>459</t>
        </is>
      </c>
      <c r="H1261" s="5" t="inlineStr">
        <is>
          <t>穿搭</t>
        </is>
      </c>
      <c r="I1261" s="5" t="n">
        <v>90.09</v>
      </c>
      <c r="J1261" s="5" t="n"/>
      <c r="K1261" s="5" t="n"/>
      <c r="L1261" s="5" t="n">
        <v>4933</v>
      </c>
      <c r="M1261" s="5" t="n">
        <v>87</v>
      </c>
      <c r="N1261" s="5" t="n">
        <v>10</v>
      </c>
      <c r="O1261" s="5" t="n">
        <v>4</v>
      </c>
      <c r="P1261" s="8">
        <f>IF(AND(M1389&lt;&gt;"",M1389&gt;0),M1389+N1389+O1389,"")</f>
        <v/>
      </c>
      <c r="Q1261" s="11">
        <f>IF(AND(L1389&lt;&gt;"",L1389&gt;0,P1389&lt;&gt;""),P1389/L1389,"")</f>
        <v/>
      </c>
      <c r="R1261" s="16">
        <f>IF(AND(P1389&lt;&gt;"",P1389&gt;0),(I1389+J1389+K1389)/P1389,"")</f>
        <v/>
      </c>
    </row>
    <row r="1262">
      <c r="A1262" s="5" t="inlineStr">
        <is>
          <t>2026-07-24</t>
        </is>
      </c>
      <c r="B1262" s="5" t="inlineStr">
        <is>
          <t>30周</t>
        </is>
      </c>
      <c r="C1262" s="5" t="inlineStr">
        <is>
          <t>抖音</t>
        </is>
      </c>
      <c r="D1262" s="5" t="n"/>
      <c r="E1262" s="5" t="n"/>
      <c r="F1262" s="5" t="inlineStr">
        <is>
          <t>https://v.douyin.com/hypEZaTUiZQ/</t>
        </is>
      </c>
      <c r="G1262" s="5" t="inlineStr">
        <is>
          <t>1093W</t>
        </is>
      </c>
      <c r="H1262" s="5" t="inlineStr">
        <is>
          <t>跳舞穿搭</t>
        </is>
      </c>
      <c r="I1262" s="5" t="n">
        <v>23.835</v>
      </c>
      <c r="J1262" s="5" t="n"/>
      <c r="K1262" s="5" t="n"/>
      <c r="L1262" s="5" t="n">
        <v>531000</v>
      </c>
      <c r="M1262" s="5" t="n">
        <v>76000</v>
      </c>
      <c r="N1262" s="5" t="n">
        <v>8000</v>
      </c>
      <c r="O1262" s="5" t="n">
        <v>341</v>
      </c>
      <c r="P1262" s="8">
        <f>IF(AND(M1390&lt;&gt;"",M1390&gt;0),M1390+N1390+O1390,"")</f>
        <v/>
      </c>
      <c r="Q1262" s="11">
        <f>IF(AND(L1390&lt;&gt;"",L1390&gt;0,P1390&lt;&gt;""),P1390/L1390,"")</f>
        <v/>
      </c>
      <c r="R1262" s="16">
        <f>IF(AND(P1390&lt;&gt;"",P1390&gt;0),(I1390+J1390+K1390)/P1390,"")</f>
        <v/>
      </c>
    </row>
    <row r="1263" ht="27" customHeight="1">
      <c r="A1263" s="5" t="inlineStr">
        <is>
          <t>2026-07-24</t>
        </is>
      </c>
      <c r="B1263" s="5" t="inlineStr">
        <is>
          <t>30周</t>
        </is>
      </c>
      <c r="C1263" s="5" t="inlineStr">
        <is>
          <t>抖音</t>
        </is>
      </c>
      <c r="D1263" s="5" t="n"/>
      <c r="E1263" s="5" t="n"/>
      <c r="F1263" s="5" t="inlineStr">
        <is>
          <t>https://www.douyin.com/user/self?from_tab_name=main&amp;modal_id=7666022784786940251&amp;showTab=like</t>
        </is>
      </c>
      <c r="G1263" s="5" t="inlineStr">
        <is>
          <t>0003A2</t>
        </is>
      </c>
      <c r="H1263" s="5" t="inlineStr">
        <is>
          <t>跳舞穿搭</t>
        </is>
      </c>
      <c r="I1263" s="5" t="n">
        <v>138.375</v>
      </c>
      <c r="J1263" s="5" t="n"/>
      <c r="K1263" s="5" t="n"/>
      <c r="L1263" s="5" t="n">
        <v>110000</v>
      </c>
      <c r="M1263" s="5" t="n">
        <v>3330</v>
      </c>
      <c r="N1263" s="5" t="n">
        <v>175</v>
      </c>
      <c r="O1263" s="5" t="n">
        <v>137</v>
      </c>
      <c r="P1263" s="8">
        <f>IF(AND(M1391&lt;&gt;"",M1391&gt;0),M1391+N1391+O1391,"")</f>
        <v/>
      </c>
      <c r="Q1263" s="11">
        <f>IF(AND(L1391&lt;&gt;"",L1391&gt;0,P1391&lt;&gt;""),P1391/L1391,"")</f>
        <v/>
      </c>
      <c r="R1263" s="16">
        <f>IF(AND(P1391&lt;&gt;"",P1391&gt;0),(I1391+J1391+K1391)/P1391,"")</f>
        <v/>
      </c>
    </row>
    <row r="1264" ht="27" customHeight="1">
      <c r="A1264" s="5" t="inlineStr">
        <is>
          <t>2026-07-24</t>
        </is>
      </c>
      <c r="B1264" s="5" t="inlineStr">
        <is>
          <t>30周</t>
        </is>
      </c>
      <c r="C1264" s="5" t="inlineStr">
        <is>
          <t>小红书</t>
        </is>
      </c>
      <c r="D1264" s="5" t="n"/>
      <c r="E1264" s="5" t="n"/>
      <c r="F1264" s="5" t="inlineStr">
        <is>
          <t>https://www.xiaohongshu.com/discovery/item/6a6315bc000000000100f503?xsec_token=CBDVkKFsuOHl4X0hTQtTVtaB12f9ldrKHWf6Ib6zXe9cA=&amp;xsec_source=app_share&amp;type=video</t>
        </is>
      </c>
      <c r="G1264" s="5" t="inlineStr">
        <is>
          <t>1093W</t>
        </is>
      </c>
      <c r="H1264" s="5" t="inlineStr">
        <is>
          <t>张桂源</t>
        </is>
      </c>
      <c r="I1264" s="5" t="n">
        <v>15.89</v>
      </c>
      <c r="J1264" s="5" t="n"/>
      <c r="K1264" s="5" t="n"/>
      <c r="L1264" s="5" t="n">
        <v>2409</v>
      </c>
      <c r="M1264" s="5" t="n">
        <v>137</v>
      </c>
      <c r="N1264" s="5" t="n">
        <v>28</v>
      </c>
      <c r="O1264" s="5" t="n">
        <v>22</v>
      </c>
      <c r="P1264" s="8">
        <f>IF(AND(M1392&lt;&gt;"",M1392&gt;0),M1392+N1392+O1392,"")</f>
        <v/>
      </c>
      <c r="Q1264" s="11">
        <f>IF(AND(L1392&lt;&gt;"",L1392&gt;0,P1392&lt;&gt;""),P1392/L1392,"")</f>
        <v/>
      </c>
      <c r="R1264" s="16">
        <f>IF(AND(P1392&lt;&gt;"",P1392&gt;0),(I1392+J1392+K1392)/P1392,"")</f>
        <v/>
      </c>
    </row>
    <row r="1265" ht="27" customHeight="1">
      <c r="A1265" s="5" t="inlineStr">
        <is>
          <t>2026-07-24</t>
        </is>
      </c>
      <c r="B1265" s="5" t="inlineStr">
        <is>
          <t>30周</t>
        </is>
      </c>
      <c r="C1265" s="5" t="inlineStr">
        <is>
          <t>小红书</t>
        </is>
      </c>
      <c r="D1265" s="5" t="n"/>
      <c r="E1265" s="5" t="n"/>
      <c r="F1265" s="5" t="inlineStr">
        <is>
          <t>https://www.xiaohongshu.com/discovery/item/6a6328b00000000010029683?xsec_token=CBDVkKFsuOHl4X0hTQtTVtaLBJUHl3ERIK9Vj0Z5hlcvY=&amp;xsec_source=app_share</t>
        </is>
      </c>
      <c r="G1265" s="5" t="inlineStr">
        <is>
          <t>0003A2</t>
        </is>
      </c>
      <c r="H1265" s="5" t="inlineStr">
        <is>
          <t>刘轩丞</t>
        </is>
      </c>
      <c r="I1265" s="5" t="n">
        <v>49.375</v>
      </c>
      <c r="J1265" s="5" t="n"/>
      <c r="K1265" s="5" t="n"/>
      <c r="L1265" s="5" t="n">
        <v>1428</v>
      </c>
      <c r="M1265" s="5" t="n">
        <v>49</v>
      </c>
      <c r="N1265" s="5" t="n">
        <v>12</v>
      </c>
      <c r="O1265" s="5" t="n">
        <v>25</v>
      </c>
      <c r="P1265" s="8">
        <f>IF(AND(M1393&lt;&gt;"",M1393&gt;0),M1393+N1393+O1393,"")</f>
        <v/>
      </c>
      <c r="Q1265" s="11">
        <f>IF(AND(L1393&lt;&gt;"",L1393&gt;0,P1393&lt;&gt;""),P1393/L1393,"")</f>
        <v/>
      </c>
      <c r="R1265" s="16">
        <f>IF(AND(P1393&lt;&gt;"",P1393&gt;0),(I1393+J1393+K1393)/P1393,"")</f>
        <v/>
      </c>
    </row>
    <row r="1266">
      <c r="A1266" s="5" t="inlineStr">
        <is>
          <t>2026-07-24</t>
        </is>
      </c>
      <c r="B1266" s="5" t="inlineStr">
        <is>
          <t>30周</t>
        </is>
      </c>
      <c r="C1266" s="5" t="inlineStr">
        <is>
          <t>小红书</t>
        </is>
      </c>
      <c r="D1266" s="5" t="n"/>
      <c r="E1266" s="5" t="n"/>
      <c r="F1266" s="5" t="inlineStr">
        <is>
          <t>https://www.xiaohongshu.com/discovery/item/6a632ac60000000011007e27?xsec_token=CBDVkKFsuOHl4X0hTQtTVtaJGIf1Aqz-aDXEPsd9z32oI=&amp;xsec_source=app_share</t>
        </is>
      </c>
      <c r="G1266" s="5" t="inlineStr">
        <is>
          <t>489</t>
        </is>
      </c>
      <c r="H1266" s="5" t="inlineStr">
        <is>
          <t>陈奕恒</t>
        </is>
      </c>
      <c r="I1266" s="5" t="n">
        <v>24.625</v>
      </c>
      <c r="J1266" s="5" t="n"/>
      <c r="K1266" s="5" t="n"/>
      <c r="L1266" s="5" t="n">
        <v>195</v>
      </c>
      <c r="M1266" s="5" t="n">
        <v>13</v>
      </c>
      <c r="N1266" s="5" t="n">
        <v>4</v>
      </c>
      <c r="O1266" s="5" t="n">
        <v>1</v>
      </c>
      <c r="P1266" s="8">
        <f>IF(AND(M1394&lt;&gt;"",M1394&gt;0),M1394+N1394+O1394,"")</f>
        <v/>
      </c>
      <c r="Q1266" s="11">
        <f>IF(AND(L1394&lt;&gt;"",L1394&gt;0,P1394&lt;&gt;""),P1394/L1394,"")</f>
        <v/>
      </c>
      <c r="R1266" s="16">
        <f>IF(AND(P1394&lt;&gt;"",P1394&gt;0),(I1394+J1394+K1394)/P1394,"")</f>
        <v/>
      </c>
    </row>
    <row r="1267" ht="27" customHeight="1">
      <c r="A1267" s="5" t="inlineStr">
        <is>
          <t>2026-07-24</t>
        </is>
      </c>
      <c r="B1267" s="5" t="inlineStr">
        <is>
          <t>30周</t>
        </is>
      </c>
      <c r="C1267" s="5" t="inlineStr">
        <is>
          <t>小红书</t>
        </is>
      </c>
      <c r="D1267" s="5" t="n"/>
      <c r="E1267" s="5" t="n"/>
      <c r="F1267" s="5" t="inlineStr">
        <is>
          <t>https://www.xiaohongshu.com/discovery/item/6a63409f000000001f01f002?xsec_token=CBDVkKFsuOHl4X0hTQtTVtaJokFNbkrCnSNL_u_gJWWmY=&amp;xsec_source=app_share&amp;type=video</t>
        </is>
      </c>
      <c r="G1267" s="5" t="inlineStr">
        <is>
          <t>1093W</t>
        </is>
      </c>
      <c r="H1267" s="5" t="inlineStr">
        <is>
          <t>张桂源</t>
        </is>
      </c>
      <c r="I1267" s="5" t="n">
        <v>23.835</v>
      </c>
      <c r="J1267" s="5" t="n"/>
      <c r="K1267" s="5" t="n"/>
      <c r="L1267" s="5" t="n">
        <v>484</v>
      </c>
      <c r="M1267" s="5" t="n">
        <v>28</v>
      </c>
      <c r="N1267" s="5" t="n">
        <v>3</v>
      </c>
      <c r="O1267" s="5" t="n">
        <v>6</v>
      </c>
      <c r="P1267" s="8">
        <f>IF(AND(M1395&lt;&gt;"",M1395&gt;0),M1395+N1395+O1395,"")</f>
        <v/>
      </c>
      <c r="Q1267" s="11">
        <f>IF(AND(L1395&lt;&gt;"",L1395&gt;0,P1395&lt;&gt;""),P1395/L1395,"")</f>
        <v/>
      </c>
      <c r="R1267" s="16">
        <f>IF(AND(P1395&lt;&gt;"",P1395&gt;0),(I1395+J1395+K1395)/P1395,"")</f>
        <v/>
      </c>
    </row>
    <row r="1268" ht="27" customHeight="1">
      <c r="A1268" s="5" t="inlineStr">
        <is>
          <t>2026-07-24</t>
        </is>
      </c>
      <c r="B1268" s="5" t="inlineStr">
        <is>
          <t>30周</t>
        </is>
      </c>
      <c r="C1268" s="5" t="inlineStr">
        <is>
          <t>小红书</t>
        </is>
      </c>
      <c r="D1268" s="5" t="n"/>
      <c r="E1268" s="5" t="n"/>
      <c r="F1268" s="5" t="inlineStr">
        <is>
          <t>https://www.xiaohongshu.com/discovery/item/6a6340bf000000000e0347e8?xsec_token=CBDVkKFsuOHl4X0hTQtTVtaOZO1eZNymmRB4QpoGhBaTQ=&amp;xsec_source=app_share&amp;type=video</t>
        </is>
      </c>
      <c r="G1268" s="5" t="inlineStr">
        <is>
          <t>0003A2</t>
        </is>
      </c>
      <c r="H1268" s="5" t="inlineStr">
        <is>
          <t>陈浚铭</t>
        </is>
      </c>
      <c r="I1268" s="5" t="n">
        <v>32.25</v>
      </c>
      <c r="J1268" s="5" t="n"/>
      <c r="K1268" s="5" t="n"/>
      <c r="L1268" s="5" t="n">
        <v>890</v>
      </c>
      <c r="M1268" s="5" t="n">
        <v>29</v>
      </c>
      <c r="N1268" s="5" t="n">
        <v>9</v>
      </c>
      <c r="O1268" s="5" t="n">
        <v>18</v>
      </c>
      <c r="P1268" s="8">
        <f>IF(AND(M1396&lt;&gt;"",M1396&gt;0),M1396+N1396+O1396,"")</f>
        <v/>
      </c>
      <c r="Q1268" s="11">
        <f>IF(AND(L1396&lt;&gt;"",L1396&gt;0,P1396&lt;&gt;""),P1396/L1396,"")</f>
        <v/>
      </c>
      <c r="R1268" s="16">
        <f>IF(AND(P1396&lt;&gt;"",P1396&gt;0),(I1396+J1396+K1396)/P1396,"")</f>
        <v/>
      </c>
    </row>
    <row r="1269" ht="27" customHeight="1">
      <c r="A1269" s="5" t="inlineStr">
        <is>
          <t>2026-07-25</t>
        </is>
      </c>
      <c r="B1269" s="5" t="inlineStr">
        <is>
          <t>30周</t>
        </is>
      </c>
      <c r="C1269" s="5" t="inlineStr">
        <is>
          <t>抖音</t>
        </is>
      </c>
      <c r="D1269" s="5" t="n"/>
      <c r="E1269" s="5" t="n"/>
      <c r="F1269" s="5" t="inlineStr">
        <is>
          <t>https://v.douyin.com/uEeO5w4ryww/</t>
        </is>
      </c>
      <c r="G1269" s="5" t="inlineStr">
        <is>
          <t>0003A2</t>
        </is>
      </c>
      <c r="H1269" s="5" t="inlineStr">
        <is>
          <t>刘轩丞</t>
        </is>
      </c>
      <c r="I1269" s="5" t="n">
        <v>49.375</v>
      </c>
      <c r="J1269" s="5" t="n"/>
      <c r="K1269" s="5" t="n"/>
      <c r="L1269" s="5" t="n">
        <v>3210</v>
      </c>
      <c r="M1269" s="5" t="n">
        <v>316</v>
      </c>
      <c r="N1269" s="5" t="n">
        <v>27</v>
      </c>
      <c r="O1269" s="5" t="n">
        <v>19</v>
      </c>
      <c r="P1269" s="8">
        <f>IF(AND(M1397&lt;&gt;"",M1397&gt;0),M1397+N1397+O1397,"")</f>
        <v/>
      </c>
      <c r="Q1269" s="11">
        <f>IF(AND(L1397&lt;&gt;"",L1397&gt;0,P1397&lt;&gt;""),P1397/L1397,"")</f>
        <v/>
      </c>
      <c r="R1269" s="16">
        <f>IF(AND(P1397&lt;&gt;"",P1397&gt;0),(I1397+J1397+K1397)/P1397,"")</f>
        <v/>
      </c>
    </row>
    <row r="1270" ht="243" customHeight="1">
      <c r="A1270" s="5" t="inlineStr">
        <is>
          <t>2026-07-25</t>
        </is>
      </c>
      <c r="B1270" s="5" t="inlineStr">
        <is>
          <t>30周</t>
        </is>
      </c>
      <c r="C1270" s="5" t="inlineStr">
        <is>
          <t>快手</t>
        </is>
      </c>
      <c r="D1270" s="5" t="n"/>
      <c r="E1270" s="5" t="n"/>
      <c r="F1270" s="5" t="inlineStr">
        <is>
          <t>https://v.kuaishou.com/KtlSJ4gV</t>
        </is>
      </c>
      <c r="G1270" s="5" t="inlineStr">
        <is>
          <t>0003A2</t>
        </is>
      </c>
      <c r="H1270" s="5" t="inlineStr">
        <is>
          <t>陈浚铭</t>
        </is>
      </c>
      <c r="I1270" s="5" t="n">
        <v>32.25</v>
      </c>
      <c r="J1270" s="5" t="n"/>
      <c r="K1270" s="5" t="n"/>
      <c r="L1270" s="5" t="n">
        <v>495</v>
      </c>
      <c r="M1270" s="5" t="n">
        <v>21</v>
      </c>
      <c r="N1270" s="5" t="n">
        <v>1</v>
      </c>
      <c r="O1270" s="5" t="n">
        <v>2</v>
      </c>
      <c r="P1270" s="8">
        <f>IF(AND(M1398&lt;&gt;"",M1398&gt;0),M1398+N1398+O1398,"")</f>
        <v/>
      </c>
      <c r="Q1270" s="11">
        <f>IF(AND(L1398&lt;&gt;"",L1398&gt;0,P1398&lt;&gt;""),P1398/L1398,"")</f>
        <v/>
      </c>
      <c r="R1270" s="16">
        <f>IF(AND(P1398&lt;&gt;"",P1398&gt;0),(I1398+J1398+K1398)/P1398,"")</f>
        <v/>
      </c>
    </row>
    <row r="1271" ht="27" customHeight="1">
      <c r="A1271" s="5" t="inlineStr">
        <is>
          <t>2026-07-25</t>
        </is>
      </c>
      <c r="B1271" s="5" t="inlineStr">
        <is>
          <t>30周</t>
        </is>
      </c>
      <c r="C1271" s="5" t="inlineStr">
        <is>
          <t>抖音</t>
        </is>
      </c>
      <c r="D1271" s="5" t="n"/>
      <c r="E1271" s="5" t="n"/>
      <c r="F1271" s="5" t="inlineStr">
        <is>
          <t>https://v.douyin.com/WUePJX7K3bY/</t>
        </is>
      </c>
      <c r="G1271" s="5" t="inlineStr">
        <is>
          <t>0003A2</t>
        </is>
      </c>
      <c r="H1271" s="5" t="inlineStr">
        <is>
          <t>陈浚铭</t>
        </is>
      </c>
      <c r="I1271" s="5" t="n">
        <v>32.25</v>
      </c>
      <c r="J1271" s="5" t="n"/>
      <c r="K1271" s="5" t="n"/>
      <c r="L1271" s="5" t="n">
        <v>7320</v>
      </c>
      <c r="M1271" s="5" t="n">
        <v>809</v>
      </c>
      <c r="N1271" s="5" t="n">
        <v>32</v>
      </c>
      <c r="O1271" s="5" t="n">
        <v>170</v>
      </c>
      <c r="P1271" s="8">
        <f>IF(AND(M1399&lt;&gt;"",M1399&gt;0),M1399+N1399+O1399,"")</f>
        <v/>
      </c>
      <c r="Q1271" s="11">
        <f>IF(AND(L1399&lt;&gt;"",L1399&gt;0,P1399&lt;&gt;""),P1399/L1399,"")</f>
        <v/>
      </c>
      <c r="R1271" s="16">
        <f>IF(AND(P1399&lt;&gt;"",P1399&gt;0),(I1399+J1399+K1399)/P1399,"")</f>
        <v/>
      </c>
    </row>
    <row r="1272" ht="81" customHeight="1">
      <c r="A1272" s="5" t="inlineStr">
        <is>
          <t>2026-07-25</t>
        </is>
      </c>
      <c r="B1272" s="5" t="inlineStr">
        <is>
          <t>30周</t>
        </is>
      </c>
      <c r="C1272" s="5" t="inlineStr">
        <is>
          <t>快手</t>
        </is>
      </c>
      <c r="D1272" s="5" t="n"/>
      <c r="E1272" s="5" t="n"/>
      <c r="F1272" s="5" t="inlineStr">
        <is>
          <t>https://v.kuaishou.com/JuP2l4o3</t>
        </is>
      </c>
      <c r="G1272" s="5" t="inlineStr">
        <is>
          <t>1093W</t>
        </is>
      </c>
      <c r="H1272" s="5" t="inlineStr">
        <is>
          <t>张桂源</t>
        </is>
      </c>
      <c r="I1272" s="5" t="n">
        <v>15.89</v>
      </c>
      <c r="J1272" s="5" t="n"/>
      <c r="K1272" s="5" t="n"/>
      <c r="L1272" s="5" t="n">
        <v>2558</v>
      </c>
      <c r="M1272" s="5" t="n">
        <v>23</v>
      </c>
      <c r="N1272" s="5" t="n">
        <v>0</v>
      </c>
      <c r="O1272" s="5" t="n">
        <v>3</v>
      </c>
      <c r="P1272" s="8">
        <f>IF(AND(M1400&lt;&gt;"",M1400&gt;0),M1400+N1400+O1400,"")</f>
        <v/>
      </c>
      <c r="Q1272" s="11">
        <f>IF(AND(L1400&lt;&gt;"",L1400&gt;0,P1400&lt;&gt;""),P1400/L1400,"")</f>
        <v/>
      </c>
      <c r="R1272" s="16">
        <f>IF(AND(P1400&lt;&gt;"",P1400&gt;0),(I1400+J1400+K1400)/P1400,"")</f>
        <v/>
      </c>
    </row>
    <row r="1273" ht="40.5" customHeight="1">
      <c r="A1273" s="5" t="inlineStr">
        <is>
          <t>2026-07-25</t>
        </is>
      </c>
      <c r="B1273" s="5" t="inlineStr">
        <is>
          <t>30周</t>
        </is>
      </c>
      <c r="C1273" s="5" t="inlineStr">
        <is>
          <t>抖音</t>
        </is>
      </c>
      <c r="D1273" s="5" t="n"/>
      <c r="E1273" s="5" t="n"/>
      <c r="F1273" s="5" t="inlineStr">
        <is>
          <t>https://v.douyin.com/-46aXG7YlmE/</t>
        </is>
      </c>
      <c r="G1273" s="5" t="inlineStr">
        <is>
          <t>1093W</t>
        </is>
      </c>
      <c r="H1273" s="5" t="inlineStr">
        <is>
          <t>张桂源</t>
        </is>
      </c>
      <c r="I1273" s="5" t="n">
        <v>15.89</v>
      </c>
      <c r="J1273" s="5" t="n"/>
      <c r="K1273" s="5" t="n"/>
      <c r="L1273" s="5" t="n">
        <v>2562</v>
      </c>
      <c r="M1273" s="5" t="n">
        <v>689</v>
      </c>
      <c r="N1273" s="5" t="n">
        <v>57</v>
      </c>
      <c r="O1273" s="5" t="n">
        <v>166</v>
      </c>
      <c r="P1273" s="8">
        <f>IF(AND(M1401&lt;&gt;"",M1401&gt;0),M1401+N1401+O1401,"")</f>
        <v/>
      </c>
      <c r="Q1273" s="11">
        <f>IF(AND(L1401&lt;&gt;"",L1401&gt;0,P1401&lt;&gt;""),P1401/L1401,"")</f>
        <v/>
      </c>
      <c r="R1273" s="16">
        <f>IF(AND(P1401&lt;&gt;"",P1401&gt;0),(I1401+J1401+K1401)/P1401,"")</f>
        <v/>
      </c>
    </row>
    <row r="1274" ht="40.5" customHeight="1">
      <c r="A1274" s="5" t="inlineStr">
        <is>
          <t>2026-07-25</t>
        </is>
      </c>
      <c r="B1274" s="5" t="inlineStr">
        <is>
          <t>30周</t>
        </is>
      </c>
      <c r="C1274" s="5" t="inlineStr">
        <is>
          <t>抖音</t>
        </is>
      </c>
      <c r="D1274" s="5" t="n"/>
      <c r="E1274" s="5" t="n"/>
      <c r="F1274" s="5" t="inlineStr">
        <is>
          <t>https://v.douyin.com/IQ0Ipx0TWnw/</t>
        </is>
      </c>
      <c r="G1274" s="5" t="inlineStr">
        <is>
          <t>1093W</t>
        </is>
      </c>
      <c r="H1274" s="5" t="inlineStr">
        <is>
          <t>张桂源</t>
        </is>
      </c>
      <c r="I1274" s="5" t="n">
        <v>47.67</v>
      </c>
      <c r="J1274" s="5" t="n"/>
      <c r="K1274" s="5" t="n"/>
      <c r="L1274" s="5" t="n">
        <v>1755</v>
      </c>
      <c r="M1274" s="5" t="n">
        <v>204</v>
      </c>
      <c r="N1274" s="5" t="n">
        <v>12</v>
      </c>
      <c r="O1274" s="5" t="n">
        <v>32</v>
      </c>
      <c r="P1274" s="8">
        <f>IF(AND(M1402&lt;&gt;"",M1402&gt;0),M1402+N1402+O1402,"")</f>
        <v/>
      </c>
      <c r="Q1274" s="11">
        <f>IF(AND(L1402&lt;&gt;"",L1402&gt;0,P1402&lt;&gt;""),P1402/L1402,"")</f>
        <v/>
      </c>
      <c r="R1274" s="16">
        <f>IF(AND(P1402&lt;&gt;"",P1402&gt;0),(I1402+J1402+K1402)/P1402,"")</f>
        <v/>
      </c>
    </row>
    <row r="1275" ht="27" customHeight="1">
      <c r="A1275" s="5" t="inlineStr">
        <is>
          <t>2026-07-25</t>
        </is>
      </c>
      <c r="B1275" s="5" t="inlineStr">
        <is>
          <t>30周</t>
        </is>
      </c>
      <c r="C1275" s="5" t="inlineStr">
        <is>
          <t>抖音</t>
        </is>
      </c>
      <c r="D1275" s="5" t="n"/>
      <c r="E1275" s="5" t="n"/>
      <c r="F1275" s="5" t="inlineStr">
        <is>
          <t>https://v.douyin.com/hFUkhXtNMF8/</t>
        </is>
      </c>
      <c r="G1275" s="5" t="inlineStr">
        <is>
          <t>1093W</t>
        </is>
      </c>
      <c r="H1275" s="5" t="inlineStr">
        <is>
          <t>穆祉丞</t>
        </is>
      </c>
      <c r="I1275" s="5" t="n">
        <v>47.67</v>
      </c>
      <c r="J1275" s="5" t="n"/>
      <c r="K1275" s="5" t="n"/>
      <c r="L1275" s="5" t="n">
        <v>2688</v>
      </c>
      <c r="M1275" s="5" t="n">
        <v>172</v>
      </c>
      <c r="N1275" s="5" t="n">
        <v>15</v>
      </c>
      <c r="O1275" s="5" t="n">
        <v>15</v>
      </c>
      <c r="P1275" s="8">
        <f>IF(AND(M1403&lt;&gt;"",M1403&gt;0),M1403+N1403+O1403,"")</f>
        <v/>
      </c>
      <c r="Q1275" s="11">
        <f>IF(AND(L1403&lt;&gt;"",L1403&gt;0,P1403&lt;&gt;""),P1403/L1403,"")</f>
        <v/>
      </c>
      <c r="R1275" s="16">
        <f>IF(AND(P1403&lt;&gt;"",P1403&gt;0),(I1403+J1403+K1403)/P1403,"")</f>
        <v/>
      </c>
    </row>
    <row r="1276" ht="81" customHeight="1">
      <c r="A1276" s="5" t="inlineStr">
        <is>
          <t>2026-07-25</t>
        </is>
      </c>
      <c r="B1276" s="5" t="inlineStr">
        <is>
          <t>30周</t>
        </is>
      </c>
      <c r="C1276" s="5" t="inlineStr">
        <is>
          <t>抖音</t>
        </is>
      </c>
      <c r="D1276" s="5" t="n"/>
      <c r="E1276" s="5" t="n"/>
      <c r="F1276" s="5" t="inlineStr">
        <is>
          <t>https://www.douyin.com/user/MS4wLjABAAAABSwUrw31wWFuLEra1APoE_iDUwzB0VZWqYZY18YB1zI?from_tab_name=main&amp;modal_id=7666426371212156337</t>
        </is>
      </c>
      <c r="G1276" s="5" t="inlineStr">
        <is>
          <t>0003A2</t>
        </is>
      </c>
      <c r="H1276" s="5" t="inlineStr">
        <is>
          <t>穿搭</t>
        </is>
      </c>
      <c r="I1276" s="5" t="n">
        <v>74.375</v>
      </c>
      <c r="J1276" s="5" t="n"/>
      <c r="K1276" s="5" t="n"/>
      <c r="L1276" s="5" t="n">
        <v>4048</v>
      </c>
      <c r="M1276" s="5" t="n">
        <v>254</v>
      </c>
      <c r="N1276" s="5" t="n">
        <v>11</v>
      </c>
      <c r="O1276" s="5" t="n">
        <v>67</v>
      </c>
      <c r="P1276" s="8">
        <f>IF(AND(M1404&lt;&gt;"",M1404&gt;0),M1404+N1404+O1404,"")</f>
        <v/>
      </c>
      <c r="Q1276" s="11">
        <f>IF(AND(L1404&lt;&gt;"",L1404&gt;0,P1404&lt;&gt;""),P1404/L1404,"")</f>
        <v/>
      </c>
      <c r="R1276" s="16">
        <f>IF(AND(P1404&lt;&gt;"",P1404&gt;0),(I1404+J1404+K1404)/P1404,"")</f>
        <v/>
      </c>
    </row>
    <row r="1277" ht="67.5" customHeight="1">
      <c r="A1277" s="5" t="inlineStr">
        <is>
          <t>2026-07-25</t>
        </is>
      </c>
      <c r="B1277" s="5" t="inlineStr">
        <is>
          <t>30周</t>
        </is>
      </c>
      <c r="C1277" s="5" t="inlineStr">
        <is>
          <t>抖音</t>
        </is>
      </c>
      <c r="D1277" s="5" t="n"/>
      <c r="E1277" s="5" t="n"/>
      <c r="F1277" s="5" t="inlineStr">
        <is>
          <t>https://www.douyin.com/user/MS4wLjABAAAAcUCBdorIqq0vWbbPeB58ZD2QWrGYTH-MHsM_fC2NwS57c-oFYU5gd2tuaYPAWckl?from_tab_name=main&amp;modal_id=7666424892137938353</t>
        </is>
      </c>
      <c r="G1277" s="5" t="inlineStr">
        <is>
          <t>1093W</t>
        </is>
      </c>
      <c r="H1277" s="5" t="inlineStr">
        <is>
          <t>鞋子合集</t>
        </is>
      </c>
      <c r="I1277" s="5" t="n">
        <v>150.045</v>
      </c>
      <c r="J1277" s="5" t="n"/>
      <c r="K1277" s="5" t="n"/>
      <c r="L1277" s="5" t="n">
        <v>12000</v>
      </c>
      <c r="M1277" s="5" t="n">
        <v>299</v>
      </c>
      <c r="N1277" s="5" t="n">
        <v>99</v>
      </c>
      <c r="O1277" s="5" t="n">
        <v>31</v>
      </c>
      <c r="P1277" s="8">
        <f>IF(AND(M1405&lt;&gt;"",M1405&gt;0),M1405+N1405+O1405,"")</f>
        <v/>
      </c>
      <c r="Q1277" s="11">
        <f>IF(AND(L1405&lt;&gt;"",L1405&gt;0,P1405&lt;&gt;""),P1405/L1405,"")</f>
        <v/>
      </c>
      <c r="R1277" s="16">
        <f>IF(AND(P1405&lt;&gt;"",P1405&gt;0),(I1405+J1405+K1405)/P1405,"")</f>
        <v/>
      </c>
    </row>
    <row r="1278" ht="81" customHeight="1">
      <c r="A1278" s="5" t="inlineStr">
        <is>
          <t>2026-07-25</t>
        </is>
      </c>
      <c r="B1278" s="5" t="inlineStr">
        <is>
          <t>30周</t>
        </is>
      </c>
      <c r="C1278" s="5" t="inlineStr">
        <is>
          <t>小红书</t>
        </is>
      </c>
      <c r="D1278" s="5" t="n"/>
      <c r="E1278" s="5" t="n"/>
      <c r="F1278" s="5" t="inlineStr">
        <is>
          <t>https://www.xiaohongshu.com/discovery/item/6a64360c000000000f017e04?xsec_token=CBmnie2P1AqugsusbFvvGcZi2cHJVkAWrsqZgcbTyDT6g=&amp;xsec_source=app_share</t>
        </is>
      </c>
      <c r="G1278" s="5" t="inlineStr">
        <is>
          <t>1093W</t>
        </is>
      </c>
      <c r="H1278" s="5" t="inlineStr">
        <is>
          <t>张桂源</t>
        </is>
      </c>
      <c r="I1278" s="5" t="n">
        <v>15.89</v>
      </c>
      <c r="J1278" s="5" t="n"/>
      <c r="K1278" s="5" t="n"/>
      <c r="L1278" s="5" t="n">
        <v>244</v>
      </c>
      <c r="M1278" s="5" t="n">
        <v>11</v>
      </c>
      <c r="N1278" s="5" t="n">
        <v>2</v>
      </c>
      <c r="O1278" s="5" t="n">
        <v>4</v>
      </c>
      <c r="P1278" s="8">
        <f>IF(AND(M1406&lt;&gt;"",M1406&gt;0),M1406+N1406+O1406,"")</f>
        <v/>
      </c>
      <c r="Q1278" s="11">
        <f>IF(AND(L1406&lt;&gt;"",L1406&gt;0,P1406&lt;&gt;""),P1406/L1406,"")</f>
        <v/>
      </c>
      <c r="R1278" s="16">
        <f>IF(AND(P1406&lt;&gt;"",P1406&gt;0),(I1406+J1406+K1406)/P1406,"")</f>
        <v/>
      </c>
    </row>
    <row r="1279" ht="81" customHeight="1">
      <c r="A1279" s="5" t="inlineStr">
        <is>
          <t>2026-07-25</t>
        </is>
      </c>
      <c r="B1279" s="5" t="inlineStr">
        <is>
          <t>30周</t>
        </is>
      </c>
      <c r="C1279" s="5" t="inlineStr">
        <is>
          <t>小红书</t>
        </is>
      </c>
      <c r="D1279" s="5" t="n"/>
      <c r="E1279" s="5" t="n"/>
      <c r="F1279" s="5" t="inlineStr">
        <is>
          <t>https://www.xiaohongshu.com/discovery/item/6a649ab60000000001032b86?xsec_token=CBmnie2P1AqugsusbFvvGcZpLcpxoLTGlZeDDD1clUY1M=&amp;xsec_source=app_share&amp;type=video</t>
        </is>
      </c>
      <c r="G1279" s="5" t="inlineStr">
        <is>
          <t>1093W</t>
        </is>
      </c>
      <c r="H1279" s="5" t="inlineStr">
        <is>
          <t>鞋子合集</t>
        </is>
      </c>
      <c r="I1279" s="5" t="n">
        <v>150.045</v>
      </c>
      <c r="J1279" s="5" t="n"/>
      <c r="K1279" s="5" t="n"/>
      <c r="L1279" s="5" t="n">
        <v>4399</v>
      </c>
      <c r="M1279" s="5" t="n">
        <v>233</v>
      </c>
      <c r="N1279" s="5" t="n">
        <v>107</v>
      </c>
      <c r="O1279" s="5" t="n">
        <v>6</v>
      </c>
      <c r="P1279" s="8">
        <f>IF(AND(M1407&lt;&gt;"",M1407&gt;0),M1407+N1407+O1407,"")</f>
        <v/>
      </c>
      <c r="Q1279" s="11">
        <f>IF(AND(L1407&lt;&gt;"",L1407&gt;0,P1407&lt;&gt;""),P1407/L1407,"")</f>
        <v/>
      </c>
      <c r="R1279" s="16">
        <f>IF(AND(P1407&lt;&gt;"",P1407&gt;0),(I1407+J1407+K1407)/P1407,"")</f>
        <v/>
      </c>
    </row>
    <row r="1280" ht="81" customHeight="1">
      <c r="A1280" s="5" t="inlineStr">
        <is>
          <t>2026-07-27</t>
        </is>
      </c>
      <c r="B1280" s="5" t="inlineStr">
        <is>
          <t>31周</t>
        </is>
      </c>
      <c r="C1280" s="5" t="inlineStr">
        <is>
          <t>抖音</t>
        </is>
      </c>
      <c r="D1280" s="5" t="n"/>
      <c r="E1280" s="5" t="n"/>
      <c r="F1280" s="5" t="inlineStr">
        <is>
          <t>https://v.douyin.com/vky4IMh0GEw/ o@q.Rk :9pm gBt:/ 07/31</t>
        </is>
      </c>
      <c r="G1280" s="5" t="inlineStr">
        <is>
          <t>492</t>
        </is>
      </c>
      <c r="H1280" s="5" t="inlineStr">
        <is>
          <t>汪苏泷</t>
        </is>
      </c>
      <c r="I1280" s="5" t="n">
        <v>34.85</v>
      </c>
      <c r="J1280" s="5" t="n"/>
      <c r="K1280" s="5" t="n"/>
      <c r="L1280" s="5" t="n">
        <v>61000</v>
      </c>
      <c r="M1280" s="5" t="n">
        <v>1128</v>
      </c>
      <c r="N1280" s="5" t="n">
        <v>40</v>
      </c>
      <c r="O1280" s="5" t="n">
        <v>47</v>
      </c>
      <c r="P1280" s="8">
        <f>IF(AND(M1408&lt;&gt;"",M1408&gt;0),M1408+N1408+O1408,"")</f>
        <v/>
      </c>
      <c r="Q1280" s="11">
        <f>IF(AND(L1408&lt;&gt;"",L1408&gt;0,P1408&lt;&gt;""),P1408/L1408,"")</f>
        <v/>
      </c>
      <c r="R1280" s="16">
        <f>IF(AND(P1408&lt;&gt;"",P1408&gt;0),(I1408+J1408+K1408)/P1408,"")</f>
        <v/>
      </c>
    </row>
    <row r="1281" ht="81" customHeight="1">
      <c r="A1281" s="5" t="inlineStr">
        <is>
          <t>2026-07-27</t>
        </is>
      </c>
      <c r="B1281" s="5" t="inlineStr">
        <is>
          <t>31周</t>
        </is>
      </c>
      <c r="C1281" s="5" t="inlineStr">
        <is>
          <t>抖音</t>
        </is>
      </c>
      <c r="D1281" s="5" t="n"/>
      <c r="E1281" s="5" t="n"/>
      <c r="F1281" s="5" t="inlineStr">
        <is>
          <t>https://v.douyin.com/wEnVdxJ33wY/</t>
        </is>
      </c>
      <c r="G1281" s="5" t="inlineStr">
        <is>
          <t>0003A2</t>
        </is>
      </c>
      <c r="H1281" s="5" t="inlineStr">
        <is>
          <t>鞋子合集</t>
        </is>
      </c>
      <c r="I1281" s="5" t="n">
        <v>178.375</v>
      </c>
      <c r="J1281" s="5" t="n"/>
      <c r="K1281" s="5" t="n"/>
      <c r="L1281" s="5" t="n">
        <v>112000</v>
      </c>
      <c r="M1281" s="5" t="n">
        <v>2810</v>
      </c>
      <c r="N1281" s="5" t="n">
        <v>1954</v>
      </c>
      <c r="O1281" s="5" t="n">
        <v>195</v>
      </c>
      <c r="P1281" s="8">
        <f>IF(AND(M1409&lt;&gt;"",M1409&gt;0),M1409+N1409+O1409,"")</f>
        <v/>
      </c>
      <c r="Q1281" s="11">
        <f>IF(AND(L1409&lt;&gt;"",L1409&gt;0,P1409&lt;&gt;""),P1409/L1409,"")</f>
        <v/>
      </c>
      <c r="R1281" s="16">
        <f>IF(AND(P1409&lt;&gt;"",P1409&gt;0),(I1409+J1409+K1409)/P1409,"")</f>
        <v/>
      </c>
    </row>
    <row r="1282" ht="81" customHeight="1">
      <c r="A1282" s="5" t="inlineStr">
        <is>
          <t>2026-07-27</t>
        </is>
      </c>
      <c r="B1282" s="5" t="inlineStr">
        <is>
          <t>31周</t>
        </is>
      </c>
      <c r="C1282" s="5" t="inlineStr">
        <is>
          <t>抖音</t>
        </is>
      </c>
      <c r="D1282" s="5" t="n"/>
      <c r="E1282" s="5" t="n"/>
      <c r="F1282" s="5" t="inlineStr">
        <is>
          <t>https://v.douyin.com/TmK52sL724s/</t>
        </is>
      </c>
      <c r="G1282" s="5" t="inlineStr">
        <is>
          <t>0003A2</t>
        </is>
      </c>
      <c r="H1282" s="5" t="inlineStr">
        <is>
          <t>鞋子合集</t>
        </is>
      </c>
      <c r="I1282" s="5" t="n">
        <v>369.375</v>
      </c>
      <c r="J1282" s="5" t="n"/>
      <c r="K1282" s="5" t="n"/>
      <c r="L1282" s="5" t="n">
        <v>18000</v>
      </c>
      <c r="M1282" s="5" t="n">
        <v>553</v>
      </c>
      <c r="N1282" s="5" t="n">
        <v>39</v>
      </c>
      <c r="O1282" s="5" t="n">
        <v>26</v>
      </c>
      <c r="P1282" s="8">
        <f>IF(AND(M1410&lt;&gt;"",M1410&gt;0),M1410+N1410+O1410,"")</f>
        <v/>
      </c>
      <c r="Q1282" s="11">
        <f>IF(AND(L1410&lt;&gt;"",L1410&gt;0,P1410&lt;&gt;""),P1410/L1410,"")</f>
        <v/>
      </c>
      <c r="R1282" s="16">
        <f>IF(AND(P1410&lt;&gt;"",P1410&gt;0),(I1410+J1410+K1410)/P1410,"")</f>
        <v/>
      </c>
    </row>
    <row r="1283" ht="27" customHeight="1">
      <c r="A1283" s="5" t="inlineStr">
        <is>
          <t>2026-07-27</t>
        </is>
      </c>
      <c r="B1283" s="5" t="inlineStr">
        <is>
          <t>31周</t>
        </is>
      </c>
      <c r="C1283" s="5" t="inlineStr">
        <is>
          <t>抖音</t>
        </is>
      </c>
      <c r="D1283" s="5" t="n"/>
      <c r="E1283" s="5" t="n"/>
      <c r="F1283" s="5" t="inlineStr">
        <is>
          <t>https://v.douyin.com/WnANWeQjffQ/</t>
        </is>
      </c>
      <c r="G1283" s="5" t="inlineStr">
        <is>
          <t>459</t>
        </is>
      </c>
      <c r="H1283" s="5" t="inlineStr">
        <is>
          <t>穿搭</t>
        </is>
      </c>
      <c r="I1283" s="5" t="n">
        <v>40.09</v>
      </c>
      <c r="J1283" s="5" t="n"/>
      <c r="K1283" s="5" t="n"/>
      <c r="L1283" s="5" t="n">
        <v>2500</v>
      </c>
      <c r="M1283" s="5" t="n">
        <v>177</v>
      </c>
      <c r="N1283" s="5" t="n">
        <v>7</v>
      </c>
      <c r="O1283" s="5" t="n">
        <v>8</v>
      </c>
      <c r="P1283" s="8">
        <f>IF(AND(M1411&lt;&gt;"",M1411&gt;0),M1411+N1411+O1411,"")</f>
        <v/>
      </c>
      <c r="Q1283" s="11">
        <f>IF(AND(L1411&lt;&gt;"",L1411&gt;0,P1411&lt;&gt;""),P1411/L1411,"")</f>
        <v/>
      </c>
      <c r="R1283" s="16">
        <f>IF(AND(P1411&lt;&gt;"",P1411&gt;0),(I1411+J1411+K1411)/P1411,"")</f>
        <v/>
      </c>
    </row>
    <row r="1284" ht="81" customHeight="1">
      <c r="A1284" s="5" t="inlineStr">
        <is>
          <t>2026-07-27</t>
        </is>
      </c>
      <c r="B1284" s="5" t="inlineStr">
        <is>
          <t>31周</t>
        </is>
      </c>
      <c r="C1284" s="5" t="inlineStr">
        <is>
          <t>抖音</t>
        </is>
      </c>
      <c r="D1284" s="5" t="n"/>
      <c r="E1284" s="5" t="n"/>
      <c r="F1284" s="5" t="inlineStr">
        <is>
          <t>https://www.douyin.com/user/MS4wLjABAAAAxq9sh3SKEI5WbMYGYuiHHFCPBgJzMPcbLZsf4y5pHPs?from_tab_name=main&amp;modal_id=7667154454454023144&amp;vid=7667154454454023144</t>
        </is>
      </c>
      <c r="G1284" s="5" t="inlineStr">
        <is>
          <t>459</t>
        </is>
      </c>
      <c r="H1284" s="5" t="inlineStr">
        <is>
          <t>穿搭思路</t>
        </is>
      </c>
      <c r="I1284" s="5" t="n">
        <v>213.36</v>
      </c>
      <c r="J1284" s="5" t="n"/>
      <c r="K1284" s="5" t="n"/>
      <c r="L1284" s="5" t="n">
        <v>19000</v>
      </c>
      <c r="M1284" s="5" t="n">
        <v>544</v>
      </c>
      <c r="N1284" s="5" t="n">
        <v>144</v>
      </c>
      <c r="O1284" s="5" t="n">
        <v>42</v>
      </c>
      <c r="P1284" s="8">
        <f>IF(AND(M1412&lt;&gt;"",M1412&gt;0),M1412+N1412+O1412,"")</f>
        <v/>
      </c>
      <c r="Q1284" s="11">
        <f>IF(AND(L1412&lt;&gt;"",L1412&gt;0,P1412&lt;&gt;""),P1412/L1412,"")</f>
        <v/>
      </c>
      <c r="R1284" s="16">
        <f>IF(AND(P1412&lt;&gt;"",P1412&gt;0),(I1412+J1412+K1412)/P1412,"")</f>
        <v/>
      </c>
    </row>
    <row r="1285" ht="27" customHeight="1">
      <c r="A1285" s="5" t="inlineStr">
        <is>
          <t>2026-07-27</t>
        </is>
      </c>
      <c r="B1285" s="5" t="inlineStr">
        <is>
          <t>31周</t>
        </is>
      </c>
      <c r="C1285" s="5" t="inlineStr">
        <is>
          <t>抖音</t>
        </is>
      </c>
      <c r="D1285" s="5" t="n"/>
      <c r="E1285" s="5" t="n"/>
      <c r="F1285" s="5" t="inlineStr">
        <is>
          <t>https://www.douyin.com/user/MS4wLjABAAAAfuekx7v8j39xlma_xfP_kfD0RPx-yC08MBbQYbIQeTI?from_tab_name=main&amp;modal_id=7667162089932297957</t>
        </is>
      </c>
      <c r="G1285" s="5" t="inlineStr">
        <is>
          <t>489</t>
        </is>
      </c>
      <c r="H1285" s="5" t="inlineStr">
        <is>
          <t>杨紫</t>
        </is>
      </c>
      <c r="I1285" s="5" t="n">
        <v>49.25</v>
      </c>
      <c r="J1285" s="5" t="n"/>
      <c r="K1285" s="5" t="n"/>
      <c r="L1285" s="5" t="n">
        <v>1662</v>
      </c>
      <c r="M1285" s="5" t="n">
        <v>161</v>
      </c>
      <c r="N1285" s="5" t="n">
        <v>4</v>
      </c>
      <c r="O1285" s="5" t="n">
        <v>9</v>
      </c>
      <c r="P1285" s="8">
        <f>IF(AND(M1413&lt;&gt;"",M1413&gt;0),M1413+N1413+O1413,"")</f>
        <v/>
      </c>
      <c r="Q1285" s="11">
        <f>IF(AND(L1413&lt;&gt;"",L1413&gt;0,P1413&lt;&gt;""),P1413/L1413,"")</f>
        <v/>
      </c>
      <c r="R1285" s="16">
        <f>IF(AND(P1413&lt;&gt;"",P1413&gt;0),(I1413+J1413+K1413)/P1413,"")</f>
        <v/>
      </c>
    </row>
    <row r="1286" ht="81" customHeight="1">
      <c r="A1286" s="5" t="inlineStr">
        <is>
          <t>2026-07-27</t>
        </is>
      </c>
      <c r="B1286" s="5" t="inlineStr">
        <is>
          <t>31周</t>
        </is>
      </c>
      <c r="C1286" s="5" t="inlineStr">
        <is>
          <t>抖音</t>
        </is>
      </c>
      <c r="D1286" s="5" t="n"/>
      <c r="E1286" s="5" t="n"/>
      <c r="F1286" s="5" t="inlineStr">
        <is>
          <t>https://www.douyin.com/user/MS4wLjABAAAABwVAcpZNrmmiQWw5RqsAdPrHqZSRi7cX7tMaDX-XZALRlrl6ImaK2F_Q8YkcymsT?from_tab_name=main&amp;modal_id=7667176470402464933</t>
        </is>
      </c>
      <c r="G1286" s="5" t="inlineStr">
        <is>
          <t>489</t>
        </is>
      </c>
      <c r="H1286" s="5" t="inlineStr">
        <is>
          <t>陈奕恒</t>
        </is>
      </c>
      <c r="I1286" s="5" t="n">
        <v>24.625</v>
      </c>
      <c r="J1286" s="5" t="n"/>
      <c r="K1286" s="5" t="n"/>
      <c r="L1286" s="5" t="n">
        <v>1032</v>
      </c>
      <c r="M1286" s="5" t="n">
        <v>130</v>
      </c>
      <c r="N1286" s="5" t="n">
        <v>16</v>
      </c>
      <c r="O1286" s="5" t="n">
        <v>15</v>
      </c>
      <c r="P1286" s="8">
        <f>IF(AND(M1414&lt;&gt;"",M1414&gt;0),M1414+N1414+O1414,"")</f>
        <v/>
      </c>
      <c r="Q1286" s="11">
        <f>IF(AND(L1414&lt;&gt;"",L1414&gt;0,P1414&lt;&gt;""),P1414/L1414,"")</f>
        <v/>
      </c>
      <c r="R1286" s="16">
        <f>IF(AND(P1414&lt;&gt;"",P1414&gt;0),(I1414+J1414+K1414)/P1414,"")</f>
        <v/>
      </c>
    </row>
    <row r="1287" ht="81" customHeight="1">
      <c r="A1287" s="5" t="inlineStr">
        <is>
          <t>2026-07-27</t>
        </is>
      </c>
      <c r="B1287" s="5" t="inlineStr">
        <is>
          <t>31周</t>
        </is>
      </c>
      <c r="C1287" s="5" t="inlineStr">
        <is>
          <t>小红书</t>
        </is>
      </c>
      <c r="D1287" s="5" t="n"/>
      <c r="E1287" s="5" t="n"/>
      <c r="F1287" s="5" t="inlineStr">
        <is>
          <t>https://www.xiaohongshu.com/discovery/item/6a672f9f000000000f02a084?xsec_token=CBs8cKzO5Ay3pzHuLmLgEa8J6_Ef3Sa8M_4b1wF4pIRdo=&amp;xsec_source=app_share&amp;type=video</t>
        </is>
      </c>
      <c r="G1287" s="5" t="inlineStr">
        <is>
          <t>459</t>
        </is>
      </c>
      <c r="H1287" s="5" t="inlineStr">
        <is>
          <t>口播</t>
        </is>
      </c>
      <c r="I1287" s="5" t="n">
        <v>213.36</v>
      </c>
      <c r="J1287" s="5" t="n"/>
      <c r="K1287" s="5" t="n"/>
      <c r="L1287" s="5" t="n">
        <v>11576</v>
      </c>
      <c r="M1287" s="5" t="n">
        <v>618</v>
      </c>
      <c r="N1287" s="5" t="n">
        <v>203</v>
      </c>
      <c r="O1287" s="5" t="n">
        <v>108</v>
      </c>
      <c r="P1287" s="8">
        <f>IF(AND(M1415&lt;&gt;"",M1415&gt;0),M1415+N1415+O1415,"")</f>
        <v/>
      </c>
      <c r="Q1287" s="11">
        <f>IF(AND(L1415&lt;&gt;"",L1415&gt;0,P1415&lt;&gt;""),P1415/L1415,"")</f>
        <v/>
      </c>
      <c r="R1287" s="16">
        <f>IF(AND(P1415&lt;&gt;"",P1415&gt;0),(I1415+J1415+K1415)/P1415,"")</f>
        <v/>
      </c>
    </row>
    <row r="1288" ht="27" customHeight="1">
      <c r="A1288" s="5" t="inlineStr">
        <is>
          <t>2026-07-27</t>
        </is>
      </c>
      <c r="B1288" s="5" t="inlineStr">
        <is>
          <t>31周</t>
        </is>
      </c>
      <c r="C1288" s="5" t="inlineStr">
        <is>
          <t>小红书</t>
        </is>
      </c>
      <c r="D1288" s="5" t="n"/>
      <c r="E1288" s="5" t="n"/>
      <c r="F1288" s="5" t="inlineStr">
        <is>
          <t>https://www.xiaohongshu.com/discovery/item/6a673208000000001101e91f?xsec_token=CBs8cKzO5Ay3pzHuLmLgEa8PM1sZ25rvX7uMm187F50bI=&amp;xsec_source=app_share&amp;type=video</t>
        </is>
      </c>
      <c r="G1288" s="5" t="inlineStr">
        <is>
          <t>0003A2</t>
        </is>
      </c>
      <c r="H1288" s="5" t="inlineStr">
        <is>
          <t>鞋子合集</t>
        </is>
      </c>
      <c r="I1288" s="5" t="n">
        <v>48.375</v>
      </c>
      <c r="J1288" s="5" t="n"/>
      <c r="K1288" s="5" t="n"/>
      <c r="L1288" s="5" t="n">
        <v>9439</v>
      </c>
      <c r="M1288" s="5" t="n">
        <v>525</v>
      </c>
      <c r="N1288" s="5" t="n">
        <v>304</v>
      </c>
      <c r="O1288" s="5" t="n">
        <v>44</v>
      </c>
      <c r="P1288" s="8">
        <f>IF(AND(M1416&lt;&gt;"",M1416&gt;0),M1416+N1416+O1416,"")</f>
        <v/>
      </c>
      <c r="Q1288" s="11">
        <f>IF(AND(L1416&lt;&gt;"",L1416&gt;0,P1416&lt;&gt;""),P1416/L1416,"")</f>
        <v/>
      </c>
      <c r="R1288" s="16">
        <f>IF(AND(P1416&lt;&gt;"",P1416&gt;0),(I1416+J1416+K1416)/P1416,"")</f>
        <v/>
      </c>
    </row>
    <row r="1289" ht="27" customHeight="1">
      <c r="A1289" s="5" t="inlineStr">
        <is>
          <t>2026-07-28</t>
        </is>
      </c>
      <c r="B1289" s="5" t="inlineStr">
        <is>
          <t>31周</t>
        </is>
      </c>
      <c r="C1289" s="5" t="inlineStr">
        <is>
          <t>抖音</t>
        </is>
      </c>
      <c r="D1289" s="5" t="n"/>
      <c r="E1289" s="5" t="n"/>
      <c r="F1289" s="5" t="inlineStr">
        <is>
          <t>https://v.douyin.com/ZKnNEx56Vmg/</t>
        </is>
      </c>
      <c r="G1289" s="5" t="inlineStr">
        <is>
          <t>0003A2</t>
        </is>
      </c>
      <c r="H1289" s="5" t="inlineStr">
        <is>
          <t>陈浚铭</t>
        </is>
      </c>
      <c r="I1289" s="5" t="n">
        <v>96.75</v>
      </c>
      <c r="J1289" s="5" t="n"/>
      <c r="K1289" s="5" t="n"/>
      <c r="L1289" s="5" t="n">
        <v>7394</v>
      </c>
      <c r="M1289" s="5" t="n">
        <v>629</v>
      </c>
      <c r="N1289" s="5" t="n">
        <v>10</v>
      </c>
      <c r="O1289" s="5" t="n">
        <v>26</v>
      </c>
      <c r="P1289" s="8">
        <f>IF(AND(M1417&lt;&gt;"",M1417&gt;0),M1417+N1417+O1417,"")</f>
        <v/>
      </c>
      <c r="Q1289" s="11">
        <f>IF(AND(L1417&lt;&gt;"",L1417&gt;0,P1417&lt;&gt;""),P1417/L1417,"")</f>
        <v/>
      </c>
      <c r="R1289" s="16">
        <f>IF(AND(P1417&lt;&gt;"",P1417&gt;0),(I1417+J1417+K1417)/P1417,"")</f>
        <v/>
      </c>
    </row>
    <row r="1290" ht="27" customHeight="1">
      <c r="A1290" s="5" t="inlineStr">
        <is>
          <t>2026-07-28</t>
        </is>
      </c>
      <c r="B1290" s="5" t="inlineStr">
        <is>
          <t>31周</t>
        </is>
      </c>
      <c r="C1290" s="5" t="inlineStr">
        <is>
          <t>抖音</t>
        </is>
      </c>
      <c r="D1290" s="5" t="n"/>
      <c r="E1290" s="5" t="n"/>
      <c r="F1290" s="5" t="inlineStr">
        <is>
          <t>https://v.douyin.com/n3bh28f2lOY/</t>
        </is>
      </c>
      <c r="G1290" s="5" t="inlineStr">
        <is>
          <t>489</t>
        </is>
      </c>
      <c r="H1290" s="5" t="inlineStr">
        <is>
          <t>陈奕恒</t>
        </is>
      </c>
      <c r="I1290" s="5" t="n">
        <v>24.625</v>
      </c>
      <c r="J1290" s="5" t="n"/>
      <c r="K1290" s="5" t="n"/>
      <c r="L1290" s="5" t="n">
        <v>1698</v>
      </c>
      <c r="M1290" s="5" t="n">
        <v>217</v>
      </c>
      <c r="N1290" s="5" t="n">
        <v>11</v>
      </c>
      <c r="O1290" s="5" t="n">
        <v>20</v>
      </c>
      <c r="P1290" s="8">
        <f>IF(AND(M1418&lt;&gt;"",M1418&gt;0),M1418+N1418+O1418,"")</f>
        <v/>
      </c>
      <c r="Q1290" s="11">
        <f>IF(AND(L1418&lt;&gt;"",L1418&gt;0,P1418&lt;&gt;""),P1418/L1418,"")</f>
        <v/>
      </c>
      <c r="R1290" s="16">
        <f>IF(AND(P1418&lt;&gt;"",P1418&gt;0),(I1418+J1418+K1418)/P1418,"")</f>
        <v/>
      </c>
    </row>
    <row r="1291" ht="27" customHeight="1">
      <c r="A1291" s="5" t="inlineStr">
        <is>
          <t>2026-07-28</t>
        </is>
      </c>
      <c r="B1291" s="5" t="inlineStr">
        <is>
          <t>31周</t>
        </is>
      </c>
      <c r="C1291" s="5" t="inlineStr">
        <is>
          <t>抖音</t>
        </is>
      </c>
      <c r="D1291" s="5" t="n"/>
      <c r="E1291" s="5" t="n"/>
      <c r="F1291" s="5" t="inlineStr">
        <is>
          <t>https://v.douyin.com/g7grXfcngwg/</t>
        </is>
      </c>
      <c r="G1291" s="5" t="inlineStr">
        <is>
          <t>0003A2</t>
        </is>
      </c>
      <c r="H1291" s="5" t="inlineStr">
        <is>
          <t>购物分享</t>
        </is>
      </c>
      <c r="I1291" s="5" t="n">
        <v>49.375</v>
      </c>
      <c r="J1291" s="5" t="n"/>
      <c r="K1291" s="5" t="n"/>
      <c r="L1291" s="5" t="n">
        <v>895</v>
      </c>
      <c r="M1291" s="5" t="n">
        <v>45</v>
      </c>
      <c r="N1291" s="5" t="n">
        <v>8</v>
      </c>
      <c r="O1291" s="5" t="n">
        <v>7</v>
      </c>
      <c r="P1291" s="8">
        <f>IF(AND(M1419&lt;&gt;"",M1419&gt;0),M1419+N1419+O1419,"")</f>
        <v/>
      </c>
      <c r="Q1291" s="11">
        <f>IF(AND(L1419&lt;&gt;"",L1419&gt;0,P1419&lt;&gt;""),P1419/L1419,"")</f>
        <v/>
      </c>
      <c r="R1291" s="16">
        <f>IF(AND(P1419&lt;&gt;"",P1419&gt;0),(I1419+J1419+K1419)/P1419,"")</f>
        <v/>
      </c>
    </row>
    <row r="1292" ht="243" customHeight="1">
      <c r="A1292" s="5" t="inlineStr">
        <is>
          <t>2026-07-28</t>
        </is>
      </c>
      <c r="B1292" s="5" t="inlineStr">
        <is>
          <t>31周</t>
        </is>
      </c>
      <c r="C1292" s="5" t="inlineStr">
        <is>
          <t>抖音</t>
        </is>
      </c>
      <c r="D1292" s="5" t="n"/>
      <c r="E1292" s="5" t="n"/>
      <c r="F1292" s="5" t="inlineStr">
        <is>
          <t>https://v.douyin.com/Ww7Cv9G2V-I/</t>
        </is>
      </c>
      <c r="G1292" s="5" t="inlineStr">
        <is>
          <t>0003A2</t>
        </is>
      </c>
      <c r="H1292" s="5" t="inlineStr">
        <is>
          <t>应援色穿搭</t>
        </is>
      </c>
      <c r="I1292" s="5" t="n">
        <v>48.375</v>
      </c>
      <c r="J1292" s="5" t="n"/>
      <c r="K1292" s="5" t="n"/>
      <c r="L1292" s="5" t="n">
        <v>13000</v>
      </c>
      <c r="M1292" s="5" t="n">
        <v>114</v>
      </c>
      <c r="N1292" s="5" t="n">
        <v>23</v>
      </c>
      <c r="O1292" s="5" t="n">
        <v>15</v>
      </c>
      <c r="P1292" s="8">
        <f>IF(AND(M1420&lt;&gt;"",M1420&gt;0),M1420+N1420+O1420,"")</f>
        <v/>
      </c>
      <c r="Q1292" s="11">
        <f>IF(AND(L1420&lt;&gt;"",L1420&gt;0,P1420&lt;&gt;""),P1420/L1420,"")</f>
        <v/>
      </c>
      <c r="R1292" s="16">
        <f>IF(AND(P1420&lt;&gt;"",P1420&gt;0),(I1420+J1420+K1420)/P1420,"")</f>
        <v/>
      </c>
    </row>
    <row r="1293" ht="27" customHeight="1">
      <c r="A1293" s="5" t="inlineStr">
        <is>
          <t>2026-07-28</t>
        </is>
      </c>
      <c r="B1293" s="5" t="inlineStr">
        <is>
          <t>31周</t>
        </is>
      </c>
      <c r="C1293" s="5" t="inlineStr">
        <is>
          <t>抖音</t>
        </is>
      </c>
      <c r="D1293" s="5" t="n"/>
      <c r="E1293" s="5" t="n"/>
      <c r="F1293" s="5" t="inlineStr">
        <is>
          <t>https://v.douyin.com/h7bPw9HUINU/</t>
        </is>
      </c>
      <c r="G1293" s="5" t="inlineStr">
        <is>
          <t>489</t>
        </is>
      </c>
      <c r="H1293" s="5" t="inlineStr">
        <is>
          <t>好物合集</t>
        </is>
      </c>
      <c r="I1293" s="5" t="n">
        <v>49.25</v>
      </c>
      <c r="J1293" s="5" t="n"/>
      <c r="K1293" s="5" t="n"/>
      <c r="L1293" s="5" t="n">
        <v>12000</v>
      </c>
      <c r="M1293" s="5" t="n">
        <v>1108</v>
      </c>
      <c r="N1293" s="5" t="n">
        <v>241</v>
      </c>
      <c r="O1293" s="5" t="n">
        <v>28</v>
      </c>
      <c r="P1293" s="8">
        <f>IF(AND(M1421&lt;&gt;"",M1421&gt;0),M1421+N1421+O1421,"")</f>
        <v/>
      </c>
      <c r="Q1293" s="11">
        <f>IF(AND(L1421&lt;&gt;"",L1421&gt;0,P1421&lt;&gt;""),P1421/L1421,"")</f>
        <v/>
      </c>
      <c r="R1293" s="16">
        <f>IF(AND(P1421&lt;&gt;"",P1421&gt;0),(I1421+J1421+K1421)/P1421,"")</f>
        <v/>
      </c>
    </row>
    <row r="1294" ht="67.5" customHeight="1">
      <c r="A1294" s="5" t="inlineStr">
        <is>
          <t>2026-07-28</t>
        </is>
      </c>
      <c r="B1294" s="5" t="inlineStr">
        <is>
          <t>31周</t>
        </is>
      </c>
      <c r="C1294" s="5" t="inlineStr">
        <is>
          <t>抖音</t>
        </is>
      </c>
      <c r="D1294" s="5" t="n"/>
      <c r="E1294" s="5" t="n"/>
      <c r="F1294" s="5" t="inlineStr">
        <is>
          <t>https://www.douyin.com/video/7667556052782970523</t>
        </is>
      </c>
      <c r="G1294" s="5" t="inlineStr">
        <is>
          <t>0003A2</t>
        </is>
      </c>
      <c r="H1294" s="5" t="inlineStr">
        <is>
          <t>鞋子合集</t>
        </is>
      </c>
      <c r="I1294" s="5" t="n">
        <v>49.375</v>
      </c>
      <c r="J1294" s="5" t="n"/>
      <c r="K1294" s="5" t="n"/>
      <c r="L1294" s="5" t="n">
        <v>7290</v>
      </c>
      <c r="M1294" s="5" t="n">
        <v>192</v>
      </c>
      <c r="N1294" s="5" t="n">
        <v>95</v>
      </c>
      <c r="O1294" s="5" t="n">
        <v>32</v>
      </c>
      <c r="P1294" s="8">
        <f>IF(AND(M1422&lt;&gt;"",M1422&gt;0),M1422+N1422+O1422,"")</f>
        <v/>
      </c>
      <c r="Q1294" s="11">
        <f>IF(AND(L1422&lt;&gt;"",L1422&gt;0,P1422&lt;&gt;""),P1422/L1422,"")</f>
        <v/>
      </c>
      <c r="R1294" s="16">
        <f>IF(AND(P1422&lt;&gt;"",P1422&gt;0),(I1422+J1422+K1422)/P1422,"")</f>
        <v/>
      </c>
    </row>
    <row r="1295" ht="40.5" customHeight="1">
      <c r="A1295" s="5" t="inlineStr">
        <is>
          <t>2026-07-28</t>
        </is>
      </c>
      <c r="B1295" s="5" t="inlineStr">
        <is>
          <t>31周</t>
        </is>
      </c>
      <c r="C1295" s="5" t="inlineStr">
        <is>
          <t>抖音</t>
        </is>
      </c>
      <c r="D1295" s="5" t="n"/>
      <c r="E1295" s="5" t="n"/>
      <c r="F1295" s="5" t="inlineStr">
        <is>
          <t>https://www.douyin.com/user/MS4wLjABAAAASRXNY2FFwyKQ3rj7tf8JsrHpGl4ptIGnbcCeZQ_4OobZskO5638ygASeQ9cA0i-g?from_tab_name=main&amp;modal_id=7667520528081357162&amp;relation=0&amp;vid=7667520528081357162</t>
        </is>
      </c>
      <c r="G1295" s="5" t="inlineStr">
        <is>
          <t>0003A2</t>
        </is>
      </c>
      <c r="H1295" s="5" t="inlineStr">
        <is>
          <t>vlog</t>
        </is>
      </c>
      <c r="I1295" s="5" t="n">
        <v>199.375</v>
      </c>
      <c r="J1295" s="5" t="n"/>
      <c r="K1295" s="5" t="n"/>
      <c r="L1295" s="5" t="n">
        <v>9967</v>
      </c>
      <c r="M1295" s="5" t="n">
        <v>656</v>
      </c>
      <c r="N1295" s="5" t="n">
        <v>23</v>
      </c>
      <c r="O1295" s="5" t="n">
        <v>45</v>
      </c>
      <c r="P1295" s="8">
        <f>IF(AND(M1423&lt;&gt;"",M1423&gt;0),M1423+N1423+O1423,"")</f>
        <v/>
      </c>
      <c r="Q1295" s="11">
        <f>IF(AND(L1423&lt;&gt;"",L1423&gt;0,P1423&lt;&gt;""),P1423/L1423,"")</f>
        <v/>
      </c>
      <c r="R1295" s="16">
        <f>IF(AND(P1423&lt;&gt;"",P1423&gt;0),(I1423+J1423+K1423)/P1423,"")</f>
        <v/>
      </c>
    </row>
    <row r="1296" ht="27" customHeight="1">
      <c r="A1296" s="5" t="inlineStr">
        <is>
          <t>2026-07-29</t>
        </is>
      </c>
      <c r="B1296" s="5" t="inlineStr">
        <is>
          <t>31周</t>
        </is>
      </c>
      <c r="C1296" s="5" t="inlineStr">
        <is>
          <t>抖音</t>
        </is>
      </c>
      <c r="D1296" s="5" t="n"/>
      <c r="E1296" s="5" t="n"/>
      <c r="F1296" s="5" t="inlineStr">
        <is>
          <t>https://v.douyin.com/hcKUrUsHgHQ/</t>
        </is>
      </c>
      <c r="G1296" s="5" t="inlineStr">
        <is>
          <t>1093W</t>
        </is>
      </c>
      <c r="H1296" s="5" t="inlineStr">
        <is>
          <t>张桂源</t>
        </is>
      </c>
      <c r="I1296" s="5" t="n">
        <v>23.835</v>
      </c>
      <c r="J1296" s="5" t="n"/>
      <c r="K1296" s="5" t="n"/>
      <c r="L1296" s="5" t="n">
        <v>3293</v>
      </c>
      <c r="M1296" s="5" t="n">
        <v>577</v>
      </c>
      <c r="N1296" s="5" t="n">
        <v>10</v>
      </c>
      <c r="O1296" s="5" t="n">
        <v>36</v>
      </c>
      <c r="P1296" s="8">
        <f>IF(AND(M1424&lt;&gt;"",M1424&gt;0),M1424+N1424+O1424,"")</f>
        <v/>
      </c>
      <c r="Q1296" s="11">
        <f>IF(AND(L1424&lt;&gt;"",L1424&gt;0,P1424&lt;&gt;""),P1424/L1424,"")</f>
        <v/>
      </c>
      <c r="R1296" s="16">
        <f>IF(AND(P1424&lt;&gt;"",P1424&gt;0),(I1424+J1424+K1424)/P1424,"")</f>
        <v/>
      </c>
    </row>
    <row r="1297" ht="27" customHeight="1">
      <c r="A1297" s="5" t="inlineStr">
        <is>
          <t>2026-07-29</t>
        </is>
      </c>
      <c r="B1297" s="5" t="inlineStr">
        <is>
          <t>31周</t>
        </is>
      </c>
      <c r="C1297" s="5" t="inlineStr">
        <is>
          <t>抖音</t>
        </is>
      </c>
      <c r="D1297" s="5" t="n"/>
      <c r="E1297" s="5" t="n"/>
      <c r="F1297" s="5" t="inlineStr">
        <is>
          <t>https://v.douyin.com/A8dO_6G3voo/</t>
        </is>
      </c>
      <c r="G1297" s="5" t="inlineStr">
        <is>
          <t>1093W</t>
        </is>
      </c>
      <c r="H1297" s="5" t="inlineStr">
        <is>
          <t>张桂源</t>
        </is>
      </c>
      <c r="I1297" s="5" t="n">
        <v>47.67</v>
      </c>
      <c r="J1297" s="5" t="n"/>
      <c r="K1297" s="5" t="n"/>
      <c r="L1297" s="5" t="n">
        <v>2830</v>
      </c>
      <c r="M1297" s="5" t="n">
        <v>205</v>
      </c>
      <c r="N1297" s="5" t="n">
        <v>8</v>
      </c>
      <c r="O1297" s="5" t="n">
        <v>23</v>
      </c>
      <c r="P1297" s="8">
        <f>IF(AND(M1425&lt;&gt;"",M1425&gt;0),M1425+N1425+O1425,"")</f>
        <v/>
      </c>
      <c r="Q1297" s="11">
        <f>IF(AND(L1425&lt;&gt;"",L1425&gt;0,P1425&lt;&gt;""),P1425/L1425,"")</f>
        <v/>
      </c>
      <c r="R1297" s="16">
        <f>IF(AND(P1425&lt;&gt;"",P1425&gt;0),(I1425+J1425+K1425)/P1425,"")</f>
        <v/>
      </c>
    </row>
    <row r="1298" ht="67.5" customHeight="1">
      <c r="A1298" s="5" t="inlineStr">
        <is>
          <t>2026-07-29</t>
        </is>
      </c>
      <c r="B1298" s="5" t="inlineStr">
        <is>
          <t>31周</t>
        </is>
      </c>
      <c r="C1298" s="5" t="inlineStr">
        <is>
          <t>小红书</t>
        </is>
      </c>
      <c r="D1298" s="5" t="n"/>
      <c r="E1298" s="5" t="n"/>
      <c r="F1298" s="5" t="inlineStr">
        <is>
          <t>https://www.xiaohongshu.com/discovery/item/6a69a74a000000001002b56a?xsec_token=CBEeWcAc8Vwh92kqTPfbC74vIeLgSI1nvFK3xStbUEQQg=&amp;xsec_source=app_share&amp;type=video</t>
        </is>
      </c>
      <c r="G1298" s="5" t="inlineStr">
        <is>
          <t>1093W</t>
        </is>
      </c>
      <c r="H1298" s="5" t="inlineStr">
        <is>
          <t>张桂源</t>
        </is>
      </c>
      <c r="I1298" s="5" t="n">
        <v>23.835</v>
      </c>
      <c r="J1298" s="5" t="n"/>
      <c r="K1298" s="5" t="n"/>
      <c r="L1298" s="5" t="n">
        <v>1414</v>
      </c>
      <c r="M1298" s="5" t="n">
        <v>114</v>
      </c>
      <c r="N1298" s="5" t="n">
        <v>11</v>
      </c>
      <c r="O1298" s="5" t="n">
        <v>3</v>
      </c>
      <c r="P1298" s="8">
        <f>IF(AND(M1426&lt;&gt;"",M1426&gt;0),M1426+N1426+O1426,"")</f>
        <v/>
      </c>
      <c r="Q1298" s="11">
        <f>IF(AND(L1426&lt;&gt;"",L1426&gt;0,P1426&lt;&gt;""),P1426/L1426,"")</f>
        <v/>
      </c>
      <c r="R1298" s="16">
        <f>IF(AND(P1426&lt;&gt;"",P1426&gt;0),(I1426+J1426+K1426)/P1426,"")</f>
        <v/>
      </c>
    </row>
    <row r="1299" ht="81" customHeight="1">
      <c r="A1299" s="5" t="inlineStr">
        <is>
          <t>2026-07-30</t>
        </is>
      </c>
      <c r="B1299" s="5" t="inlineStr">
        <is>
          <t>31周</t>
        </is>
      </c>
      <c r="C1299" s="5" t="inlineStr">
        <is>
          <t>抖音</t>
        </is>
      </c>
      <c r="D1299" s="5" t="n"/>
      <c r="E1299" s="5" t="n"/>
      <c r="F1299" s="5" t="inlineStr">
        <is>
          <t>https://v.douyin.com/9WsHbL9yxy4/</t>
        </is>
      </c>
      <c r="G1299" s="5" t="inlineStr">
        <is>
          <t>492</t>
        </is>
      </c>
      <c r="H1299" s="5" t="inlineStr">
        <is>
          <t>汪苏泷</t>
        </is>
      </c>
      <c r="I1299" s="5" t="n">
        <v>34.85</v>
      </c>
      <c r="J1299" s="5" t="n"/>
      <c r="K1299" s="5" t="n"/>
      <c r="L1299" s="5" t="n">
        <v>73000</v>
      </c>
      <c r="M1299" s="5" t="n">
        <v>2706</v>
      </c>
      <c r="N1299" s="5" t="n">
        <v>51</v>
      </c>
      <c r="O1299" s="5" t="n">
        <v>172</v>
      </c>
      <c r="P1299" s="8">
        <f>IF(AND(M1427&lt;&gt;"",M1427&gt;0),M1427+N1427+O1427,"")</f>
        <v/>
      </c>
      <c r="Q1299" s="11">
        <f>IF(AND(L1427&lt;&gt;"",L1427&gt;0,P1427&lt;&gt;""),P1427/L1427,"")</f>
        <v/>
      </c>
      <c r="R1299" s="16">
        <f>IF(AND(P1427&lt;&gt;"",P1427&gt;0),(I1427+J1427+K1427)/P1427,"")</f>
        <v/>
      </c>
    </row>
    <row r="1300" ht="81" customHeight="1">
      <c r="A1300" s="5" t="inlineStr">
        <is>
          <t>2026-07-30</t>
        </is>
      </c>
      <c r="B1300" s="5" t="inlineStr">
        <is>
          <t>31周</t>
        </is>
      </c>
      <c r="C1300" s="5" t="inlineStr">
        <is>
          <t>抖音</t>
        </is>
      </c>
      <c r="D1300" s="5" t="n"/>
      <c r="E1300" s="5" t="n"/>
      <c r="F1300" s="5" t="inlineStr">
        <is>
          <t>https://v.douyin.com/s_aJmMw5RX8/</t>
        </is>
      </c>
      <c r="G1300" s="5" t="inlineStr">
        <is>
          <t>459</t>
        </is>
      </c>
      <c r="H1300" s="5" t="inlineStr">
        <is>
          <t>穿搭</t>
        </is>
      </c>
      <c r="I1300" s="5" t="n">
        <v>119.25</v>
      </c>
      <c r="J1300" s="5" t="n"/>
      <c r="K1300" s="5" t="n"/>
      <c r="L1300" s="5" t="n">
        <v>10000</v>
      </c>
      <c r="M1300" s="5" t="n">
        <v>187</v>
      </c>
      <c r="N1300" s="5" t="n">
        <v>59</v>
      </c>
      <c r="O1300" s="5" t="n">
        <v>25</v>
      </c>
      <c r="P1300" s="8">
        <f>IF(AND(M1428&lt;&gt;"",M1428&gt;0),M1428+N1428+O1428,"")</f>
        <v/>
      </c>
      <c r="Q1300" s="11">
        <f>IF(AND(L1428&lt;&gt;"",L1428&gt;0,P1428&lt;&gt;""),P1428/L1428,"")</f>
        <v/>
      </c>
      <c r="R1300" s="16">
        <f>IF(AND(P1428&lt;&gt;"",P1428&gt;0),(I1428+J1428+K1428)/P1428,"")</f>
        <v/>
      </c>
    </row>
    <row r="1301" ht="27" customHeight="1">
      <c r="A1301" s="5" t="inlineStr">
        <is>
          <t>2026-07-30</t>
        </is>
      </c>
      <c r="B1301" s="5" t="inlineStr">
        <is>
          <t>31周</t>
        </is>
      </c>
      <c r="C1301" s="5" t="inlineStr">
        <is>
          <t>抖音</t>
        </is>
      </c>
      <c r="D1301" s="5" t="n"/>
      <c r="E1301" s="5" t="n"/>
      <c r="F1301" s="5" t="inlineStr">
        <is>
          <t>https://www.douyin.com/user/MS4wLjABAAAAbNKhYDecNjHM9Rnm_R86x0n3MJNnEZXnWnnN2S2cVSgCyOdmRrLQpmDhkQsUIYFz?from_tab_name=main&amp;modal_id=7667750363534278651</t>
        </is>
      </c>
      <c r="G1301" s="5" t="inlineStr">
        <is>
          <t>489</t>
        </is>
      </c>
      <c r="H1301" s="5" t="inlineStr">
        <is>
          <t>邓紫棋</t>
        </is>
      </c>
      <c r="I1301" s="5" t="n">
        <v>49.25</v>
      </c>
      <c r="J1301" s="5" t="n"/>
      <c r="K1301" s="5" t="n"/>
      <c r="L1301" s="5" t="n">
        <v>2372</v>
      </c>
      <c r="M1301" s="5" t="n">
        <v>156</v>
      </c>
      <c r="N1301" s="5" t="n">
        <v>10</v>
      </c>
      <c r="O1301" s="5" t="n">
        <v>6</v>
      </c>
      <c r="P1301" s="8">
        <f>IF(AND(M1429&lt;&gt;"",M1429&gt;0),M1429+N1429+O1429,"")</f>
        <v/>
      </c>
      <c r="Q1301" s="11">
        <f>IF(AND(L1429&lt;&gt;"",L1429&gt;0,P1429&lt;&gt;""),P1429/L1429,"")</f>
        <v/>
      </c>
      <c r="R1301" s="16">
        <f>IF(AND(P1429&lt;&gt;"",P1429&gt;0),(I1429+J1429+K1429)/P1429,"")</f>
        <v/>
      </c>
    </row>
    <row r="1302" ht="27" customHeight="1">
      <c r="A1302" s="18" t="n">
        <v>46113</v>
      </c>
      <c r="B1302" t="inlineStr">
        <is>
          <t>14周</t>
        </is>
      </c>
      <c r="C1302" t="inlineStr">
        <is>
          <t>抖音</t>
        </is>
      </c>
      <c r="D1302" t="inlineStr"/>
      <c r="E1302" t="inlineStr"/>
      <c r="F1302" t="inlineStr">
        <is>
          <t>https://v.douyin.com/FUQffwWlvj0/</t>
        </is>
      </c>
      <c r="G1302" t="inlineStr">
        <is>
          <t>495</t>
        </is>
      </c>
      <c r="H1302" t="inlineStr">
        <is>
          <t>穿搭</t>
        </is>
      </c>
      <c r="I1302" t="n">
        <v>0</v>
      </c>
      <c r="J1302" t="n">
        <v>0</v>
      </c>
      <c r="K1302" t="n">
        <v>93</v>
      </c>
      <c r="L1302" t="n">
        <v>7274</v>
      </c>
      <c r="M1302" t="n">
        <v>255</v>
      </c>
      <c r="N1302" t="n">
        <v>12</v>
      </c>
      <c r="O1302" t="n">
        <v>11</v>
      </c>
    </row>
    <row r="1303" ht="27" customHeight="1">
      <c r="A1303" s="18" t="n">
        <v>46113</v>
      </c>
      <c r="B1303" t="inlineStr">
        <is>
          <t>14周</t>
        </is>
      </c>
      <c r="C1303" t="inlineStr">
        <is>
          <t>抖音</t>
        </is>
      </c>
      <c r="D1303" t="inlineStr"/>
      <c r="E1303" t="inlineStr"/>
      <c r="F1303" t="inlineStr">
        <is>
          <t>https://v.douyin.com/pDkclAA9arY/</t>
        </is>
      </c>
      <c r="G1303" t="inlineStr">
        <is>
          <t>0001A1</t>
        </is>
      </c>
      <c r="H1303" t="inlineStr">
        <is>
          <t>明星</t>
        </is>
      </c>
      <c r="I1303" t="n">
        <v>0</v>
      </c>
      <c r="J1303" t="n">
        <v>0</v>
      </c>
      <c r="K1303" t="n">
        <v>107.5</v>
      </c>
      <c r="L1303" t="n">
        <v>22000</v>
      </c>
      <c r="M1303" t="n">
        <v>1135</v>
      </c>
      <c r="N1303" t="n">
        <v>12</v>
      </c>
      <c r="O1303" t="n">
        <v>82</v>
      </c>
    </row>
    <row r="1304" ht="27" customHeight="1">
      <c r="A1304" s="18" t="n">
        <v>46113</v>
      </c>
      <c r="B1304" t="inlineStr">
        <is>
          <t>14周</t>
        </is>
      </c>
      <c r="C1304" t="inlineStr">
        <is>
          <t>抖音</t>
        </is>
      </c>
      <c r="D1304" t="inlineStr"/>
      <c r="E1304" t="inlineStr"/>
      <c r="F1304" t="inlineStr">
        <is>
          <t>https://v.douyin.com/znlrPKtKasA/</t>
        </is>
      </c>
      <c r="G1304" t="inlineStr">
        <is>
          <t>0002A1</t>
        </is>
      </c>
      <c r="H1304" t="inlineStr">
        <is>
          <t>开箱</t>
        </is>
      </c>
      <c r="I1304" t="n">
        <v>500</v>
      </c>
      <c r="J1304" t="n">
        <v>0</v>
      </c>
      <c r="K1304" t="n">
        <v>110.5</v>
      </c>
      <c r="L1304" t="n">
        <v>30000</v>
      </c>
      <c r="M1304" t="n">
        <v>1188</v>
      </c>
      <c r="N1304" t="n">
        <v>273</v>
      </c>
      <c r="O1304" t="n">
        <v>242</v>
      </c>
    </row>
    <row r="1305" ht="27" customHeight="1">
      <c r="A1305" s="18" t="n">
        <v>46113</v>
      </c>
      <c r="B1305" t="inlineStr">
        <is>
          <t>14周</t>
        </is>
      </c>
      <c r="C1305" t="inlineStr">
        <is>
          <t>抖音</t>
        </is>
      </c>
      <c r="D1305" t="inlineStr"/>
      <c r="E1305" t="inlineStr"/>
      <c r="F1305" t="inlineStr">
        <is>
          <t>https://v.douyin.com/FQoYvFcvTsU/</t>
        </is>
      </c>
      <c r="G1305" t="inlineStr">
        <is>
          <t>0002A1</t>
        </is>
      </c>
      <c r="H1305" t="inlineStr">
        <is>
          <t>口播</t>
        </is>
      </c>
      <c r="I1305" t="n">
        <v>0</v>
      </c>
      <c r="J1305" t="n">
        <v>0</v>
      </c>
      <c r="K1305" t="n">
        <v>110.5</v>
      </c>
      <c r="L1305" t="n">
        <v>10000</v>
      </c>
      <c r="M1305" t="n">
        <v>656</v>
      </c>
      <c r="N1305" t="n">
        <v>139</v>
      </c>
      <c r="O1305" t="n">
        <v>22</v>
      </c>
    </row>
    <row r="1306" ht="27" customHeight="1">
      <c r="A1306" s="18" t="n">
        <v>46113</v>
      </c>
      <c r="B1306" t="inlineStr">
        <is>
          <t>14周</t>
        </is>
      </c>
      <c r="C1306" t="inlineStr">
        <is>
          <t>抖音</t>
        </is>
      </c>
      <c r="D1306" t="inlineStr"/>
      <c r="E1306" t="inlineStr"/>
      <c r="F1306" t="inlineStr">
        <is>
          <t>https://v.douyin.com/yK4IHFl1TWo/</t>
        </is>
      </c>
      <c r="G1306" t="inlineStr">
        <is>
          <t>0001A1</t>
        </is>
      </c>
      <c r="H1306" t="inlineStr">
        <is>
          <t>开箱</t>
        </is>
      </c>
      <c r="I1306" t="n">
        <v>600</v>
      </c>
      <c r="J1306" t="n">
        <v>0</v>
      </c>
      <c r="K1306" t="n">
        <v>107.5</v>
      </c>
      <c r="L1306" t="n">
        <v>47000</v>
      </c>
      <c r="M1306" t="n">
        <v>1466</v>
      </c>
      <c r="N1306" t="n">
        <v>110</v>
      </c>
      <c r="O1306" t="n">
        <v>21</v>
      </c>
    </row>
    <row r="1307" ht="81" customHeight="1">
      <c r="A1307" s="18" t="n">
        <v>46113</v>
      </c>
      <c r="B1307" t="inlineStr">
        <is>
          <t>14周</t>
        </is>
      </c>
      <c r="C1307" t="inlineStr">
        <is>
          <t>b站</t>
        </is>
      </c>
      <c r="D1307" t="inlineStr"/>
      <c r="E1307" t="inlineStr"/>
      <c r="F1307" t="inlineStr">
        <is>
          <t>https://b23.tv/efiknbl</t>
        </is>
      </c>
      <c r="G1307" t="inlineStr">
        <is>
          <t>0001A1</t>
        </is>
      </c>
      <c r="H1307" t="inlineStr">
        <is>
          <t>开箱</t>
        </is>
      </c>
      <c r="I1307" t="n">
        <v>0</v>
      </c>
      <c r="J1307" t="n">
        <v>0</v>
      </c>
      <c r="K1307" t="n">
        <v>107.5</v>
      </c>
      <c r="L1307" t="n">
        <v>599</v>
      </c>
      <c r="M1307" t="n">
        <v>27</v>
      </c>
      <c r="N1307" t="n">
        <v>17</v>
      </c>
      <c r="O1307" t="n">
        <v>1</v>
      </c>
    </row>
    <row r="1308" ht="81" customHeight="1">
      <c r="A1308" s="18" t="n">
        <v>46113</v>
      </c>
      <c r="B1308" t="inlineStr">
        <is>
          <t>14周</t>
        </is>
      </c>
      <c r="C1308" t="inlineStr">
        <is>
          <t>小红书</t>
        </is>
      </c>
      <c r="D1308" t="inlineStr"/>
      <c r="E1308" t="inlineStr"/>
      <c r="F1308" t="inlineStr">
        <is>
          <t>https://www.xiaohongshu.com/discovery/item/69cc80ea000000001a0321d7?xsec_token=CB9jlDePMS1sO9f8OHLhskK25loM9mOXYAxnCX8RZ_FIM=&amp;xsec_source=app_share</t>
        </is>
      </c>
      <c r="G1308" t="inlineStr">
        <is>
          <t>495</t>
        </is>
      </c>
      <c r="H1308" t="inlineStr">
        <is>
          <t>穿搭</t>
        </is>
      </c>
      <c r="I1308" t="n">
        <v>0</v>
      </c>
      <c r="J1308" t="n">
        <v>0</v>
      </c>
      <c r="K1308" t="n">
        <v>93</v>
      </c>
      <c r="L1308" t="n">
        <v>31</v>
      </c>
      <c r="M1308" t="n">
        <v>3</v>
      </c>
      <c r="N1308" t="n">
        <v>0</v>
      </c>
      <c r="O1308" t="n">
        <v>0</v>
      </c>
    </row>
    <row r="1309" ht="81" customHeight="1">
      <c r="A1309" s="18" t="n">
        <v>46113</v>
      </c>
      <c r="B1309" t="inlineStr">
        <is>
          <t>14周</t>
        </is>
      </c>
      <c r="C1309" t="inlineStr">
        <is>
          <t>小红书</t>
        </is>
      </c>
      <c r="D1309" t="inlineStr"/>
      <c r="E1309" t="inlineStr"/>
      <c r="F1309" t="inlineStr">
        <is>
          <t>https://www.xiaohongshu.com/discovery/item/69cca7b0000000001a02012e?xsec_token=CBVl-YzFZTmKurelOMk_x2aKOA3aRkHojAX_t8kMHsK8U=&amp;xsec_source=app_share&amp;type=video</t>
        </is>
      </c>
      <c r="G1309" t="inlineStr">
        <is>
          <t>0002A1</t>
        </is>
      </c>
      <c r="H1309" t="inlineStr">
        <is>
          <t>口播</t>
        </is>
      </c>
      <c r="I1309" t="n">
        <v>300</v>
      </c>
      <c r="J1309" t="n">
        <v>0</v>
      </c>
      <c r="K1309" t="n">
        <v>110.5</v>
      </c>
      <c r="L1309" t="n">
        <v>13691</v>
      </c>
      <c r="M1309" t="n">
        <v>956</v>
      </c>
      <c r="N1309" t="n">
        <v>302</v>
      </c>
      <c r="O1309" t="n">
        <v>22</v>
      </c>
    </row>
    <row r="1310" ht="67.5" customHeight="1">
      <c r="A1310" s="18" t="n">
        <v>46113</v>
      </c>
      <c r="B1310" t="inlineStr">
        <is>
          <t>14周</t>
        </is>
      </c>
      <c r="C1310" t="inlineStr">
        <is>
          <t>小红书</t>
        </is>
      </c>
      <c r="D1310" t="inlineStr"/>
      <c r="E1310" t="inlineStr"/>
      <c r="F1310" t="inlineStr">
        <is>
          <t>https://www.xiaohongshu.com/discovery/item/69ccc839000000001f003402?xsec_token=CBfLjVZBzDszLq3nfVCk1acYE0_CtsPTHPM3NOQxv3l_Y=&amp;xsec_source=app_share&amp;type=video</t>
        </is>
      </c>
      <c r="G1310" t="inlineStr">
        <is>
          <t>0001A1</t>
        </is>
      </c>
      <c r="H1310" t="inlineStr">
        <is>
          <t>赵一博</t>
        </is>
      </c>
      <c r="I1310" t="n">
        <v>0</v>
      </c>
      <c r="J1310" t="n">
        <v>0</v>
      </c>
      <c r="K1310" t="n">
        <v>107.5</v>
      </c>
      <c r="L1310" t="n">
        <v>13073</v>
      </c>
      <c r="M1310" t="n">
        <v>956</v>
      </c>
      <c r="N1310" t="n">
        <v>22</v>
      </c>
      <c r="O1310" t="n">
        <v>60</v>
      </c>
    </row>
    <row r="1311" ht="27" customHeight="1">
      <c r="A1311" s="18" t="n">
        <v>46113</v>
      </c>
      <c r="B1311" t="inlineStr">
        <is>
          <t>14周</t>
        </is>
      </c>
      <c r="C1311" t="inlineStr">
        <is>
          <t>小红书</t>
        </is>
      </c>
      <c r="D1311" t="inlineStr"/>
      <c r="E1311" t="inlineStr"/>
      <c r="F1311" t="inlineStr">
        <is>
          <t>https://www.xiaohongshu.com/discovery/item/69cca574000000002A1800a2a2?xsec_token=CBVl-YzFZTmKurelOMk_x2aMwrjsKPEifusG7pQzNAqSY=&amp;xsec_source=app_share&amp;type=video</t>
        </is>
      </c>
      <c r="G1311" t="inlineStr">
        <is>
          <t>0002A1</t>
        </is>
      </c>
      <c r="H1311" t="inlineStr">
        <is>
          <t>口播</t>
        </is>
      </c>
      <c r="I1311" t="n">
        <v>0</v>
      </c>
      <c r="J1311" t="n">
        <v>0</v>
      </c>
      <c r="K1311" t="n">
        <v>110.5</v>
      </c>
      <c r="L1311" t="n">
        <v>7140</v>
      </c>
      <c r="M1311" t="n">
        <v>396</v>
      </c>
      <c r="N1311" t="n">
        <v>137</v>
      </c>
      <c r="O1311" t="n">
        <v>58</v>
      </c>
    </row>
    <row r="1312" ht="27" customHeight="1">
      <c r="A1312" s="18" t="n">
        <v>46113</v>
      </c>
      <c r="B1312" t="inlineStr">
        <is>
          <t>14周</t>
        </is>
      </c>
      <c r="C1312" t="inlineStr">
        <is>
          <t>小红书</t>
        </is>
      </c>
      <c r="D1312" t="inlineStr"/>
      <c r="E1312" t="inlineStr"/>
      <c r="F1312" t="inlineStr">
        <is>
          <t>https://www.xiaohongshu.com/discovery/item/69cce811000000001a02e388?xsec_token=CBVl-YzFZTmKurelOMk_x2aIAY402kSdzyOIcqcNHOjfE=&amp;xsec_source=app_share</t>
        </is>
      </c>
      <c r="G1312" t="inlineStr">
        <is>
          <t>495</t>
        </is>
      </c>
      <c r="H1312" t="inlineStr">
        <is>
          <t>穿搭</t>
        </is>
      </c>
      <c r="I1312" t="n">
        <v>0</v>
      </c>
      <c r="J1312" t="n">
        <v>0</v>
      </c>
      <c r="K1312" t="n">
        <v>93</v>
      </c>
      <c r="L1312" t="n">
        <v>360</v>
      </c>
      <c r="M1312" t="n">
        <v>22</v>
      </c>
      <c r="N1312" t="n">
        <v>5</v>
      </c>
      <c r="O1312" t="n">
        <v>2</v>
      </c>
    </row>
    <row r="1313" ht="27" customHeight="1">
      <c r="A1313" s="18" t="n">
        <v>46114</v>
      </c>
      <c r="B1313" t="inlineStr">
        <is>
          <t>14周</t>
        </is>
      </c>
      <c r="C1313" t="inlineStr">
        <is>
          <t>抖音</t>
        </is>
      </c>
      <c r="D1313" t="inlineStr"/>
      <c r="E1313" t="inlineStr"/>
      <c r="F1313" t="inlineStr">
        <is>
          <t>https://v.douyin.com/ZudUgtcs24Q/</t>
        </is>
      </c>
      <c r="G1313" t="inlineStr">
        <is>
          <t>0001A1</t>
        </is>
      </c>
      <c r="H1313" t="inlineStr">
        <is>
          <t>穿搭</t>
        </is>
      </c>
      <c r="I1313" t="n">
        <v>0</v>
      </c>
      <c r="J1313" t="n">
        <v>0</v>
      </c>
      <c r="K1313" t="n">
        <v>107.5</v>
      </c>
      <c r="L1313" t="n">
        <v>7140</v>
      </c>
      <c r="M1313" t="n">
        <v>415</v>
      </c>
      <c r="N1313" t="n">
        <v>26</v>
      </c>
      <c r="O1313" t="n">
        <v>35</v>
      </c>
    </row>
    <row r="1314" ht="27" customHeight="1">
      <c r="A1314" s="18" t="n">
        <v>46114</v>
      </c>
      <c r="B1314" t="inlineStr">
        <is>
          <t>14周</t>
        </is>
      </c>
      <c r="C1314" t="inlineStr">
        <is>
          <t>抖音</t>
        </is>
      </c>
      <c r="D1314" t="inlineStr"/>
      <c r="E1314" t="inlineStr"/>
      <c r="F1314" t="inlineStr">
        <is>
          <t>https://v.douyin.com/oj7KXwcP92Q/</t>
        </is>
      </c>
      <c r="G1314" t="inlineStr">
        <is>
          <t>495</t>
        </is>
      </c>
      <c r="H1314" t="inlineStr">
        <is>
          <t>穿搭</t>
        </is>
      </c>
      <c r="I1314" t="n">
        <v>0</v>
      </c>
      <c r="J1314" t="n">
        <v>0</v>
      </c>
      <c r="K1314" t="n">
        <v>93</v>
      </c>
      <c r="L1314" t="n">
        <v>155000</v>
      </c>
      <c r="M1314" t="n">
        <v>2438</v>
      </c>
      <c r="N1314" t="n">
        <v>948</v>
      </c>
      <c r="O1314" t="n">
        <v>45</v>
      </c>
    </row>
    <row r="1315" ht="27" customHeight="1">
      <c r="A1315" s="18" t="n">
        <v>46114</v>
      </c>
      <c r="B1315" t="inlineStr">
        <is>
          <t>14周</t>
        </is>
      </c>
      <c r="C1315" t="inlineStr">
        <is>
          <t>小红书</t>
        </is>
      </c>
      <c r="D1315" t="inlineStr"/>
      <c r="E1315" t="inlineStr"/>
      <c r="F1315" t="inlineStr">
        <is>
          <t>https://www.xiaohongshu.com/discovery/item/69ce24590000000022024f0d?xsec_token=CBndlYREhR7kK9oMG3wDF3kC5OUG9WAOfyinIlu2phLjo=&amp;xsec_source=app_share</t>
        </is>
      </c>
      <c r="G1315" t="inlineStr">
        <is>
          <t>495</t>
        </is>
      </c>
      <c r="H1315" t="inlineStr">
        <is>
          <t>穿搭</t>
        </is>
      </c>
      <c r="I1315" t="n">
        <v>100</v>
      </c>
      <c r="J1315" t="n">
        <v>0</v>
      </c>
      <c r="K1315" t="n">
        <v>93</v>
      </c>
      <c r="L1315" t="n">
        <v>5318</v>
      </c>
      <c r="M1315" t="n">
        <v>337</v>
      </c>
      <c r="N1315" t="n">
        <v>115</v>
      </c>
      <c r="O1315" t="n">
        <v>27</v>
      </c>
    </row>
    <row r="1316" ht="27" customHeight="1">
      <c r="A1316" s="18" t="n">
        <v>46114</v>
      </c>
      <c r="B1316" t="inlineStr">
        <is>
          <t>14周</t>
        </is>
      </c>
      <c r="C1316" t="inlineStr">
        <is>
          <t>小红书</t>
        </is>
      </c>
      <c r="D1316" t="inlineStr"/>
      <c r="E1316" t="inlineStr"/>
      <c r="F1316" t="inlineStr">
        <is>
          <t>https://www.xiaohongshu.com/discovery/item/69ce49fe000000002A10039851?xsec_token=CBndlYREhR7kK9oMG3wDF3kGPwSEcQeA13Dt8JD_T1NKM=&amp;xsec_source=app_share&amp;type=video</t>
        </is>
      </c>
      <c r="G1316" t="inlineStr">
        <is>
          <t>0002A1</t>
        </is>
      </c>
      <c r="H1316" t="inlineStr">
        <is>
          <t>开箱</t>
        </is>
      </c>
      <c r="I1316" t="n">
        <v>400</v>
      </c>
      <c r="J1316" t="n">
        <v>0</v>
      </c>
      <c r="K1316" t="n">
        <v>110.5</v>
      </c>
      <c r="L1316" t="n">
        <v>17207</v>
      </c>
      <c r="M1316" t="n">
        <v>2060</v>
      </c>
      <c r="N1316" t="n">
        <v>481</v>
      </c>
      <c r="O1316" t="n">
        <v>116</v>
      </c>
    </row>
    <row r="1317">
      <c r="A1317" s="18" t="n">
        <v>46115</v>
      </c>
      <c r="B1317" t="inlineStr">
        <is>
          <t>14周</t>
        </is>
      </c>
      <c r="C1317" t="inlineStr">
        <is>
          <t>抖音</t>
        </is>
      </c>
      <c r="D1317" t="inlineStr"/>
      <c r="E1317" t="inlineStr"/>
      <c r="F1317" t="inlineStr">
        <is>
          <t>https://v.douyin.com/kj3KkMIFips/</t>
        </is>
      </c>
      <c r="G1317" t="inlineStr">
        <is>
          <t>0002A1</t>
        </is>
      </c>
      <c r="H1317" t="inlineStr">
        <is>
          <t>穿搭</t>
        </is>
      </c>
      <c r="I1317" t="n">
        <v>150</v>
      </c>
      <c r="J1317" t="n">
        <v>0</v>
      </c>
      <c r="K1317" t="n">
        <v>110.5</v>
      </c>
      <c r="L1317" t="n">
        <v>12000</v>
      </c>
      <c r="M1317" t="n">
        <v>716</v>
      </c>
      <c r="N1317" t="n">
        <v>33</v>
      </c>
      <c r="O1317" t="n">
        <v>31</v>
      </c>
    </row>
    <row r="1318" ht="81" customHeight="1">
      <c r="A1318" s="18" t="n">
        <v>46115</v>
      </c>
      <c r="B1318" t="inlineStr">
        <is>
          <t>14周</t>
        </is>
      </c>
      <c r="C1318" t="inlineStr">
        <is>
          <t>抖音</t>
        </is>
      </c>
      <c r="D1318" t="inlineStr"/>
      <c r="E1318" t="inlineStr"/>
      <c r="F1318" t="inlineStr">
        <is>
          <t>https://v.douyin.com/SNT55pUqqVM/</t>
        </is>
      </c>
      <c r="G1318" t="inlineStr">
        <is>
          <t>0001A1</t>
        </is>
      </c>
      <c r="H1318" t="inlineStr">
        <is>
          <t>穿搭</t>
        </is>
      </c>
      <c r="I1318" t="n">
        <v>0</v>
      </c>
      <c r="J1318" t="n">
        <v>0</v>
      </c>
      <c r="K1318" t="n">
        <v>107.5</v>
      </c>
      <c r="L1318" t="n">
        <v>72000</v>
      </c>
      <c r="M1318" t="n">
        <v>607</v>
      </c>
      <c r="N1318" t="n">
        <v>190</v>
      </c>
      <c r="O1318" t="n">
        <v>48</v>
      </c>
    </row>
    <row r="1319" ht="67.5" customHeight="1">
      <c r="A1319" s="18" t="n">
        <v>46115</v>
      </c>
      <c r="B1319" t="inlineStr">
        <is>
          <t>14周</t>
        </is>
      </c>
      <c r="C1319" t="inlineStr">
        <is>
          <t>抖音</t>
        </is>
      </c>
      <c r="D1319" t="inlineStr"/>
      <c r="E1319" t="inlineStr"/>
      <c r="F1319" t="inlineStr">
        <is>
          <t>https://v.douyin.com/K7KMXmjkepU/</t>
        </is>
      </c>
      <c r="G1319" t="inlineStr">
        <is>
          <t>495</t>
        </is>
      </c>
      <c r="H1319" t="inlineStr">
        <is>
          <t>穿搭</t>
        </is>
      </c>
      <c r="I1319" t="n">
        <v>80</v>
      </c>
      <c r="J1319" t="n">
        <v>0</v>
      </c>
      <c r="K1319" t="n">
        <v>93</v>
      </c>
      <c r="L1319" t="n">
        <v>15000</v>
      </c>
      <c r="M1319" t="n">
        <v>721</v>
      </c>
      <c r="N1319" t="n">
        <v>32</v>
      </c>
      <c r="O1319" t="n">
        <v>88</v>
      </c>
    </row>
    <row r="1320" ht="81" customHeight="1">
      <c r="A1320" s="18" t="n">
        <v>46115</v>
      </c>
      <c r="B1320" t="inlineStr">
        <is>
          <t>14周</t>
        </is>
      </c>
      <c r="C1320" t="inlineStr">
        <is>
          <t>抖音</t>
        </is>
      </c>
      <c r="D1320" t="inlineStr"/>
      <c r="E1320" t="inlineStr"/>
      <c r="F1320" t="inlineStr">
        <is>
          <t>https://v.douyin.com/9RmTaRKjrxM/</t>
        </is>
      </c>
      <c r="G1320" t="inlineStr">
        <is>
          <t>495</t>
        </is>
      </c>
      <c r="H1320" t="inlineStr">
        <is>
          <t>口播</t>
        </is>
      </c>
      <c r="I1320" t="n">
        <v>260</v>
      </c>
      <c r="J1320" t="n">
        <v>0</v>
      </c>
      <c r="K1320" t="n">
        <v>93</v>
      </c>
      <c r="L1320" t="n">
        <v>7200</v>
      </c>
      <c r="M1320" t="n">
        <v>133</v>
      </c>
      <c r="N1320" t="n">
        <v>21</v>
      </c>
      <c r="O1320" t="n">
        <v>21</v>
      </c>
    </row>
    <row r="1321" ht="81" customHeight="1">
      <c r="A1321" s="18" t="n">
        <v>46115</v>
      </c>
      <c r="B1321" t="inlineStr">
        <is>
          <t>14周</t>
        </is>
      </c>
      <c r="C1321" t="inlineStr">
        <is>
          <t>抖音</t>
        </is>
      </c>
      <c r="D1321" t="inlineStr"/>
      <c r="E1321" t="inlineStr"/>
      <c r="F1321" t="inlineStr">
        <is>
          <t>https://v.douyin.com/xpX22KpALHY/</t>
        </is>
      </c>
      <c r="G1321" t="inlineStr">
        <is>
          <t>0002A1</t>
        </is>
      </c>
      <c r="H1321" t="inlineStr">
        <is>
          <t>穿搭</t>
        </is>
      </c>
      <c r="I1321" t="n">
        <v>0</v>
      </c>
      <c r="J1321" t="n">
        <v>0</v>
      </c>
      <c r="K1321" t="n">
        <v>110.5</v>
      </c>
      <c r="L1321" t="n">
        <v>32000</v>
      </c>
      <c r="M1321" t="n">
        <v>428</v>
      </c>
      <c r="N1321" t="n">
        <v>71</v>
      </c>
      <c r="O1321" t="n">
        <v>18</v>
      </c>
    </row>
    <row r="1322" ht="27" customHeight="1">
      <c r="A1322" s="18" t="n">
        <v>46115</v>
      </c>
      <c r="B1322" t="inlineStr">
        <is>
          <t>14周</t>
        </is>
      </c>
      <c r="C1322" t="inlineStr">
        <is>
          <t>抖音</t>
        </is>
      </c>
      <c r="D1322" t="inlineStr"/>
      <c r="E1322" t="inlineStr"/>
      <c r="F1322" t="inlineStr">
        <is>
          <t>https://v.douyin.com/hLZT0TyXivU/</t>
        </is>
      </c>
      <c r="G1322" t="inlineStr">
        <is>
          <t>0001A1</t>
        </is>
      </c>
      <c r="H1322" t="inlineStr">
        <is>
          <t>穿搭</t>
        </is>
      </c>
      <c r="I1322" t="n">
        <v>0</v>
      </c>
      <c r="J1322" t="n">
        <v>0</v>
      </c>
      <c r="K1322" t="n">
        <v>107.5</v>
      </c>
      <c r="L1322" t="n">
        <v>10000</v>
      </c>
      <c r="M1322" t="n">
        <v>884</v>
      </c>
      <c r="N1322" t="n">
        <v>56</v>
      </c>
      <c r="O1322" t="n">
        <v>39</v>
      </c>
    </row>
    <row r="1323" ht="27" customHeight="1">
      <c r="A1323" s="18" t="n">
        <v>46115</v>
      </c>
      <c r="B1323" t="inlineStr">
        <is>
          <t>14周</t>
        </is>
      </c>
      <c r="C1323" t="inlineStr">
        <is>
          <t>抖音</t>
        </is>
      </c>
      <c r="D1323" t="inlineStr"/>
      <c r="E1323" t="inlineStr"/>
      <c r="F1323" t="inlineStr">
        <is>
          <t>https://v.douyin.com/EOFtAw-guYc/ U@L.wf</t>
        </is>
      </c>
      <c r="G1323" t="inlineStr">
        <is>
          <t>0001A1</t>
        </is>
      </c>
      <c r="H1323" t="inlineStr">
        <is>
          <t>赵一博</t>
        </is>
      </c>
      <c r="I1323" t="n">
        <v>0</v>
      </c>
      <c r="J1323" t="n">
        <v>0</v>
      </c>
      <c r="K1323" t="n">
        <v>107.5</v>
      </c>
      <c r="L1323" t="n">
        <v>2591</v>
      </c>
      <c r="M1323" t="n">
        <v>93</v>
      </c>
      <c r="N1323" t="n">
        <v>0</v>
      </c>
      <c r="O1323" t="n">
        <v>8</v>
      </c>
    </row>
    <row r="1324" ht="27" customHeight="1">
      <c r="A1324" s="18" t="n">
        <v>46116</v>
      </c>
      <c r="B1324" t="inlineStr">
        <is>
          <t>14周</t>
        </is>
      </c>
      <c r="C1324" t="inlineStr">
        <is>
          <t>抖音</t>
        </is>
      </c>
      <c r="D1324" t="inlineStr"/>
      <c r="E1324" t="inlineStr"/>
      <c r="F1324" t="inlineStr">
        <is>
          <t>https://v.douyin.com/wZf9bqBMung/</t>
        </is>
      </c>
      <c r="G1324" t="inlineStr">
        <is>
          <t>0002A1</t>
        </is>
      </c>
      <c r="H1324" t="inlineStr">
        <is>
          <t>穿搭</t>
        </is>
      </c>
      <c r="I1324" t="n">
        <v>0</v>
      </c>
      <c r="J1324" t="n">
        <v>0</v>
      </c>
      <c r="K1324" t="n">
        <v>110.5</v>
      </c>
      <c r="L1324" t="n">
        <v>15000</v>
      </c>
      <c r="M1324" t="n">
        <v>868</v>
      </c>
      <c r="N1324" t="n">
        <v>81</v>
      </c>
      <c r="O1324" t="n">
        <v>22</v>
      </c>
    </row>
    <row r="1325" ht="40.5" customHeight="1">
      <c r="A1325" s="18" t="n">
        <v>46116</v>
      </c>
      <c r="B1325" t="inlineStr">
        <is>
          <t>14周</t>
        </is>
      </c>
      <c r="C1325" t="inlineStr">
        <is>
          <t>小红书</t>
        </is>
      </c>
      <c r="D1325" t="inlineStr"/>
      <c r="E1325" t="inlineStr"/>
      <c r="F1325" t="inlineStr">
        <is>
          <t>https://www.xiaohongshu.com/discovery/item/69d04ec80000000023024804?xsec_token=CBbRGqoAIaQrtPSnOoCrIqtMzTBF7mzTB2Xhx5e7g9Mog=&amp;xsec_source=app_share&amp;type=video</t>
        </is>
      </c>
      <c r="G1325" t="inlineStr">
        <is>
          <t>495</t>
        </is>
      </c>
      <c r="H1325" t="inlineStr">
        <is>
          <t>购物开箱</t>
        </is>
      </c>
      <c r="I1325" t="n">
        <v>300</v>
      </c>
      <c r="J1325" t="n">
        <v>0</v>
      </c>
      <c r="K1325" t="n">
        <v>93</v>
      </c>
      <c r="L1325" t="n">
        <v>6115</v>
      </c>
      <c r="M1325" t="n">
        <v>684</v>
      </c>
      <c r="N1325" t="n">
        <v>86</v>
      </c>
      <c r="O1325" t="n">
        <v>24</v>
      </c>
    </row>
    <row r="1326" ht="40.5" customHeight="1">
      <c r="A1326" s="18" t="n">
        <v>46118</v>
      </c>
      <c r="B1326" t="inlineStr">
        <is>
          <t>15周</t>
        </is>
      </c>
      <c r="C1326" t="inlineStr">
        <is>
          <t>抖音</t>
        </is>
      </c>
      <c r="D1326" t="inlineStr"/>
      <c r="E1326" t="inlineStr"/>
      <c r="F1326" t="inlineStr">
        <is>
          <t>https://v.douyin.com/7tc9E_fuT00/</t>
        </is>
      </c>
      <c r="G1326" t="inlineStr">
        <is>
          <t>0001A1</t>
        </is>
      </c>
      <c r="H1326" t="inlineStr">
        <is>
          <t>赵一博</t>
        </is>
      </c>
      <c r="I1326" t="n">
        <v>0</v>
      </c>
      <c r="J1326" t="n">
        <v>0</v>
      </c>
      <c r="K1326" t="n">
        <v>107.5</v>
      </c>
      <c r="L1326" t="n">
        <v>59000</v>
      </c>
      <c r="M1326" t="n">
        <v>495</v>
      </c>
      <c r="N1326" t="n">
        <v>20</v>
      </c>
      <c r="O1326" t="n">
        <v>62</v>
      </c>
    </row>
    <row r="1327" ht="40.5" customHeight="1">
      <c r="A1327" s="18" t="n">
        <v>46118</v>
      </c>
      <c r="B1327" t="inlineStr">
        <is>
          <t>15周</t>
        </is>
      </c>
      <c r="C1327" t="inlineStr">
        <is>
          <t>抖音</t>
        </is>
      </c>
      <c r="D1327" t="inlineStr"/>
      <c r="E1327" t="inlineStr"/>
      <c r="F1327" t="inlineStr">
        <is>
          <t>https://v.douyin.com/2pxSKezGkV0/</t>
        </is>
      </c>
      <c r="G1327" t="inlineStr">
        <is>
          <t>0002A1</t>
        </is>
      </c>
      <c r="H1327" t="inlineStr">
        <is>
          <t>口播</t>
        </is>
      </c>
      <c r="I1327" t="n">
        <v>0</v>
      </c>
      <c r="J1327" t="n">
        <v>0</v>
      </c>
      <c r="K1327" t="n">
        <v>110.5</v>
      </c>
      <c r="L1327" t="n">
        <v>3353</v>
      </c>
      <c r="M1327" t="n">
        <v>241</v>
      </c>
      <c r="N1327" t="n">
        <v>40</v>
      </c>
      <c r="O1327" t="n">
        <v>22</v>
      </c>
    </row>
    <row r="1328" ht="94.5" customHeight="1">
      <c r="A1328" s="18" t="n">
        <v>46118</v>
      </c>
      <c r="B1328" t="inlineStr">
        <is>
          <t>15周</t>
        </is>
      </c>
      <c r="C1328" t="inlineStr">
        <is>
          <t>抖音</t>
        </is>
      </c>
      <c r="D1328" t="inlineStr"/>
      <c r="E1328" t="inlineStr"/>
      <c r="F1328" t="inlineStr">
        <is>
          <t>https://v.douyin.com/DNuq8U6pSTs/</t>
        </is>
      </c>
      <c r="G1328" t="inlineStr">
        <is>
          <t>0001A1</t>
        </is>
      </c>
      <c r="H1328" t="inlineStr">
        <is>
          <t>赵一博</t>
        </is>
      </c>
      <c r="I1328" t="n">
        <v>0</v>
      </c>
      <c r="J1328" t="n">
        <v>0</v>
      </c>
      <c r="K1328" t="n">
        <v>107.5</v>
      </c>
      <c r="L1328" t="n">
        <v>4255</v>
      </c>
      <c r="M1328" t="n">
        <v>194</v>
      </c>
      <c r="N1328" t="n">
        <v>3</v>
      </c>
      <c r="O1328" t="n">
        <v>10</v>
      </c>
    </row>
    <row r="1329" ht="81" customHeight="1">
      <c r="A1329" s="18" t="n">
        <v>46118</v>
      </c>
      <c r="B1329" t="inlineStr">
        <is>
          <t>15周</t>
        </is>
      </c>
      <c r="C1329" t="inlineStr">
        <is>
          <t>抖音</t>
        </is>
      </c>
      <c r="D1329" t="inlineStr"/>
      <c r="E1329" t="inlineStr"/>
      <c r="F1329" t="inlineStr">
        <is>
          <t>https://v.douyin.com/8sICMR5v71s/</t>
        </is>
      </c>
      <c r="G1329" t="inlineStr">
        <is>
          <t>495</t>
        </is>
      </c>
      <c r="H1329" t="inlineStr">
        <is>
          <t>穿搭</t>
        </is>
      </c>
      <c r="I1329" t="n">
        <v>0</v>
      </c>
      <c r="J1329" t="n">
        <v>0</v>
      </c>
      <c r="K1329" t="n">
        <v>93</v>
      </c>
      <c r="L1329" t="n">
        <v>18000</v>
      </c>
      <c r="M1329" t="n">
        <v>587</v>
      </c>
      <c r="N1329" t="n">
        <v>120</v>
      </c>
      <c r="O1329" t="n">
        <v>13</v>
      </c>
    </row>
    <row r="1330" ht="67.5" customHeight="1">
      <c r="A1330" s="18" t="n">
        <v>46118</v>
      </c>
      <c r="B1330" t="inlineStr">
        <is>
          <t>15周</t>
        </is>
      </c>
      <c r="C1330" t="inlineStr">
        <is>
          <t>抖音</t>
        </is>
      </c>
      <c r="D1330" t="inlineStr"/>
      <c r="E1330" t="inlineStr"/>
      <c r="F1330" t="inlineStr">
        <is>
          <t>https://v.douyin.com/Ohp94oBvmEQ/</t>
        </is>
      </c>
      <c r="G1330" t="inlineStr">
        <is>
          <t>0001A1</t>
        </is>
      </c>
      <c r="H1330" t="inlineStr">
        <is>
          <t>赵一博</t>
        </is>
      </c>
      <c r="I1330" t="n">
        <v>0</v>
      </c>
      <c r="J1330" t="n">
        <v>0</v>
      </c>
      <c r="K1330" t="n">
        <v>107.5</v>
      </c>
      <c r="L1330" t="n">
        <v>23000</v>
      </c>
      <c r="M1330" t="n">
        <v>533</v>
      </c>
      <c r="N1330" t="n">
        <v>27</v>
      </c>
      <c r="O1330" t="n">
        <v>41</v>
      </c>
    </row>
    <row r="1331" ht="81" customHeight="1">
      <c r="A1331" s="18" t="n">
        <v>46118</v>
      </c>
      <c r="B1331" t="inlineStr">
        <is>
          <t>15周</t>
        </is>
      </c>
      <c r="C1331" t="inlineStr">
        <is>
          <t>抖音</t>
        </is>
      </c>
      <c r="D1331" t="inlineStr"/>
      <c r="E1331" t="inlineStr"/>
      <c r="F1331" t="inlineStr">
        <is>
          <t>https://v.douyin.com/FOPpnWEKcE4/</t>
        </is>
      </c>
      <c r="G1331" t="inlineStr">
        <is>
          <t>0001A1</t>
        </is>
      </c>
      <c r="H1331" t="inlineStr">
        <is>
          <t>赵一博</t>
        </is>
      </c>
      <c r="I1331" t="n">
        <v>0</v>
      </c>
      <c r="J1331" t="n">
        <v>0</v>
      </c>
      <c r="K1331" t="n">
        <v>107.5</v>
      </c>
      <c r="L1331" t="n">
        <v>59000</v>
      </c>
      <c r="M1331" t="n">
        <v>1132</v>
      </c>
      <c r="N1331" t="n">
        <v>74</v>
      </c>
      <c r="O1331" t="n">
        <v>72</v>
      </c>
    </row>
    <row r="1332" ht="81" customHeight="1">
      <c r="A1332" s="18" t="n">
        <v>46118</v>
      </c>
      <c r="B1332" t="inlineStr">
        <is>
          <t>15周</t>
        </is>
      </c>
      <c r="C1332" t="inlineStr">
        <is>
          <t>抖音</t>
        </is>
      </c>
      <c r="D1332" t="inlineStr"/>
      <c r="E1332" t="inlineStr"/>
      <c r="F1332" t="inlineStr">
        <is>
          <t>https://v.douyin.com/R489jEUEIh0/</t>
        </is>
      </c>
      <c r="G1332" t="inlineStr">
        <is>
          <t>495</t>
        </is>
      </c>
      <c r="H1332" t="inlineStr">
        <is>
          <t>鞋子合集</t>
        </is>
      </c>
      <c r="I1332" t="n">
        <v>0</v>
      </c>
      <c r="J1332" t="n">
        <v>0</v>
      </c>
      <c r="K1332" t="n">
        <v>93</v>
      </c>
      <c r="L1332" t="n">
        <v>1215000</v>
      </c>
      <c r="M1332" t="n">
        <v>48000</v>
      </c>
      <c r="N1332" t="n">
        <v>30000</v>
      </c>
      <c r="O1332" t="n">
        <v>546</v>
      </c>
    </row>
    <row r="1333" ht="67.5" customHeight="1">
      <c r="A1333" s="18" t="n">
        <v>46118</v>
      </c>
      <c r="B1333" t="inlineStr">
        <is>
          <t>15周</t>
        </is>
      </c>
      <c r="C1333" t="inlineStr">
        <is>
          <t>小红书</t>
        </is>
      </c>
      <c r="D1333" t="inlineStr"/>
      <c r="E1333" t="inlineStr"/>
      <c r="F1333" t="inlineStr">
        <is>
          <t>https://www.xiaohongshu.com/discovery/item/69d3a2a3000000001d01b11c?xsec_token=CB2sPoxIKGcM_s20Nvf45KXCK1Rqdue0A-dDSQ-t97ysM=&amp;xsec_source=app_share</t>
        </is>
      </c>
      <c r="G1333" t="inlineStr">
        <is>
          <t>0001A1</t>
        </is>
      </c>
      <c r="H1333" t="inlineStr">
        <is>
          <t>赵一博</t>
        </is>
      </c>
      <c r="I1333" t="n">
        <v>0</v>
      </c>
      <c r="J1333" t="n">
        <v>0</v>
      </c>
      <c r="K1333" t="n">
        <v>107.5</v>
      </c>
      <c r="L1333" t="n">
        <v>2764</v>
      </c>
      <c r="M1333" t="n">
        <v>100</v>
      </c>
      <c r="N1333" t="n">
        <v>10</v>
      </c>
      <c r="O1333" t="n">
        <v>29</v>
      </c>
    </row>
    <row r="1334" ht="27" customHeight="1">
      <c r="A1334" s="18" t="n">
        <v>46119</v>
      </c>
      <c r="B1334" t="inlineStr">
        <is>
          <t>15周</t>
        </is>
      </c>
      <c r="C1334" t="inlineStr">
        <is>
          <t>抖音</t>
        </is>
      </c>
      <c r="D1334" t="inlineStr"/>
      <c r="E1334" t="inlineStr"/>
      <c r="F1334" t="inlineStr">
        <is>
          <t>https://v.douyin.com/PoqkPtpio3Y/</t>
        </is>
      </c>
      <c r="G1334" t="inlineStr">
        <is>
          <t>0001A1</t>
        </is>
      </c>
      <c r="H1334" t="inlineStr">
        <is>
          <t>穿搭</t>
        </is>
      </c>
      <c r="I1334" t="n">
        <v>0</v>
      </c>
      <c r="J1334" t="n">
        <v>0</v>
      </c>
      <c r="K1334" t="n">
        <v>107.5</v>
      </c>
      <c r="L1334" t="n">
        <v>11000</v>
      </c>
      <c r="M1334" t="n">
        <v>414</v>
      </c>
      <c r="N1334" t="n">
        <v>20</v>
      </c>
      <c r="O1334" t="n">
        <v>16</v>
      </c>
    </row>
    <row r="1335" ht="27" customHeight="1">
      <c r="A1335" s="18" t="n">
        <v>46119</v>
      </c>
      <c r="B1335" t="inlineStr">
        <is>
          <t>15周</t>
        </is>
      </c>
      <c r="C1335" t="inlineStr">
        <is>
          <t>抖音</t>
        </is>
      </c>
      <c r="D1335" t="inlineStr"/>
      <c r="E1335" t="inlineStr"/>
      <c r="F1335" t="inlineStr">
        <is>
          <t>https://v.douyin.com/lJxmRXHnYUo/</t>
        </is>
      </c>
      <c r="G1335" t="inlineStr">
        <is>
          <t>495</t>
        </is>
      </c>
      <c r="H1335" t="inlineStr">
        <is>
          <t>口播</t>
        </is>
      </c>
      <c r="I1335" t="n">
        <v>0</v>
      </c>
      <c r="J1335" t="n">
        <v>0</v>
      </c>
      <c r="K1335" t="n">
        <v>93</v>
      </c>
      <c r="L1335" t="n">
        <v>18000</v>
      </c>
      <c r="M1335" t="n">
        <v>396</v>
      </c>
      <c r="N1335" t="n">
        <v>132</v>
      </c>
      <c r="O1335" t="n">
        <v>28</v>
      </c>
    </row>
    <row r="1336" ht="27" customHeight="1">
      <c r="A1336" s="18" t="n">
        <v>46119</v>
      </c>
      <c r="B1336" t="inlineStr">
        <is>
          <t>15周</t>
        </is>
      </c>
      <c r="C1336" t="inlineStr">
        <is>
          <t>抖音</t>
        </is>
      </c>
      <c r="D1336" t="inlineStr"/>
      <c r="E1336" t="inlineStr"/>
      <c r="F1336" t="inlineStr">
        <is>
          <t>https://v.douyin.com/hh-HZNlDbZs/</t>
        </is>
      </c>
      <c r="G1336" t="inlineStr">
        <is>
          <t>495</t>
        </is>
      </c>
      <c r="H1336" t="inlineStr">
        <is>
          <t>口播</t>
        </is>
      </c>
      <c r="I1336" t="n">
        <v>100</v>
      </c>
      <c r="J1336" t="n">
        <v>0</v>
      </c>
      <c r="K1336" t="n">
        <v>93</v>
      </c>
      <c r="L1336" t="n">
        <v>15000</v>
      </c>
      <c r="M1336" t="n">
        <v>721</v>
      </c>
      <c r="N1336" t="n">
        <v>305</v>
      </c>
      <c r="O1336" t="n">
        <v>65</v>
      </c>
    </row>
    <row r="1337">
      <c r="A1337" s="18" t="n">
        <v>46119</v>
      </c>
      <c r="B1337" t="inlineStr">
        <is>
          <t>15周</t>
        </is>
      </c>
      <c r="C1337" t="inlineStr">
        <is>
          <t>抖音</t>
        </is>
      </c>
      <c r="D1337" t="inlineStr"/>
      <c r="E1337" t="inlineStr"/>
      <c r="F1337" t="inlineStr">
        <is>
          <t>https://v.douyin.com/KFNwPdwSshg/</t>
        </is>
      </c>
      <c r="G1337" t="inlineStr">
        <is>
          <t>495</t>
        </is>
      </c>
      <c r="H1337" t="inlineStr">
        <is>
          <t>口播</t>
        </is>
      </c>
      <c r="I1337" t="n">
        <v>320</v>
      </c>
      <c r="J1337" t="n">
        <v>0</v>
      </c>
      <c r="K1337" t="n">
        <v>93</v>
      </c>
      <c r="L1337" t="n">
        <v>5212</v>
      </c>
      <c r="M1337" t="n">
        <v>429</v>
      </c>
      <c r="N1337" t="n">
        <v>20</v>
      </c>
      <c r="O1337" t="n">
        <v>35</v>
      </c>
    </row>
    <row r="1338" ht="27" customHeight="1">
      <c r="A1338" s="18" t="n">
        <v>46119</v>
      </c>
      <c r="B1338" t="inlineStr">
        <is>
          <t>15周</t>
        </is>
      </c>
      <c r="C1338" t="inlineStr">
        <is>
          <t>小红书</t>
        </is>
      </c>
      <c r="D1338" t="inlineStr"/>
      <c r="E1338" t="inlineStr"/>
      <c r="F1338" t="inlineStr">
        <is>
          <t>https://www.xiaohongshu.com/discovery/item/69d479ca000000001b0224d6?xsec_token=CBAgpAhM1oYPEzrnt7cIIkBxLuNt38eX8xGf-MvrsGKDc=&amp;xsec_source=app_share&amp;type=video</t>
        </is>
      </c>
      <c r="G1338" t="inlineStr">
        <is>
          <t>495</t>
        </is>
      </c>
      <c r="H1338" t="inlineStr">
        <is>
          <t>口播</t>
        </is>
      </c>
      <c r="I1338" t="n">
        <v>0</v>
      </c>
      <c r="J1338" t="n">
        <v>0</v>
      </c>
      <c r="K1338" t="n">
        <v>93</v>
      </c>
      <c r="L1338" t="n">
        <v>10306</v>
      </c>
      <c r="M1338" t="n">
        <v>638</v>
      </c>
      <c r="N1338" t="n">
        <v>227</v>
      </c>
      <c r="O1338" t="n">
        <v>50</v>
      </c>
    </row>
    <row r="1339">
      <c r="A1339" s="18" t="n">
        <v>46119</v>
      </c>
      <c r="B1339" t="inlineStr">
        <is>
          <t>15周</t>
        </is>
      </c>
      <c r="C1339" t="inlineStr">
        <is>
          <t>小红书</t>
        </is>
      </c>
      <c r="D1339" t="inlineStr"/>
      <c r="E1339" t="inlineStr"/>
      <c r="F1339" t="inlineStr">
        <is>
          <t>https://www.xiaohongshu.com/discovery/item/69d4b713000000002301566c?xsec_token=CBAgpAhM1oYPEzrnt7cIIkB_iHP394-DTqpouwN-LEndY=&amp;xsec_source=app_share&amp;type=video</t>
        </is>
      </c>
      <c r="G1339" t="inlineStr">
        <is>
          <t>0001A1</t>
        </is>
      </c>
      <c r="H1339" t="inlineStr">
        <is>
          <t>穿搭</t>
        </is>
      </c>
      <c r="I1339" t="n">
        <v>0</v>
      </c>
      <c r="J1339" t="n">
        <v>0</v>
      </c>
      <c r="K1339" t="n">
        <v>107.5</v>
      </c>
      <c r="L1339" t="n">
        <v>819</v>
      </c>
      <c r="M1339" t="n">
        <v>64</v>
      </c>
      <c r="N1339" t="n">
        <v>6</v>
      </c>
      <c r="O1339" t="n">
        <v>4</v>
      </c>
    </row>
    <row r="1340" ht="81" customHeight="1">
      <c r="A1340" s="18" t="n">
        <v>46119</v>
      </c>
      <c r="B1340" t="inlineStr">
        <is>
          <t>15周</t>
        </is>
      </c>
      <c r="C1340" t="inlineStr">
        <is>
          <t>小红书</t>
        </is>
      </c>
      <c r="D1340" t="inlineStr"/>
      <c r="E1340" t="inlineStr"/>
      <c r="F1340" t="inlineStr">
        <is>
          <t>https://www.xiaohongshu.com/discovery/item/69d4dda5000000001f006b13?xsec_token=CBAgpAhM1oYPEzrnt7cIIkB_01A0nDWRY-WhF9DvYy1w0=&amp;xsec_source=app_share&amp;type=video</t>
        </is>
      </c>
      <c r="G1340" t="inlineStr">
        <is>
          <t>495</t>
        </is>
      </c>
      <c r="H1340" t="inlineStr">
        <is>
          <t>口播</t>
        </is>
      </c>
      <c r="I1340" t="n">
        <v>0</v>
      </c>
      <c r="J1340" t="n">
        <v>0</v>
      </c>
      <c r="K1340" t="n">
        <v>93</v>
      </c>
      <c r="L1340" t="n">
        <v>1006</v>
      </c>
      <c r="M1340" t="n">
        <v>54</v>
      </c>
      <c r="N1340" t="n">
        <v>9</v>
      </c>
      <c r="O1340" t="n">
        <v>2</v>
      </c>
    </row>
    <row r="1341" ht="81" customHeight="1">
      <c r="A1341" s="18" t="n">
        <v>46120</v>
      </c>
      <c r="B1341" t="inlineStr">
        <is>
          <t>15周</t>
        </is>
      </c>
      <c r="C1341" t="inlineStr">
        <is>
          <t>抖音</t>
        </is>
      </c>
      <c r="D1341" t="inlineStr"/>
      <c r="E1341" t="inlineStr"/>
      <c r="F1341" t="inlineStr">
        <is>
          <t>https://v.douyin.com/9uxjJw5ISKM/</t>
        </is>
      </c>
      <c r="G1341" t="inlineStr">
        <is>
          <t>1225W</t>
        </is>
      </c>
      <c r="H1341" t="inlineStr">
        <is>
          <t>大学生vlog</t>
        </is>
      </c>
      <c r="I1341" t="n">
        <v>0</v>
      </c>
      <c r="J1341" t="n">
        <v>0</v>
      </c>
      <c r="K1341" t="n">
        <v>60.5</v>
      </c>
      <c r="L1341" t="n">
        <v>38000</v>
      </c>
      <c r="M1341" t="n">
        <v>1098</v>
      </c>
      <c r="N1341" t="n">
        <v>36</v>
      </c>
      <c r="O1341" t="n">
        <v>126</v>
      </c>
    </row>
    <row r="1342" ht="81" customHeight="1">
      <c r="A1342" s="18" t="n">
        <v>46120</v>
      </c>
      <c r="B1342" t="inlineStr">
        <is>
          <t>15周</t>
        </is>
      </c>
      <c r="C1342" t="inlineStr">
        <is>
          <t>抖音</t>
        </is>
      </c>
      <c r="D1342" t="inlineStr"/>
      <c r="E1342" t="inlineStr"/>
      <c r="F1342" t="inlineStr">
        <is>
          <t>https://v.douyin.com/jGMvF53V7MM/</t>
        </is>
      </c>
      <c r="G1342" t="inlineStr">
        <is>
          <t>0001A1</t>
        </is>
      </c>
      <c r="H1342" t="inlineStr">
        <is>
          <t>穿搭</t>
        </is>
      </c>
      <c r="I1342" t="n">
        <v>0</v>
      </c>
      <c r="J1342" t="n">
        <v>0</v>
      </c>
      <c r="K1342" t="n">
        <v>107.5</v>
      </c>
      <c r="L1342" t="n">
        <v>18000</v>
      </c>
      <c r="M1342" t="n">
        <v>1389</v>
      </c>
      <c r="N1342" t="n">
        <v>72</v>
      </c>
      <c r="O1342" t="n">
        <v>10</v>
      </c>
    </row>
    <row r="1343" ht="81" customHeight="1">
      <c r="A1343" s="18" t="n">
        <v>46120</v>
      </c>
      <c r="B1343" t="inlineStr">
        <is>
          <t>15周</t>
        </is>
      </c>
      <c r="C1343" t="inlineStr">
        <is>
          <t>抖音</t>
        </is>
      </c>
      <c r="D1343" t="inlineStr"/>
      <c r="E1343" t="inlineStr"/>
      <c r="F1343" t="inlineStr">
        <is>
          <t>https://v.douyin.com/Z38PYs-QQVY/</t>
        </is>
      </c>
      <c r="G1343" t="inlineStr">
        <is>
          <t>0001A1</t>
        </is>
      </c>
      <c r="H1343" t="inlineStr">
        <is>
          <t>穿搭</t>
        </is>
      </c>
      <c r="I1343" t="n">
        <v>150</v>
      </c>
      <c r="J1343" t="n">
        <v>0</v>
      </c>
      <c r="K1343" t="n">
        <v>107.5</v>
      </c>
      <c r="L1343" t="n">
        <v>11000</v>
      </c>
      <c r="M1343" t="n">
        <v>642</v>
      </c>
      <c r="N1343" t="n">
        <v>28</v>
      </c>
      <c r="O1343" t="n">
        <v>30</v>
      </c>
    </row>
    <row r="1344" ht="27" customHeight="1">
      <c r="A1344" s="18" t="n">
        <v>46121</v>
      </c>
      <c r="B1344" t="inlineStr">
        <is>
          <t>15周</t>
        </is>
      </c>
      <c r="C1344" t="inlineStr">
        <is>
          <t>小红书</t>
        </is>
      </c>
      <c r="D1344" t="inlineStr"/>
      <c r="E1344" t="inlineStr"/>
      <c r="F1344" t="inlineStr">
        <is>
          <t>https://www.xiaohongshu.com/discovery/item/69d7418f000000001f007f49?xsec_token=CBLUEsI62s1hPS4di_XvDkFb4gssSGcTXBgr9UeJwHSCk=&amp;xsec_source=app_share&amp;type=video</t>
        </is>
      </c>
      <c r="G1344" t="inlineStr">
        <is>
          <t>0002A1</t>
        </is>
      </c>
      <c r="H1344" t="inlineStr">
        <is>
          <t>口播</t>
        </is>
      </c>
      <c r="I1344" t="n">
        <v>0</v>
      </c>
      <c r="J1344" t="n">
        <v>0</v>
      </c>
      <c r="K1344" t="n">
        <v>110.5</v>
      </c>
      <c r="L1344" t="n">
        <v>6331</v>
      </c>
      <c r="M1344" t="n">
        <v>256</v>
      </c>
      <c r="N1344" t="n">
        <v>138</v>
      </c>
      <c r="O1344" t="n">
        <v>78</v>
      </c>
    </row>
    <row r="1345" ht="27" customHeight="1">
      <c r="A1345" s="18" t="n">
        <v>46121</v>
      </c>
      <c r="B1345" t="inlineStr">
        <is>
          <t>15周</t>
        </is>
      </c>
      <c r="C1345" t="inlineStr">
        <is>
          <t>小红书</t>
        </is>
      </c>
      <c r="D1345" t="inlineStr"/>
      <c r="E1345" t="inlineStr"/>
      <c r="F1345" t="inlineStr">
        <is>
          <t>https://www.xiaohongshu.com/discovery/item/69d76ee60000000023021d45?xsec_token=CBLUEsI62s1hPS4di_XvDkFXHE7hNumoGk7V1Kk_Xqjb0=&amp;xsec_source=app_share&amp;type=video</t>
        </is>
      </c>
      <c r="G1345" t="inlineStr">
        <is>
          <t>495</t>
        </is>
      </c>
      <c r="H1345" t="inlineStr">
        <is>
          <t>穿搭</t>
        </is>
      </c>
      <c r="I1345" t="n">
        <v>0</v>
      </c>
      <c r="J1345" t="n">
        <v>0</v>
      </c>
      <c r="K1345" t="n">
        <v>93</v>
      </c>
      <c r="L1345" t="n">
        <v>63165</v>
      </c>
      <c r="M1345" t="n">
        <v>3958</v>
      </c>
      <c r="N1345" t="n">
        <v>1860</v>
      </c>
      <c r="O1345" t="n">
        <v>91</v>
      </c>
    </row>
    <row r="1346" ht="27" customHeight="1">
      <c r="A1346" s="18" t="n">
        <v>46122</v>
      </c>
      <c r="B1346" t="inlineStr">
        <is>
          <t>15周</t>
        </is>
      </c>
      <c r="C1346" t="inlineStr">
        <is>
          <t>抖音</t>
        </is>
      </c>
      <c r="D1346" t="inlineStr"/>
      <c r="E1346" t="inlineStr"/>
      <c r="F1346" t="inlineStr">
        <is>
          <t>https://v.douyin.com/LXZos_uuo-o/</t>
        </is>
      </c>
      <c r="G1346" t="inlineStr">
        <is>
          <t>495</t>
        </is>
      </c>
      <c r="H1346" t="inlineStr">
        <is>
          <t>穿搭</t>
        </is>
      </c>
      <c r="I1346" t="n">
        <v>0</v>
      </c>
      <c r="J1346" t="n">
        <v>0</v>
      </c>
      <c r="K1346" t="n">
        <v>93</v>
      </c>
      <c r="L1346" t="n">
        <v>12000</v>
      </c>
      <c r="M1346" t="n">
        <v>464</v>
      </c>
      <c r="N1346" t="n">
        <v>31</v>
      </c>
      <c r="O1346" t="n">
        <v>11</v>
      </c>
    </row>
    <row r="1347" ht="27" customHeight="1">
      <c r="A1347" s="18" t="n">
        <v>46122</v>
      </c>
      <c r="B1347" t="inlineStr">
        <is>
          <t>15周</t>
        </is>
      </c>
      <c r="C1347" t="inlineStr">
        <is>
          <t>抖音</t>
        </is>
      </c>
      <c r="D1347" t="inlineStr"/>
      <c r="E1347" t="inlineStr"/>
      <c r="F1347" t="inlineStr">
        <is>
          <t>https://v.douyin.com/FRmwHyOsUAw/</t>
        </is>
      </c>
      <c r="G1347" t="inlineStr">
        <is>
          <t>0002A1</t>
        </is>
      </c>
      <c r="H1347" t="inlineStr">
        <is>
          <t>穿搭</t>
        </is>
      </c>
      <c r="I1347" t="n">
        <v>0</v>
      </c>
      <c r="J1347" t="n">
        <v>0</v>
      </c>
      <c r="K1347" t="n">
        <v>110.5</v>
      </c>
      <c r="L1347" t="n">
        <v>1500</v>
      </c>
      <c r="M1347" t="n">
        <v>164</v>
      </c>
      <c r="N1347" t="n">
        <v>4</v>
      </c>
      <c r="O1347" t="n">
        <v>14</v>
      </c>
    </row>
    <row r="1348" ht="27" customHeight="1">
      <c r="A1348" s="18" t="n">
        <v>46122</v>
      </c>
      <c r="B1348" t="inlineStr">
        <is>
          <t>15周</t>
        </is>
      </c>
      <c r="C1348" t="inlineStr">
        <is>
          <t>抖音</t>
        </is>
      </c>
      <c r="D1348" t="inlineStr"/>
      <c r="E1348" t="inlineStr"/>
      <c r="F1348" t="inlineStr">
        <is>
          <t>https://v.douyin.com/n7SqWlNkCy0/</t>
        </is>
      </c>
      <c r="G1348" t="inlineStr">
        <is>
          <t>495</t>
        </is>
      </c>
      <c r="H1348" t="inlineStr">
        <is>
          <t>口播</t>
        </is>
      </c>
      <c r="I1348" t="n">
        <v>600</v>
      </c>
      <c r="J1348" t="n">
        <v>0</v>
      </c>
      <c r="K1348" t="n">
        <v>93</v>
      </c>
      <c r="L1348" t="n">
        <v>32000</v>
      </c>
      <c r="M1348" t="n">
        <v>339</v>
      </c>
      <c r="N1348" t="n">
        <v>5</v>
      </c>
      <c r="O1348" t="n">
        <v>83</v>
      </c>
    </row>
    <row r="1349" ht="27" customHeight="1">
      <c r="A1349" s="18" t="n">
        <v>46122</v>
      </c>
      <c r="B1349" t="inlineStr">
        <is>
          <t>15周</t>
        </is>
      </c>
      <c r="C1349" t="inlineStr">
        <is>
          <t>抖音</t>
        </is>
      </c>
      <c r="D1349" t="inlineStr"/>
      <c r="E1349" t="inlineStr"/>
      <c r="F1349" t="inlineStr">
        <is>
          <t>https://v.douyin.com/QqobG8ZlchQ/</t>
        </is>
      </c>
      <c r="G1349" t="inlineStr">
        <is>
          <t>0002A1</t>
        </is>
      </c>
      <c r="H1349" t="inlineStr">
        <is>
          <t>穿搭</t>
        </is>
      </c>
      <c r="I1349" t="n">
        <v>0</v>
      </c>
      <c r="J1349" t="n">
        <v>0</v>
      </c>
      <c r="K1349" t="n">
        <v>110.5</v>
      </c>
      <c r="L1349" t="n">
        <v>12000</v>
      </c>
      <c r="M1349" t="n">
        <v>1047</v>
      </c>
      <c r="N1349" t="n">
        <v>42</v>
      </c>
      <c r="O1349" t="n">
        <v>74</v>
      </c>
    </row>
    <row r="1350">
      <c r="A1350" s="18" t="n">
        <v>46122</v>
      </c>
      <c r="B1350" t="inlineStr">
        <is>
          <t>15周</t>
        </is>
      </c>
      <c r="C1350" t="inlineStr">
        <is>
          <t>抖音</t>
        </is>
      </c>
      <c r="D1350" t="inlineStr"/>
      <c r="E1350" t="inlineStr"/>
      <c r="F1350" t="inlineStr">
        <is>
          <t>https://v.douyin.com/EBFW-cGXYUU/</t>
        </is>
      </c>
      <c r="G1350" t="inlineStr">
        <is>
          <t>0002A1</t>
        </is>
      </c>
      <c r="H1350" t="inlineStr">
        <is>
          <t>穿搭</t>
        </is>
      </c>
      <c r="I1350" t="n">
        <v>0</v>
      </c>
      <c r="J1350" t="n">
        <v>0</v>
      </c>
      <c r="K1350" t="n">
        <v>110.5</v>
      </c>
      <c r="L1350" t="n">
        <v>31000</v>
      </c>
      <c r="M1350" t="n">
        <v>2370</v>
      </c>
      <c r="N1350" t="n">
        <v>900</v>
      </c>
      <c r="O1350" t="n">
        <v>25</v>
      </c>
    </row>
    <row r="1351" ht="81" customHeight="1">
      <c r="A1351" s="18" t="n">
        <v>46122</v>
      </c>
      <c r="B1351" t="inlineStr">
        <is>
          <t>15周</t>
        </is>
      </c>
      <c r="C1351" t="inlineStr">
        <is>
          <t>抖音</t>
        </is>
      </c>
      <c r="D1351" t="inlineStr"/>
      <c r="E1351" t="inlineStr"/>
      <c r="F1351" t="inlineStr">
        <is>
          <t>https://v.douyin.com/o_6UD1py9KU/</t>
        </is>
      </c>
      <c r="G1351" t="inlineStr">
        <is>
          <t>0001A1</t>
        </is>
      </c>
      <c r="H1351" t="inlineStr">
        <is>
          <t>穿搭</t>
        </is>
      </c>
      <c r="I1351" t="n">
        <v>80</v>
      </c>
      <c r="J1351" t="n">
        <v>0</v>
      </c>
      <c r="K1351" t="n">
        <v>107.5</v>
      </c>
      <c r="L1351" t="n">
        <v>7000</v>
      </c>
      <c r="M1351" t="n">
        <v>1995</v>
      </c>
      <c r="N1351" t="n">
        <v>51</v>
      </c>
      <c r="O1351" t="n">
        <v>31</v>
      </c>
    </row>
    <row r="1352" ht="94.5" customHeight="1">
      <c r="A1352" s="18" t="n">
        <v>46122</v>
      </c>
      <c r="B1352" t="inlineStr">
        <is>
          <t>15周</t>
        </is>
      </c>
      <c r="C1352" t="inlineStr">
        <is>
          <t>小红书</t>
        </is>
      </c>
      <c r="D1352" t="inlineStr"/>
      <c r="E1352" t="inlineStr"/>
      <c r="F1352" t="inlineStr">
        <is>
          <t>https://www.xiaohongshu.com/discovery/item/69d8807100000000230272fb?xsec_token=CB1BEBvzCSBxkSvIl6oXRxScGoEWAreEtN2nmsfNlgIZs=&amp;xsec_source=app_share</t>
        </is>
      </c>
      <c r="G1352" t="inlineStr">
        <is>
          <t>0001A1</t>
        </is>
      </c>
      <c r="H1352" t="inlineStr">
        <is>
          <t>穿搭</t>
        </is>
      </c>
      <c r="I1352" t="n">
        <v>0</v>
      </c>
      <c r="J1352" t="n">
        <v>0</v>
      </c>
      <c r="K1352" t="n">
        <v>107.5</v>
      </c>
      <c r="L1352" t="n">
        <v>6001</v>
      </c>
      <c r="M1352" t="n">
        <v>1242</v>
      </c>
      <c r="N1352" t="n">
        <v>74</v>
      </c>
      <c r="O1352" t="n">
        <v>21</v>
      </c>
    </row>
    <row r="1353" ht="81" customHeight="1">
      <c r="A1353" s="18" t="n">
        <v>46122</v>
      </c>
      <c r="B1353" t="inlineStr">
        <is>
          <t>15周</t>
        </is>
      </c>
      <c r="C1353" t="inlineStr">
        <is>
          <t>小红书</t>
        </is>
      </c>
      <c r="D1353" t="inlineStr"/>
      <c r="E1353" t="inlineStr"/>
      <c r="F1353" t="inlineStr">
        <is>
          <t>https://www.xiaohongshu.com/discovery/item/69d4823c000000001a02452c?xsec_token=CBAgpAhM1oYPEzrnt7cIIkB5QoRVOE5h99J7drQ6EEcSs=&amp;xsec_source=app_share&amp;type=video</t>
        </is>
      </c>
      <c r="G1353" t="inlineStr">
        <is>
          <t>0002A1</t>
        </is>
      </c>
      <c r="H1353" t="inlineStr">
        <is>
          <t>穿搭</t>
        </is>
      </c>
      <c r="I1353" t="n">
        <v>0</v>
      </c>
      <c r="J1353" t="n">
        <v>0</v>
      </c>
      <c r="K1353" t="n">
        <v>110.5</v>
      </c>
      <c r="L1353" t="n">
        <v>1533</v>
      </c>
      <c r="M1353" t="n">
        <v>232</v>
      </c>
      <c r="N1353" t="n">
        <v>115</v>
      </c>
      <c r="O1353" t="n">
        <v>1</v>
      </c>
    </row>
    <row r="1354" ht="81" customHeight="1">
      <c r="A1354" s="18" t="n">
        <v>46122</v>
      </c>
      <c r="B1354" t="inlineStr">
        <is>
          <t>15周</t>
        </is>
      </c>
      <c r="C1354" t="inlineStr">
        <is>
          <t>小红书</t>
        </is>
      </c>
      <c r="D1354" t="inlineStr"/>
      <c r="E1354" t="inlineStr"/>
      <c r="F1354" t="inlineStr">
        <is>
          <t>https://www.xiaohongshu.com/discovery/item/69d885f600000000230066c0?xsec_token=CB1BEBvzCSBxkSvIl6oXRxSUZLP2lsQvR_5xbWYZaftTk=&amp;xsec_source=app_share&amp;type=video</t>
        </is>
      </c>
      <c r="G1354" t="inlineStr">
        <is>
          <t>0001A1</t>
        </is>
      </c>
      <c r="H1354" t="inlineStr">
        <is>
          <t>购物开箱</t>
        </is>
      </c>
      <c r="I1354" t="n">
        <v>50</v>
      </c>
      <c r="J1354" t="n">
        <v>0</v>
      </c>
      <c r="K1354" t="n">
        <v>107.5</v>
      </c>
      <c r="L1354" t="n">
        <v>6667</v>
      </c>
      <c r="M1354" t="n">
        <v>504</v>
      </c>
      <c r="N1354" t="n">
        <v>148</v>
      </c>
      <c r="O1354" t="n">
        <v>28</v>
      </c>
    </row>
    <row r="1355" ht="81" customHeight="1">
      <c r="A1355" s="18" t="n">
        <v>46122</v>
      </c>
      <c r="B1355" t="inlineStr">
        <is>
          <t>15周</t>
        </is>
      </c>
      <c r="C1355" t="inlineStr">
        <is>
          <t>小红书</t>
        </is>
      </c>
      <c r="D1355" t="inlineStr"/>
      <c r="E1355" t="inlineStr"/>
      <c r="F1355" t="inlineStr">
        <is>
          <t>https://www.xiaohongshu.com/discovery/item/69d8e87f0000000021006f37?xsec_token=CB1BEBvzCSBxkSvIl6oXRxSdvggLyCnIKa3zJn7dbU1Dk=&amp;xsec_source=app_share&amp;type=video</t>
        </is>
      </c>
      <c r="G1355" t="inlineStr">
        <is>
          <t>0001A1</t>
        </is>
      </c>
      <c r="H1355" t="inlineStr">
        <is>
          <t>口播</t>
        </is>
      </c>
      <c r="I1355" t="n">
        <v>400</v>
      </c>
      <c r="J1355" t="n">
        <v>0</v>
      </c>
      <c r="K1355" t="n">
        <v>107.5</v>
      </c>
      <c r="L1355" t="n">
        <v>5114</v>
      </c>
      <c r="M1355" t="n">
        <v>373</v>
      </c>
      <c r="N1355" t="n">
        <v>93</v>
      </c>
      <c r="O1355" t="n">
        <v>16</v>
      </c>
    </row>
    <row r="1356" ht="81" customHeight="1">
      <c r="A1356" s="18" t="n">
        <v>46123</v>
      </c>
      <c r="B1356" t="inlineStr">
        <is>
          <t>15周</t>
        </is>
      </c>
      <c r="C1356" t="inlineStr">
        <is>
          <t>抖音</t>
        </is>
      </c>
      <c r="D1356" t="inlineStr"/>
      <c r="E1356" t="inlineStr"/>
      <c r="F1356" t="inlineStr">
        <is>
          <t>https://v.douyin.com/Z5J8tnAnQNc/</t>
        </is>
      </c>
      <c r="G1356" t="inlineStr">
        <is>
          <t>0002A1</t>
        </is>
      </c>
      <c r="H1356" t="inlineStr">
        <is>
          <t>穿搭</t>
        </is>
      </c>
      <c r="I1356" t="n">
        <v>100</v>
      </c>
      <c r="J1356" t="n">
        <v>0</v>
      </c>
      <c r="K1356" t="n">
        <v>110.5</v>
      </c>
      <c r="L1356" t="n">
        <v>9500</v>
      </c>
      <c r="M1356" t="n">
        <v>904</v>
      </c>
      <c r="N1356" t="n">
        <v>29</v>
      </c>
      <c r="O1356" t="n">
        <v>14</v>
      </c>
    </row>
    <row r="1357" ht="27" customHeight="1">
      <c r="A1357" s="18" t="n">
        <v>46123</v>
      </c>
      <c r="B1357" t="inlineStr">
        <is>
          <t>15周</t>
        </is>
      </c>
      <c r="C1357" t="inlineStr">
        <is>
          <t>抖音</t>
        </is>
      </c>
      <c r="D1357" t="inlineStr"/>
      <c r="E1357" t="inlineStr"/>
      <c r="F1357" t="inlineStr">
        <is>
          <t>https://v.douyin.com/4Kb4W_uMfa4/</t>
        </is>
      </c>
      <c r="G1357" t="inlineStr">
        <is>
          <t>495</t>
        </is>
      </c>
      <c r="H1357" t="inlineStr">
        <is>
          <t>穿搭</t>
        </is>
      </c>
      <c r="I1357" t="n">
        <v>70</v>
      </c>
      <c r="J1357" t="n">
        <v>0</v>
      </c>
      <c r="K1357" t="n">
        <v>93</v>
      </c>
      <c r="L1357" t="n">
        <v>11000</v>
      </c>
      <c r="M1357" t="n">
        <v>743</v>
      </c>
      <c r="N1357" t="n">
        <v>67</v>
      </c>
      <c r="O1357" t="n">
        <v>22</v>
      </c>
    </row>
    <row r="1358" ht="27" customHeight="1">
      <c r="A1358" s="18" t="n">
        <v>46123</v>
      </c>
      <c r="B1358" t="inlineStr">
        <is>
          <t>15周</t>
        </is>
      </c>
      <c r="C1358" t="inlineStr">
        <is>
          <t>抖音</t>
        </is>
      </c>
      <c r="D1358" t="inlineStr"/>
      <c r="E1358" t="inlineStr"/>
      <c r="F1358" t="inlineStr">
        <is>
          <t>https://v.douyin.com/yNpYv7qmp9E/</t>
        </is>
      </c>
      <c r="G1358" t="inlineStr">
        <is>
          <t>0002A1</t>
        </is>
      </c>
      <c r="H1358" t="inlineStr">
        <is>
          <t>跳舞</t>
        </is>
      </c>
      <c r="I1358" t="n">
        <v>0</v>
      </c>
      <c r="J1358" t="n">
        <v>0</v>
      </c>
      <c r="K1358" t="n">
        <v>110.5</v>
      </c>
      <c r="L1358" t="n">
        <v>35000</v>
      </c>
      <c r="M1358" t="n">
        <v>2115</v>
      </c>
      <c r="N1358" t="n">
        <v>37</v>
      </c>
      <c r="O1358" t="n">
        <v>56</v>
      </c>
    </row>
    <row r="1359" ht="27" customHeight="1">
      <c r="A1359" s="18" t="n">
        <v>46123</v>
      </c>
      <c r="B1359" t="inlineStr">
        <is>
          <t>15周</t>
        </is>
      </c>
      <c r="C1359" t="inlineStr">
        <is>
          <t>小红书</t>
        </is>
      </c>
      <c r="D1359" t="inlineStr"/>
      <c r="E1359" t="inlineStr"/>
      <c r="F1359" t="inlineStr">
        <is>
          <t>https://www.xiaohongshu.com/discovery/item/69d9ca3d000000001d01c484?xsec_token=CB30oXCaQyLghVlIV_pah8BGkYeipkbYqx9rV8NCDMQ00=&amp;xsec_source=app_share</t>
        </is>
      </c>
      <c r="G1359" t="inlineStr">
        <is>
          <t>489</t>
        </is>
      </c>
      <c r="H1359" t="inlineStr">
        <is>
          <t>马嘉祺</t>
        </is>
      </c>
      <c r="I1359" t="n">
        <v>0</v>
      </c>
      <c r="J1359" t="n">
        <v>0</v>
      </c>
      <c r="K1359" t="n">
        <v>53.5</v>
      </c>
      <c r="L1359" t="n">
        <v>4109</v>
      </c>
      <c r="M1359" t="n">
        <v>310</v>
      </c>
      <c r="N1359" t="n">
        <v>41</v>
      </c>
      <c r="O1359" t="n">
        <v>6</v>
      </c>
    </row>
    <row r="1360" ht="94.5" customHeight="1">
      <c r="A1360" s="18" t="n">
        <v>46124</v>
      </c>
      <c r="B1360" t="inlineStr">
        <is>
          <t>15周</t>
        </is>
      </c>
      <c r="C1360" t="inlineStr">
        <is>
          <t>抖音</t>
        </is>
      </c>
      <c r="D1360" t="inlineStr"/>
      <c r="E1360" t="inlineStr"/>
      <c r="F1360" t="inlineStr">
        <is>
          <t>https://v.douyin.com/f5V5ILU0g04/</t>
        </is>
      </c>
      <c r="G1360" t="inlineStr">
        <is>
          <t>495</t>
        </is>
      </c>
      <c r="H1360" t="inlineStr">
        <is>
          <t>拍照姿势</t>
        </is>
      </c>
      <c r="I1360" t="n">
        <v>200</v>
      </c>
      <c r="J1360" t="n">
        <v>0</v>
      </c>
      <c r="K1360" t="n">
        <v>93</v>
      </c>
      <c r="L1360" t="n">
        <v>4063000</v>
      </c>
      <c r="M1360" t="n">
        <v>105000</v>
      </c>
      <c r="N1360" t="n">
        <v>114000</v>
      </c>
      <c r="O1360" t="n">
        <v>933</v>
      </c>
    </row>
    <row r="1361" ht="27" customHeight="1">
      <c r="A1361" s="18" t="n">
        <v>46124</v>
      </c>
      <c r="B1361" t="inlineStr">
        <is>
          <t>15周</t>
        </is>
      </c>
      <c r="C1361" t="inlineStr">
        <is>
          <t>抖音</t>
        </is>
      </c>
      <c r="D1361" t="inlineStr"/>
      <c r="E1361" t="inlineStr"/>
      <c r="F1361" t="inlineStr">
        <is>
          <t>https://v.douyin.com/ux2ZerB7HcA/</t>
        </is>
      </c>
      <c r="G1361" t="inlineStr">
        <is>
          <t>495</t>
        </is>
      </c>
      <c r="H1361" t="inlineStr">
        <is>
          <t>穿搭</t>
        </is>
      </c>
      <c r="I1361" t="n">
        <v>0</v>
      </c>
      <c r="J1361" t="n">
        <v>0</v>
      </c>
      <c r="K1361" t="n">
        <v>93</v>
      </c>
      <c r="L1361" t="n">
        <v>10000</v>
      </c>
      <c r="M1361" t="n">
        <v>514</v>
      </c>
      <c r="N1361" t="n">
        <v>32</v>
      </c>
      <c r="O1361" t="n">
        <v>10</v>
      </c>
    </row>
    <row r="1362" ht="27" customHeight="1">
      <c r="A1362" s="18" t="n">
        <v>46124</v>
      </c>
      <c r="B1362" t="inlineStr">
        <is>
          <t>15周</t>
        </is>
      </c>
      <c r="C1362" t="inlineStr">
        <is>
          <t>抖音</t>
        </is>
      </c>
      <c r="D1362" t="inlineStr"/>
      <c r="E1362" t="inlineStr"/>
      <c r="F1362" t="inlineStr">
        <is>
          <t>https://v.douyin.com/ec685iwwMYI/</t>
        </is>
      </c>
      <c r="G1362" t="inlineStr">
        <is>
          <t>0001A1</t>
        </is>
      </c>
      <c r="H1362" t="inlineStr">
        <is>
          <t>穿搭</t>
        </is>
      </c>
      <c r="I1362" t="n">
        <v>100</v>
      </c>
      <c r="J1362" t="n">
        <v>0</v>
      </c>
      <c r="K1362" t="n">
        <v>107.5</v>
      </c>
      <c r="L1362" t="n">
        <v>9669</v>
      </c>
      <c r="M1362" t="n">
        <v>618</v>
      </c>
      <c r="N1362" t="n">
        <v>54</v>
      </c>
      <c r="O1362" t="n">
        <v>8</v>
      </c>
    </row>
    <row r="1363" ht="27" customHeight="1">
      <c r="A1363" s="18" t="n">
        <v>46124</v>
      </c>
      <c r="B1363" t="inlineStr">
        <is>
          <t>15周</t>
        </is>
      </c>
      <c r="C1363" t="inlineStr">
        <is>
          <t>抖音</t>
        </is>
      </c>
      <c r="D1363" t="inlineStr"/>
      <c r="E1363" t="inlineStr"/>
      <c r="F1363" t="inlineStr">
        <is>
          <t>https://v.douyin.com/CjSW3S0xVPE/</t>
        </is>
      </c>
      <c r="G1363" t="inlineStr">
        <is>
          <t>489</t>
        </is>
      </c>
      <c r="H1363" t="inlineStr">
        <is>
          <t>马嘉祺</t>
        </is>
      </c>
      <c r="I1363" t="n">
        <v>0</v>
      </c>
      <c r="J1363" t="n">
        <v>0</v>
      </c>
      <c r="K1363" t="n">
        <v>53.5</v>
      </c>
      <c r="L1363" t="n">
        <v>13000</v>
      </c>
      <c r="M1363" t="n">
        <v>1235</v>
      </c>
      <c r="N1363" t="n">
        <v>52</v>
      </c>
      <c r="O1363" t="n">
        <v>159</v>
      </c>
    </row>
    <row r="1364" ht="27" customHeight="1">
      <c r="A1364" s="18" t="n">
        <v>46124</v>
      </c>
      <c r="B1364" t="inlineStr">
        <is>
          <t>15周</t>
        </is>
      </c>
      <c r="C1364" t="inlineStr">
        <is>
          <t>抖音</t>
        </is>
      </c>
      <c r="D1364" t="inlineStr"/>
      <c r="E1364" t="inlineStr"/>
      <c r="F1364" t="inlineStr">
        <is>
          <t>https://www.douyin.com/user/self?from_tab_name=main&amp;modal_id=7626687418175303145&amp;showTab=like</t>
        </is>
      </c>
      <c r="G1364" t="inlineStr">
        <is>
          <t>495</t>
        </is>
      </c>
      <c r="H1364" t="inlineStr">
        <is>
          <t>穿搭</t>
        </is>
      </c>
      <c r="I1364" t="n">
        <v>0</v>
      </c>
      <c r="J1364" t="n">
        <v>0</v>
      </c>
      <c r="K1364" t="n">
        <v>93</v>
      </c>
      <c r="L1364" t="n">
        <v>17000</v>
      </c>
      <c r="M1364" t="n">
        <v>512</v>
      </c>
      <c r="N1364" t="n">
        <v>268</v>
      </c>
      <c r="O1364" t="n">
        <v>14</v>
      </c>
    </row>
    <row r="1365" ht="81" customHeight="1">
      <c r="A1365" s="18" t="n">
        <v>46124</v>
      </c>
      <c r="B1365" t="inlineStr">
        <is>
          <t>15周</t>
        </is>
      </c>
      <c r="C1365" t="inlineStr">
        <is>
          <t>小红书</t>
        </is>
      </c>
      <c r="D1365" t="inlineStr"/>
      <c r="E1365" t="inlineStr"/>
      <c r="F1365" t="inlineStr">
        <is>
          <t>https://www.xiaohongshu.com/discovery/item/69db6aa3000000001e00fa2a?xsec_token=CBtcaDABCelz6AwaGLJZWE5oB6T0FRGcZFWCOmTn2-a0w=&amp;xsec_source=app_share&amp;type=video</t>
        </is>
      </c>
      <c r="G1365" t="inlineStr">
        <is>
          <t>495</t>
        </is>
      </c>
      <c r="H1365" t="inlineStr">
        <is>
          <t>穿搭</t>
        </is>
      </c>
      <c r="I1365" t="n">
        <v>0</v>
      </c>
      <c r="J1365" t="n">
        <v>0</v>
      </c>
      <c r="K1365" t="n">
        <v>93</v>
      </c>
      <c r="L1365" t="n">
        <v>589901</v>
      </c>
      <c r="M1365" t="n">
        <v>21521</v>
      </c>
      <c r="N1365" t="n">
        <v>32243</v>
      </c>
      <c r="O1365" t="n">
        <v>92</v>
      </c>
    </row>
    <row r="1366" ht="81" customHeight="1">
      <c r="A1366" s="18" t="n">
        <v>46125</v>
      </c>
      <c r="B1366" t="inlineStr">
        <is>
          <t>16周</t>
        </is>
      </c>
      <c r="C1366" t="inlineStr">
        <is>
          <t>抖音</t>
        </is>
      </c>
      <c r="D1366" t="inlineStr"/>
      <c r="E1366" t="inlineStr"/>
      <c r="F1366" t="inlineStr">
        <is>
          <t>https://v.douyin.com/Gcqh0YUuJ44</t>
        </is>
      </c>
      <c r="G1366" t="inlineStr">
        <is>
          <t>0002A1</t>
        </is>
      </c>
      <c r="H1366" t="inlineStr">
        <is>
          <t>穿搭</t>
        </is>
      </c>
      <c r="I1366" t="n">
        <v>0</v>
      </c>
      <c r="J1366" t="n">
        <v>0</v>
      </c>
      <c r="K1366" t="n">
        <v>110.5</v>
      </c>
      <c r="L1366" t="n">
        <v>13000</v>
      </c>
      <c r="M1366" t="n">
        <v>714</v>
      </c>
      <c r="N1366" t="n">
        <v>42</v>
      </c>
      <c r="O1366" t="n">
        <v>80</v>
      </c>
    </row>
    <row r="1367" ht="81" customHeight="1">
      <c r="A1367" s="18" t="n">
        <v>46125</v>
      </c>
      <c r="B1367" t="inlineStr">
        <is>
          <t>16周</t>
        </is>
      </c>
      <c r="C1367" t="inlineStr">
        <is>
          <t>抖音</t>
        </is>
      </c>
      <c r="D1367" t="inlineStr"/>
      <c r="E1367" t="inlineStr"/>
      <c r="F1367" t="inlineStr">
        <is>
          <t>https://v.douyin.com/kUu9cFwNydI/</t>
        </is>
      </c>
      <c r="G1367" t="inlineStr">
        <is>
          <t>489</t>
        </is>
      </c>
      <c r="H1367" t="inlineStr">
        <is>
          <t>马嘉祺</t>
        </is>
      </c>
      <c r="I1367" t="n">
        <v>0</v>
      </c>
      <c r="J1367" t="n">
        <v>0</v>
      </c>
      <c r="K1367" t="n">
        <v>53.5</v>
      </c>
      <c r="L1367" t="n">
        <v>12000</v>
      </c>
      <c r="M1367" t="n">
        <v>1302</v>
      </c>
      <c r="N1367" t="n">
        <v>111</v>
      </c>
      <c r="O1367" t="n">
        <v>60</v>
      </c>
    </row>
    <row r="1368" ht="27" customHeight="1">
      <c r="A1368" s="18" t="n">
        <v>46125</v>
      </c>
      <c r="B1368" t="inlineStr">
        <is>
          <t>16周</t>
        </is>
      </c>
      <c r="C1368" t="inlineStr">
        <is>
          <t>抖音</t>
        </is>
      </c>
      <c r="D1368" t="inlineStr"/>
      <c r="E1368" t="inlineStr"/>
      <c r="F1368" t="inlineStr">
        <is>
          <t>https://v.douyin.com/KKY7JMefGNg/</t>
        </is>
      </c>
      <c r="G1368" t="inlineStr">
        <is>
          <t>0001A1</t>
        </is>
      </c>
      <c r="H1368" t="inlineStr">
        <is>
          <t>穿搭</t>
        </is>
      </c>
      <c r="I1368" t="n">
        <v>200</v>
      </c>
      <c r="J1368" t="n">
        <v>0</v>
      </c>
      <c r="K1368" t="n">
        <v>107.5</v>
      </c>
      <c r="L1368" t="n">
        <v>21000</v>
      </c>
      <c r="M1368" t="n">
        <v>934</v>
      </c>
      <c r="N1368" t="n">
        <v>28</v>
      </c>
      <c r="O1368" t="n">
        <v>74</v>
      </c>
    </row>
    <row r="1369" ht="27" customHeight="1">
      <c r="A1369" s="18" t="n">
        <v>46125</v>
      </c>
      <c r="B1369" t="inlineStr">
        <is>
          <t>16周</t>
        </is>
      </c>
      <c r="C1369" t="inlineStr">
        <is>
          <t>抖音</t>
        </is>
      </c>
      <c r="D1369" t="inlineStr"/>
      <c r="E1369" t="inlineStr"/>
      <c r="F1369" t="inlineStr">
        <is>
          <t>https://v.douyin.com/BZnadeAClpw/</t>
        </is>
      </c>
      <c r="G1369" t="inlineStr">
        <is>
          <t>0001A1</t>
        </is>
      </c>
      <c r="H1369" t="inlineStr">
        <is>
          <t>跳舞</t>
        </is>
      </c>
      <c r="I1369" t="n">
        <v>200</v>
      </c>
      <c r="J1369" t="n">
        <v>0</v>
      </c>
      <c r="K1369" t="n">
        <v>107.5</v>
      </c>
      <c r="L1369" t="n">
        <v>495000</v>
      </c>
      <c r="M1369" t="n">
        <v>13000</v>
      </c>
      <c r="N1369" t="n">
        <v>1156</v>
      </c>
      <c r="O1369" t="n">
        <v>101</v>
      </c>
    </row>
    <row r="1370" ht="27" customHeight="1">
      <c r="A1370" s="18" t="n">
        <v>46125</v>
      </c>
      <c r="B1370" t="inlineStr">
        <is>
          <t>16周</t>
        </is>
      </c>
      <c r="C1370" t="inlineStr">
        <is>
          <t>抖音</t>
        </is>
      </c>
      <c r="D1370" t="inlineStr"/>
      <c r="E1370" t="inlineStr"/>
      <c r="F1370" t="inlineStr">
        <is>
          <t>https://v.douyin.com/V2rnCuM-_Hs/</t>
        </is>
      </c>
      <c r="G1370" t="inlineStr">
        <is>
          <t>0001A1</t>
        </is>
      </c>
      <c r="H1370" t="inlineStr">
        <is>
          <t>口播</t>
        </is>
      </c>
      <c r="I1370" t="n">
        <v>300</v>
      </c>
      <c r="J1370" t="n">
        <v>0</v>
      </c>
      <c r="K1370" t="n">
        <v>107.5</v>
      </c>
      <c r="L1370" t="n">
        <v>40000</v>
      </c>
      <c r="M1370" t="n">
        <v>774</v>
      </c>
      <c r="N1370" t="n">
        <v>320</v>
      </c>
      <c r="O1370" t="n">
        <v>23</v>
      </c>
    </row>
    <row r="1371" ht="81" customHeight="1">
      <c r="A1371" s="18" t="n">
        <v>46125</v>
      </c>
      <c r="B1371" t="inlineStr">
        <is>
          <t>16周</t>
        </is>
      </c>
      <c r="C1371" t="inlineStr">
        <is>
          <t>小红书</t>
        </is>
      </c>
      <c r="D1371" t="inlineStr"/>
      <c r="E1371" t="inlineStr"/>
      <c r="F1371" t="inlineStr">
        <is>
          <t>https://www.xiaohongshu.com/discovery/item/69dcd1b7000000001a03516d?xsec_token=CBF5yngTd3LZgHL8OCEuNmVKV3Dl7OBLI9yevJOCp8WZ8=&amp;xsec_source=app_share&amp;type=video</t>
        </is>
      </c>
      <c r="G1371" t="inlineStr">
        <is>
          <t>0001A1</t>
        </is>
      </c>
      <c r="H1371" t="inlineStr">
        <is>
          <t>口播</t>
        </is>
      </c>
      <c r="I1371" t="n">
        <v>0</v>
      </c>
      <c r="J1371" t="n">
        <v>0</v>
      </c>
      <c r="K1371" t="n">
        <v>107.5</v>
      </c>
      <c r="L1371" t="n">
        <v>3029</v>
      </c>
      <c r="M1371" t="n">
        <v>168</v>
      </c>
      <c r="N1371" t="n">
        <v>69</v>
      </c>
      <c r="O1371" t="n">
        <v>57</v>
      </c>
    </row>
    <row r="1372" ht="81" customHeight="1">
      <c r="A1372" s="18" t="n">
        <v>46125</v>
      </c>
      <c r="B1372" t="inlineStr">
        <is>
          <t>16周</t>
        </is>
      </c>
      <c r="C1372" t="inlineStr">
        <is>
          <t>小红书</t>
        </is>
      </c>
      <c r="D1372" t="inlineStr"/>
      <c r="E1372" t="inlineStr"/>
      <c r="F1372" t="inlineStr">
        <is>
          <t>https://www.xiaohongshu.com/discovery/item/69dcd69f000000001d0191a0?xsec_token=CBF5yngTd3LZgHL8OCEuNmVA4_xIK7_4bxMZFAHojtSqo=&amp;xsec_source=app_share&amp;type=video</t>
        </is>
      </c>
      <c r="G1372" t="inlineStr">
        <is>
          <t>0001A1</t>
        </is>
      </c>
      <c r="H1372" t="inlineStr">
        <is>
          <t>跳舞</t>
        </is>
      </c>
      <c r="I1372" t="n">
        <v>0</v>
      </c>
      <c r="J1372" t="n">
        <v>0</v>
      </c>
      <c r="K1372" t="n">
        <v>107.5</v>
      </c>
      <c r="L1372" t="n">
        <v>13097</v>
      </c>
      <c r="M1372" t="n">
        <v>1034</v>
      </c>
      <c r="N1372" t="n">
        <v>142</v>
      </c>
      <c r="O1372" t="n">
        <v>26</v>
      </c>
    </row>
    <row r="1373" ht="81" customHeight="1">
      <c r="A1373" s="18" t="n">
        <v>46125</v>
      </c>
      <c r="B1373" t="inlineStr">
        <is>
          <t>16周</t>
        </is>
      </c>
      <c r="C1373" t="inlineStr">
        <is>
          <t>小红书</t>
        </is>
      </c>
      <c r="D1373" t="inlineStr"/>
      <c r="E1373" t="inlineStr"/>
      <c r="F1373" t="inlineStr">
        <is>
          <t>https://www.xiaohongshu.com/discovery/item/69dce10f000000001f003407?xsec_token=CBF5yngTd3LZgHL8OCEuNmVDcHJUSMnMjWDh8HkZD7neA=&amp;xsec_source=app_share&amp;type=video</t>
        </is>
      </c>
      <c r="G1373" t="inlineStr">
        <is>
          <t>489</t>
        </is>
      </c>
      <c r="H1373" t="inlineStr">
        <is>
          <t>马嘉祺</t>
        </is>
      </c>
      <c r="I1373" t="n">
        <v>0</v>
      </c>
      <c r="J1373" t="n">
        <v>0</v>
      </c>
      <c r="K1373" t="n">
        <v>53.5</v>
      </c>
      <c r="L1373" t="n">
        <v>7161</v>
      </c>
      <c r="M1373" t="n">
        <v>523</v>
      </c>
      <c r="N1373" t="n">
        <v>79</v>
      </c>
      <c r="O1373" t="n">
        <v>23</v>
      </c>
    </row>
    <row r="1374" ht="81" customHeight="1">
      <c r="A1374" s="18" t="n">
        <v>46126</v>
      </c>
      <c r="B1374" t="inlineStr">
        <is>
          <t>16周</t>
        </is>
      </c>
      <c r="C1374" t="inlineStr">
        <is>
          <t>抖音</t>
        </is>
      </c>
      <c r="D1374" t="inlineStr"/>
      <c r="E1374" t="inlineStr"/>
      <c r="F1374" t="inlineStr">
        <is>
          <t>https://www.douyin.com/user/MS4wLjABAAAAZMCESFLknmmCw_ST4-5yDmpfbU67QB22iCaOD0CAU_76XCg17Zj8YeJlcZYpRKnc?from_tab_name=main</t>
        </is>
      </c>
      <c r="G1374" t="inlineStr">
        <is>
          <t>0002A1</t>
        </is>
      </c>
      <c r="H1374" t="inlineStr">
        <is>
          <t>口播</t>
        </is>
      </c>
      <c r="I1374" t="n">
        <v>300</v>
      </c>
      <c r="J1374" t="n">
        <v>0</v>
      </c>
      <c r="K1374" t="n">
        <v>110.5</v>
      </c>
      <c r="L1374" t="n">
        <v>30000</v>
      </c>
      <c r="M1374" t="n">
        <v>1042</v>
      </c>
      <c r="N1374" t="n">
        <v>549</v>
      </c>
      <c r="O1374" t="n">
        <v>14</v>
      </c>
    </row>
    <row r="1375" ht="81" customHeight="1">
      <c r="A1375" s="18" t="n">
        <v>46126</v>
      </c>
      <c r="B1375" t="inlineStr">
        <is>
          <t>16周</t>
        </is>
      </c>
      <c r="C1375" t="inlineStr">
        <is>
          <t>抖音</t>
        </is>
      </c>
      <c r="D1375" t="inlineStr"/>
      <c r="E1375" t="inlineStr"/>
      <c r="F1375" t="inlineStr">
        <is>
          <t>https://v.douyin.com/eu6YnWcFC8M/</t>
        </is>
      </c>
      <c r="G1375" t="inlineStr">
        <is>
          <t>0001A1</t>
        </is>
      </c>
      <c r="H1375" t="inlineStr">
        <is>
          <t>穿搭</t>
        </is>
      </c>
      <c r="I1375" t="n">
        <v>0</v>
      </c>
      <c r="J1375" t="n">
        <v>0</v>
      </c>
      <c r="K1375" t="n">
        <v>107.5</v>
      </c>
      <c r="L1375" t="n">
        <v>17000</v>
      </c>
      <c r="M1375" t="n">
        <v>1537</v>
      </c>
      <c r="N1375" t="n">
        <v>41</v>
      </c>
      <c r="O1375" t="n">
        <v>52</v>
      </c>
    </row>
    <row r="1376" ht="81" customHeight="1">
      <c r="A1376" s="18" t="n">
        <v>46126</v>
      </c>
      <c r="B1376" t="inlineStr">
        <is>
          <t>16周</t>
        </is>
      </c>
      <c r="C1376" t="inlineStr">
        <is>
          <t>抖音</t>
        </is>
      </c>
      <c r="D1376" t="inlineStr"/>
      <c r="E1376" t="inlineStr"/>
      <c r="F1376" t="inlineStr">
        <is>
          <t>https://v.douyin.com/AZ1AXhcJoFg/</t>
        </is>
      </c>
      <c r="G1376" t="inlineStr">
        <is>
          <t>495</t>
        </is>
      </c>
      <c r="H1376" t="inlineStr">
        <is>
          <t>穿搭</t>
        </is>
      </c>
      <c r="I1376" t="n">
        <v>0</v>
      </c>
      <c r="J1376" t="n">
        <v>0</v>
      </c>
      <c r="K1376" t="n">
        <v>93</v>
      </c>
      <c r="L1376" t="n">
        <v>240000</v>
      </c>
      <c r="M1376" t="n">
        <v>7806</v>
      </c>
      <c r="N1376" t="n">
        <v>2385</v>
      </c>
      <c r="O1376" t="n">
        <v>138</v>
      </c>
    </row>
    <row r="1377" ht="27" customHeight="1">
      <c r="A1377" s="18" t="n">
        <v>46126</v>
      </c>
      <c r="B1377" t="inlineStr">
        <is>
          <t>16周</t>
        </is>
      </c>
      <c r="C1377" t="inlineStr">
        <is>
          <t>抖音</t>
        </is>
      </c>
      <c r="D1377" t="inlineStr"/>
      <c r="E1377" t="inlineStr"/>
      <c r="F1377" t="inlineStr">
        <is>
          <t>https://v.douyin.com/55eh5iTYDyA/</t>
        </is>
      </c>
      <c r="G1377" t="inlineStr">
        <is>
          <t>0002A1</t>
        </is>
      </c>
      <c r="H1377" t="inlineStr">
        <is>
          <t>口播</t>
        </is>
      </c>
      <c r="I1377" t="n">
        <v>700</v>
      </c>
      <c r="J1377" t="n">
        <v>0</v>
      </c>
      <c r="K1377" t="n">
        <v>110.5</v>
      </c>
      <c r="L1377" t="n">
        <v>20000</v>
      </c>
      <c r="M1377" t="n">
        <v>1969</v>
      </c>
      <c r="N1377" t="n">
        <v>190</v>
      </c>
      <c r="O1377" t="n">
        <v>59</v>
      </c>
    </row>
    <row r="1378" ht="27" customHeight="1">
      <c r="A1378" s="18" t="n">
        <v>46126</v>
      </c>
      <c r="B1378" t="inlineStr">
        <is>
          <t>16周</t>
        </is>
      </c>
      <c r="C1378" t="inlineStr">
        <is>
          <t>小红书</t>
        </is>
      </c>
      <c r="D1378" t="inlineStr"/>
      <c r="E1378" t="inlineStr"/>
      <c r="F1378" t="inlineStr">
        <is>
          <t>https://www.xiaohongshu.com/discovery/item/69de4ae3000000002A120288c2?xsec_token=CB7do-u37fD6izl4eA3adnW7uSWbLge8q86JYwhkerQss=&amp;xsec_source=app_share&amp;type=video</t>
        </is>
      </c>
      <c r="G1378" t="inlineStr">
        <is>
          <t>0002A1</t>
        </is>
      </c>
      <c r="H1378" t="inlineStr">
        <is>
          <t>口播</t>
        </is>
      </c>
      <c r="I1378" t="n">
        <v>0</v>
      </c>
      <c r="J1378" t="n">
        <v>0</v>
      </c>
      <c r="K1378" t="n">
        <v>110.5</v>
      </c>
      <c r="L1378" t="n">
        <v>19565</v>
      </c>
      <c r="M1378" t="n">
        <v>1277</v>
      </c>
      <c r="N1378" t="n">
        <v>516</v>
      </c>
      <c r="O1378" t="n">
        <v>43</v>
      </c>
    </row>
    <row r="1379" ht="81" customHeight="1">
      <c r="A1379" s="18" t="n">
        <v>46127</v>
      </c>
      <c r="B1379" t="inlineStr">
        <is>
          <t>16周</t>
        </is>
      </c>
      <c r="C1379" t="inlineStr">
        <is>
          <t>抖音</t>
        </is>
      </c>
      <c r="D1379" t="inlineStr"/>
      <c r="E1379" t="inlineStr"/>
      <c r="F1379" t="inlineStr">
        <is>
          <t>https://v.douyin.com/_4vPef32MFs/</t>
        </is>
      </c>
      <c r="G1379" t="inlineStr">
        <is>
          <t>489</t>
        </is>
      </c>
      <c r="H1379" t="inlineStr">
        <is>
          <t>许嵩</t>
        </is>
      </c>
      <c r="I1379" t="n">
        <v>0</v>
      </c>
      <c r="J1379" t="n">
        <v>0</v>
      </c>
      <c r="K1379" t="n">
        <v>53.5</v>
      </c>
      <c r="L1379" t="n">
        <v>5712</v>
      </c>
      <c r="M1379" t="n">
        <v>146</v>
      </c>
      <c r="N1379" t="n">
        <v>6</v>
      </c>
      <c r="O1379" t="n">
        <v>29</v>
      </c>
    </row>
    <row r="1380" ht="81" customHeight="1">
      <c r="A1380" s="18" t="n">
        <v>46127</v>
      </c>
      <c r="B1380" t="inlineStr">
        <is>
          <t>16周</t>
        </is>
      </c>
      <c r="C1380" t="inlineStr">
        <is>
          <t>抖音</t>
        </is>
      </c>
      <c r="D1380" t="inlineStr"/>
      <c r="E1380" t="inlineStr"/>
      <c r="F1380" t="inlineStr">
        <is>
          <t>https://v.douyin.com/vUEPhdzHD_A/</t>
        </is>
      </c>
      <c r="G1380" t="inlineStr">
        <is>
          <t>489</t>
        </is>
      </c>
      <c r="H1380" t="inlineStr">
        <is>
          <t>应援穿搭</t>
        </is>
      </c>
      <c r="I1380" t="n">
        <v>0</v>
      </c>
      <c r="J1380" t="n">
        <v>0</v>
      </c>
      <c r="K1380" t="n">
        <v>53.5</v>
      </c>
      <c r="L1380" t="n">
        <v>7412</v>
      </c>
      <c r="M1380" t="n">
        <v>143</v>
      </c>
      <c r="N1380" t="n">
        <v>15</v>
      </c>
      <c r="O1380" t="n">
        <v>32</v>
      </c>
    </row>
    <row r="1381" ht="27" customHeight="1">
      <c r="A1381" s="18" t="n">
        <v>46127</v>
      </c>
      <c r="B1381" t="inlineStr">
        <is>
          <t>16周</t>
        </is>
      </c>
      <c r="C1381" t="inlineStr">
        <is>
          <t>抖音</t>
        </is>
      </c>
      <c r="D1381" t="inlineStr"/>
      <c r="E1381" t="inlineStr"/>
      <c r="F1381" t="inlineStr">
        <is>
          <t>https://v.douyin.com/yI8vmQUr82g/</t>
        </is>
      </c>
      <c r="G1381" t="inlineStr">
        <is>
          <t>495</t>
        </is>
      </c>
      <c r="H1381" t="inlineStr">
        <is>
          <t>穿搭</t>
        </is>
      </c>
      <c r="I1381" t="n">
        <v>0</v>
      </c>
      <c r="J1381" t="n">
        <v>0</v>
      </c>
      <c r="K1381" t="n">
        <v>93</v>
      </c>
      <c r="L1381" t="n">
        <v>14000</v>
      </c>
      <c r="M1381" t="n">
        <v>752</v>
      </c>
      <c r="N1381" t="n">
        <v>112</v>
      </c>
      <c r="O1381" t="n">
        <v>39</v>
      </c>
    </row>
    <row r="1382">
      <c r="A1382" s="18" t="n">
        <v>46127</v>
      </c>
      <c r="B1382" t="inlineStr">
        <is>
          <t>16周</t>
        </is>
      </c>
      <c r="C1382" t="inlineStr">
        <is>
          <t>抖音</t>
        </is>
      </c>
      <c r="D1382" t="inlineStr"/>
      <c r="E1382" t="inlineStr"/>
      <c r="F1382" t="inlineStr">
        <is>
          <t>https://v.douyin.com/wtNzniKEZIg/</t>
        </is>
      </c>
      <c r="G1382" t="inlineStr">
        <is>
          <t>495</t>
        </is>
      </c>
      <c r="H1382" t="inlineStr">
        <is>
          <t>健身</t>
        </is>
      </c>
      <c r="I1382" t="n">
        <v>0</v>
      </c>
      <c r="J1382" t="n">
        <v>0</v>
      </c>
      <c r="K1382" t="n">
        <v>93</v>
      </c>
      <c r="L1382" t="n">
        <v>10000</v>
      </c>
      <c r="M1382" t="n">
        <v>497</v>
      </c>
      <c r="N1382" t="n">
        <v>31</v>
      </c>
      <c r="O1382" t="n">
        <v>56</v>
      </c>
    </row>
    <row r="1383">
      <c r="A1383" s="18" t="n">
        <v>46127</v>
      </c>
      <c r="B1383" t="inlineStr">
        <is>
          <t>16周</t>
        </is>
      </c>
      <c r="C1383" t="inlineStr">
        <is>
          <t>小红书</t>
        </is>
      </c>
      <c r="D1383" t="inlineStr"/>
      <c r="E1383" t="inlineStr"/>
      <c r="F1383" t="inlineStr">
        <is>
          <t>https://www.xiaohongshu.com/discovery/item/69df01df000000002A13013629?xsec_token=CB2DqaaWxnIG4fug8EB4hm8kJ9zogFPCOn34-cruI4kds=&amp;xsec_source=app_share&amp;type=video</t>
        </is>
      </c>
      <c r="G1383" t="inlineStr">
        <is>
          <t>0002A1</t>
        </is>
      </c>
      <c r="H1383" t="inlineStr">
        <is>
          <t>口播</t>
        </is>
      </c>
      <c r="I1383" t="n">
        <v>0</v>
      </c>
      <c r="J1383" t="n">
        <v>0</v>
      </c>
      <c r="K1383" t="n">
        <v>110.5</v>
      </c>
      <c r="L1383" t="n">
        <v>19353</v>
      </c>
      <c r="M1383" t="n">
        <v>926</v>
      </c>
      <c r="N1383" t="n">
        <v>539</v>
      </c>
      <c r="O1383" t="n">
        <v>131</v>
      </c>
    </row>
    <row r="1384" ht="27" customHeight="1">
      <c r="A1384" s="18" t="n">
        <v>46127</v>
      </c>
      <c r="B1384" t="inlineStr">
        <is>
          <t>16周</t>
        </is>
      </c>
      <c r="C1384" t="inlineStr">
        <is>
          <t>小红书</t>
        </is>
      </c>
      <c r="D1384" t="inlineStr"/>
      <c r="E1384" t="inlineStr"/>
      <c r="F1384" t="inlineStr">
        <is>
          <t>https://www.xiaohongshu.com/discovery/item/69df0ce6000000001a03179c?xsec_token=CB2DqaaWxnIG4fug8EB4hm8jeW24aBIMZAIwEvWNHj2Sk=&amp;xsec_source=app_share&amp;type=video</t>
        </is>
      </c>
      <c r="G1384" t="inlineStr">
        <is>
          <t>0002A1</t>
        </is>
      </c>
      <c r="H1384" t="inlineStr">
        <is>
          <t>口播</t>
        </is>
      </c>
      <c r="I1384" t="n">
        <v>0</v>
      </c>
      <c r="J1384" t="n">
        <v>0</v>
      </c>
      <c r="K1384" t="n">
        <v>110.5</v>
      </c>
      <c r="L1384" t="n">
        <v>30404</v>
      </c>
      <c r="M1384" t="n">
        <v>2410</v>
      </c>
      <c r="N1384" t="n">
        <v>431</v>
      </c>
      <c r="O1384" t="n">
        <v>47</v>
      </c>
    </row>
    <row r="1385" ht="27" customHeight="1">
      <c r="A1385" s="18" t="n">
        <v>46127</v>
      </c>
      <c r="B1385" t="inlineStr">
        <is>
          <t>16周</t>
        </is>
      </c>
      <c r="C1385" t="inlineStr">
        <is>
          <t>小红书</t>
        </is>
      </c>
      <c r="D1385" t="inlineStr"/>
      <c r="E1385" t="inlineStr"/>
      <c r="F1385" t="inlineStr">
        <is>
          <t>https://www.xiaohongshu.com/discovery/item/69df665100000000220257d1?xsec_token=CB2DqaaWxnIG4fug8EB4hm8qrvL3Ivc2XtHPnbkfOk8VE=&amp;xsec_source=app_share&amp;type=video</t>
        </is>
      </c>
      <c r="G1385" t="inlineStr">
        <is>
          <t>489</t>
        </is>
      </c>
      <c r="H1385" t="inlineStr">
        <is>
          <t>应援穿搭</t>
        </is>
      </c>
      <c r="I1385" t="n">
        <v>0</v>
      </c>
      <c r="J1385" t="n">
        <v>0</v>
      </c>
      <c r="K1385" t="n">
        <v>53.5</v>
      </c>
      <c r="L1385" t="n">
        <v>22070</v>
      </c>
      <c r="M1385" t="n">
        <v>816</v>
      </c>
      <c r="N1385" t="n">
        <v>303</v>
      </c>
      <c r="O1385" t="n">
        <v>26</v>
      </c>
    </row>
    <row r="1386" ht="67.5" customHeight="1">
      <c r="A1386" s="18" t="n">
        <v>46128</v>
      </c>
      <c r="B1386" t="inlineStr">
        <is>
          <t>16周</t>
        </is>
      </c>
      <c r="C1386" t="inlineStr">
        <is>
          <t>抖音</t>
        </is>
      </c>
      <c r="D1386" t="inlineStr"/>
      <c r="E1386" t="inlineStr"/>
      <c r="F1386" t="inlineStr">
        <is>
          <t>https://v.douyin.com/doCcufTQfpY/</t>
        </is>
      </c>
      <c r="G1386" t="inlineStr">
        <is>
          <t>0002A1</t>
        </is>
      </c>
      <c r="H1386" t="inlineStr">
        <is>
          <t>口播</t>
        </is>
      </c>
      <c r="I1386" t="n">
        <v>200</v>
      </c>
      <c r="J1386" t="n">
        <v>0</v>
      </c>
      <c r="K1386" t="n">
        <v>110.5</v>
      </c>
      <c r="L1386" t="n">
        <v>45000</v>
      </c>
      <c r="M1386" t="n">
        <v>676</v>
      </c>
      <c r="N1386" t="n">
        <v>296</v>
      </c>
      <c r="O1386" t="n">
        <v>61</v>
      </c>
    </row>
    <row r="1387" ht="81" customHeight="1">
      <c r="A1387" s="18" t="n">
        <v>46128</v>
      </c>
      <c r="B1387" t="inlineStr">
        <is>
          <t>16周</t>
        </is>
      </c>
      <c r="C1387" t="inlineStr">
        <is>
          <t>抖音</t>
        </is>
      </c>
      <c r="D1387" t="inlineStr"/>
      <c r="E1387" t="inlineStr"/>
      <c r="F1387" t="inlineStr">
        <is>
          <t>https://v.douyin.com/GTIhJh_kMgs/</t>
        </is>
      </c>
      <c r="G1387" t="inlineStr">
        <is>
          <t>495</t>
        </is>
      </c>
      <c r="H1387" t="inlineStr">
        <is>
          <t>情侣穿搭</t>
        </is>
      </c>
      <c r="I1387" t="n">
        <v>0</v>
      </c>
      <c r="J1387" t="n">
        <v>0</v>
      </c>
      <c r="K1387" t="n">
        <v>93</v>
      </c>
      <c r="L1387" t="n">
        <v>7776</v>
      </c>
      <c r="M1387" t="n">
        <v>195</v>
      </c>
      <c r="N1387" t="n">
        <v>23</v>
      </c>
      <c r="O1387" t="n">
        <v>7</v>
      </c>
    </row>
    <row r="1388" ht="81" customHeight="1">
      <c r="A1388" s="18" t="n">
        <v>46128</v>
      </c>
      <c r="B1388" t="inlineStr">
        <is>
          <t>16周</t>
        </is>
      </c>
      <c r="C1388" t="inlineStr">
        <is>
          <t>小红书</t>
        </is>
      </c>
      <c r="D1388" t="inlineStr"/>
      <c r="E1388" t="inlineStr"/>
      <c r="F1388" t="inlineStr">
        <is>
          <t>https://www.xiaohongshu.com/discovery/item/69e081c90000000022025d68?xsec_token=CB_Z25F2Ou5-6VjWJvftip7W2pc5NPDrm1kaEIHCN6rwQ=&amp;xsec_source=app_share&amp;type=video</t>
        </is>
      </c>
      <c r="G1388" t="inlineStr">
        <is>
          <t>495</t>
        </is>
      </c>
      <c r="H1388" t="inlineStr">
        <is>
          <t>口播</t>
        </is>
      </c>
      <c r="I1388" t="n">
        <v>180</v>
      </c>
      <c r="J1388" t="n">
        <v>0</v>
      </c>
      <c r="K1388" t="n">
        <v>93</v>
      </c>
      <c r="L1388" t="n">
        <v>1584</v>
      </c>
      <c r="M1388" t="n">
        <v>122</v>
      </c>
      <c r="N1388" t="n">
        <v>13</v>
      </c>
      <c r="O1388" t="n">
        <v>3</v>
      </c>
    </row>
    <row r="1389" ht="67.5" customHeight="1">
      <c r="A1389" s="18" t="n">
        <v>46129</v>
      </c>
      <c r="B1389" t="inlineStr">
        <is>
          <t>16周</t>
        </is>
      </c>
      <c r="C1389" t="inlineStr">
        <is>
          <t>抖音</t>
        </is>
      </c>
      <c r="D1389" t="inlineStr"/>
      <c r="E1389" t="inlineStr"/>
      <c r="F1389" t="inlineStr">
        <is>
          <t>https://v.douyin.com/-Art3Y0_k4c/</t>
        </is>
      </c>
      <c r="G1389" t="inlineStr">
        <is>
          <t>0002A1</t>
        </is>
      </c>
      <c r="H1389" t="inlineStr">
        <is>
          <t>穿搭</t>
        </is>
      </c>
      <c r="I1389" t="n">
        <v>0</v>
      </c>
      <c r="J1389" t="n">
        <v>0</v>
      </c>
      <c r="K1389" t="n">
        <v>110.5</v>
      </c>
      <c r="L1389" t="n">
        <v>7276</v>
      </c>
      <c r="M1389" t="n">
        <v>363</v>
      </c>
      <c r="N1389" t="n">
        <v>18</v>
      </c>
      <c r="O1389" t="n">
        <v>15</v>
      </c>
    </row>
    <row r="1390" ht="27" customHeight="1">
      <c r="A1390" s="18" t="n">
        <v>46129</v>
      </c>
      <c r="B1390" t="inlineStr">
        <is>
          <t>16周</t>
        </is>
      </c>
      <c r="C1390" t="inlineStr">
        <is>
          <t>抖音</t>
        </is>
      </c>
      <c r="D1390" t="inlineStr"/>
      <c r="E1390" t="inlineStr"/>
      <c r="F1390" t="inlineStr">
        <is>
          <t>https://v.douyin.com/o6y6XpjUzVs/</t>
        </is>
      </c>
      <c r="G1390" t="inlineStr">
        <is>
          <t>489</t>
        </is>
      </c>
      <c r="H1390" t="inlineStr">
        <is>
          <t>杨紫</t>
        </is>
      </c>
      <c r="I1390" t="n">
        <v>50</v>
      </c>
      <c r="J1390" t="n">
        <v>0</v>
      </c>
      <c r="K1390" t="n">
        <v>53.5</v>
      </c>
      <c r="L1390" t="n">
        <v>14000</v>
      </c>
      <c r="M1390" t="n">
        <v>1251</v>
      </c>
      <c r="N1390" t="n">
        <v>47</v>
      </c>
      <c r="O1390" t="n">
        <v>22</v>
      </c>
    </row>
    <row r="1391" ht="40.5" customHeight="1">
      <c r="A1391" s="18" t="n">
        <v>46129</v>
      </c>
      <c r="B1391" t="inlineStr">
        <is>
          <t>16周</t>
        </is>
      </c>
      <c r="C1391" t="inlineStr">
        <is>
          <t>抖音</t>
        </is>
      </c>
      <c r="D1391" t="inlineStr"/>
      <c r="E1391" t="inlineStr"/>
      <c r="F1391" t="inlineStr">
        <is>
          <t>https://v.douyin.com/oyMFKMxa_28/</t>
        </is>
      </c>
      <c r="G1391" t="inlineStr">
        <is>
          <t>489</t>
        </is>
      </c>
      <c r="H1391" t="inlineStr">
        <is>
          <t>马嘉祺</t>
        </is>
      </c>
      <c r="I1391" t="n">
        <v>300</v>
      </c>
      <c r="J1391" t="n">
        <v>0</v>
      </c>
      <c r="K1391" t="n">
        <v>53.5</v>
      </c>
      <c r="L1391" t="n">
        <v>55000</v>
      </c>
      <c r="M1391" t="n">
        <v>2145</v>
      </c>
      <c r="N1391" t="n">
        <v>177</v>
      </c>
      <c r="O1391" t="n">
        <v>86</v>
      </c>
    </row>
    <row r="1392" ht="81" customHeight="1">
      <c r="A1392" s="18" t="n">
        <v>46129</v>
      </c>
      <c r="B1392" t="inlineStr">
        <is>
          <t>16周</t>
        </is>
      </c>
      <c r="C1392" t="inlineStr">
        <is>
          <t>抖音</t>
        </is>
      </c>
      <c r="D1392" t="inlineStr"/>
      <c r="E1392" t="inlineStr"/>
      <c r="F1392" t="inlineStr">
        <is>
          <t>https://v.douyin.com/bc0oKDM1fb0/</t>
        </is>
      </c>
      <c r="G1392" t="inlineStr">
        <is>
          <t>489</t>
        </is>
      </c>
      <c r="H1392" t="inlineStr">
        <is>
          <t>陈奕恒</t>
        </is>
      </c>
      <c r="I1392" t="n">
        <v>0</v>
      </c>
      <c r="J1392" t="n">
        <v>0</v>
      </c>
      <c r="K1392" t="n">
        <v>53.5</v>
      </c>
      <c r="L1392" t="n">
        <v>1403</v>
      </c>
      <c r="M1392" t="n">
        <v>282</v>
      </c>
      <c r="N1392" t="n">
        <v>4</v>
      </c>
      <c r="O1392" t="n">
        <v>11</v>
      </c>
    </row>
    <row r="1393" ht="67.5" customHeight="1">
      <c r="A1393" s="18" t="n">
        <v>46129</v>
      </c>
      <c r="B1393" t="inlineStr">
        <is>
          <t>16周</t>
        </is>
      </c>
      <c r="C1393" t="inlineStr">
        <is>
          <t>抖音</t>
        </is>
      </c>
      <c r="D1393" t="inlineStr"/>
      <c r="E1393" t="inlineStr"/>
      <c r="F1393" t="inlineStr">
        <is>
          <t>https://v.douyin.com/NZMh8WIYuEg/</t>
        </is>
      </c>
      <c r="G1393" t="inlineStr">
        <is>
          <t>489</t>
        </is>
      </c>
      <c r="H1393" t="inlineStr">
        <is>
          <t>马嘉祺</t>
        </is>
      </c>
      <c r="I1393" t="n">
        <v>0</v>
      </c>
      <c r="J1393" t="n">
        <v>0</v>
      </c>
      <c r="K1393" t="n">
        <v>53.5</v>
      </c>
      <c r="L1393" t="n">
        <v>16000</v>
      </c>
      <c r="M1393" t="n">
        <v>273</v>
      </c>
      <c r="N1393" t="n">
        <v>17</v>
      </c>
      <c r="O1393" t="n">
        <v>11</v>
      </c>
    </row>
    <row r="1394" ht="81" customHeight="1">
      <c r="A1394" s="18" t="n">
        <v>46129</v>
      </c>
      <c r="B1394" t="inlineStr">
        <is>
          <t>16周</t>
        </is>
      </c>
      <c r="C1394" t="inlineStr">
        <is>
          <t>抖音</t>
        </is>
      </c>
      <c r="D1394" t="inlineStr"/>
      <c r="E1394" t="inlineStr"/>
      <c r="F1394" t="inlineStr">
        <is>
          <t>https://v.douyin.com/zOtHBtuQLRU/</t>
        </is>
      </c>
      <c r="G1394" t="inlineStr">
        <is>
          <t>489</t>
        </is>
      </c>
      <c r="H1394" t="inlineStr">
        <is>
          <t>赵露思</t>
        </is>
      </c>
      <c r="I1394" t="n">
        <v>0</v>
      </c>
      <c r="J1394" t="n">
        <v>0</v>
      </c>
      <c r="K1394" t="n">
        <v>53.5</v>
      </c>
      <c r="L1394" t="n">
        <v>6503</v>
      </c>
      <c r="M1394" t="n">
        <v>1032</v>
      </c>
      <c r="N1394" t="n">
        <v>61</v>
      </c>
      <c r="O1394" t="n">
        <v>80</v>
      </c>
    </row>
    <row r="1395" ht="81" customHeight="1">
      <c r="A1395" s="18" t="n">
        <v>46129</v>
      </c>
      <c r="B1395" t="inlineStr">
        <is>
          <t>16周</t>
        </is>
      </c>
      <c r="C1395" t="inlineStr">
        <is>
          <t>快手</t>
        </is>
      </c>
      <c r="D1395" t="inlineStr"/>
      <c r="E1395" t="inlineStr"/>
      <c r="F1395" t="inlineStr">
        <is>
          <t>https://v.kuaishou.com/J1tzim9p</t>
        </is>
      </c>
      <c r="G1395" t="inlineStr">
        <is>
          <t>489</t>
        </is>
      </c>
      <c r="H1395" t="inlineStr">
        <is>
          <t>马嘉祺</t>
        </is>
      </c>
      <c r="I1395" t="n">
        <v>0</v>
      </c>
      <c r="J1395" t="n">
        <v>0</v>
      </c>
      <c r="K1395" t="n">
        <v>53.5</v>
      </c>
      <c r="L1395" t="n">
        <v>27000</v>
      </c>
      <c r="M1395" t="n">
        <v>2359</v>
      </c>
      <c r="N1395" t="n">
        <v>147</v>
      </c>
      <c r="O1395" t="n">
        <v>120</v>
      </c>
    </row>
    <row r="1396" ht="81" customHeight="1">
      <c r="A1396" s="18" t="n">
        <v>46129</v>
      </c>
      <c r="B1396" t="inlineStr">
        <is>
          <t>16周</t>
        </is>
      </c>
      <c r="C1396" t="inlineStr">
        <is>
          <t>抖音</t>
        </is>
      </c>
      <c r="D1396" t="inlineStr"/>
      <c r="E1396" t="inlineStr"/>
      <c r="F1396" t="inlineStr">
        <is>
          <t>https://v.douyin.com/uQvUi23suuU/</t>
        </is>
      </c>
      <c r="G1396" t="inlineStr">
        <is>
          <t>0002A1</t>
        </is>
      </c>
      <c r="H1396" t="inlineStr">
        <is>
          <t>跳舞</t>
        </is>
      </c>
      <c r="I1396" t="n">
        <v>70</v>
      </c>
      <c r="J1396" t="n">
        <v>0</v>
      </c>
      <c r="K1396" t="n">
        <v>110.5</v>
      </c>
      <c r="L1396" t="n">
        <v>19000</v>
      </c>
      <c r="M1396" t="n">
        <v>847</v>
      </c>
      <c r="N1396" t="n">
        <v>63</v>
      </c>
      <c r="O1396" t="n">
        <v>44</v>
      </c>
    </row>
    <row r="1397" ht="27" customHeight="1">
      <c r="A1397" s="18" t="n">
        <v>46129</v>
      </c>
      <c r="B1397" t="inlineStr">
        <is>
          <t>16周</t>
        </is>
      </c>
      <c r="C1397" t="inlineStr">
        <is>
          <t>抖音</t>
        </is>
      </c>
      <c r="D1397" t="inlineStr"/>
      <c r="E1397" t="inlineStr"/>
      <c r="F1397" t="inlineStr">
        <is>
          <t>https://v.douyin.com/WFfuXVIHeFc/</t>
        </is>
      </c>
      <c r="G1397" t="inlineStr">
        <is>
          <t>489</t>
        </is>
      </c>
      <c r="H1397" t="inlineStr">
        <is>
          <t>穿搭</t>
        </is>
      </c>
      <c r="I1397" t="n">
        <v>0</v>
      </c>
      <c r="J1397" t="n">
        <v>0</v>
      </c>
      <c r="K1397" t="n">
        <v>53.5</v>
      </c>
      <c r="L1397" t="n">
        <v>120000</v>
      </c>
      <c r="M1397" t="n">
        <v>2710</v>
      </c>
      <c r="N1397" t="n">
        <v>442</v>
      </c>
      <c r="O1397" t="n">
        <v>71</v>
      </c>
    </row>
    <row r="1398">
      <c r="A1398" s="18" t="n">
        <v>46129</v>
      </c>
      <c r="B1398" t="inlineStr">
        <is>
          <t>16周</t>
        </is>
      </c>
      <c r="C1398" t="inlineStr">
        <is>
          <t>抖音</t>
        </is>
      </c>
      <c r="D1398" t="inlineStr"/>
      <c r="E1398" t="inlineStr"/>
      <c r="F1398" t="inlineStr">
        <is>
          <t>https://v.douyin.com/ywh-Mwn4URI/</t>
        </is>
      </c>
      <c r="G1398" t="inlineStr">
        <is>
          <t>0001A1</t>
        </is>
      </c>
      <c r="H1398" t="inlineStr">
        <is>
          <t>穿搭</t>
        </is>
      </c>
      <c r="I1398" t="n">
        <v>0</v>
      </c>
      <c r="J1398" t="n">
        <v>0</v>
      </c>
      <c r="K1398" t="n">
        <v>107.5</v>
      </c>
      <c r="L1398" t="n">
        <v>6427</v>
      </c>
      <c r="M1398" t="n">
        <v>219</v>
      </c>
      <c r="N1398" t="n">
        <v>20</v>
      </c>
      <c r="O1398" t="n">
        <v>9</v>
      </c>
    </row>
    <row r="1399" ht="27" customHeight="1">
      <c r="A1399" s="18" t="n">
        <v>46129</v>
      </c>
      <c r="B1399" t="inlineStr">
        <is>
          <t>16周</t>
        </is>
      </c>
      <c r="C1399" t="inlineStr">
        <is>
          <t>抖音</t>
        </is>
      </c>
      <c r="D1399" t="inlineStr"/>
      <c r="E1399" t="inlineStr"/>
      <c r="F1399" t="inlineStr">
        <is>
          <t>https://v.douyin.com/t6GR_UiDSVE/</t>
        </is>
      </c>
      <c r="G1399" t="inlineStr">
        <is>
          <t>0002A1</t>
        </is>
      </c>
      <c r="H1399" t="inlineStr">
        <is>
          <t>跳舞</t>
        </is>
      </c>
      <c r="I1399" t="n">
        <v>0</v>
      </c>
      <c r="J1399" t="n">
        <v>0</v>
      </c>
      <c r="K1399" t="n">
        <v>110.5</v>
      </c>
      <c r="L1399" t="n">
        <v>434000</v>
      </c>
      <c r="M1399" t="n">
        <v>2640</v>
      </c>
      <c r="N1399" t="n">
        <v>1263</v>
      </c>
      <c r="O1399" t="n">
        <v>76</v>
      </c>
    </row>
    <row r="1400">
      <c r="A1400" s="18" t="n">
        <v>46129</v>
      </c>
      <c r="B1400" t="inlineStr">
        <is>
          <t>16周</t>
        </is>
      </c>
      <c r="C1400" t="inlineStr">
        <is>
          <t>抖音</t>
        </is>
      </c>
      <c r="D1400" t="inlineStr"/>
      <c r="E1400" t="inlineStr"/>
      <c r="F1400" t="inlineStr">
        <is>
          <t>https://v.douyin.com/LtPtRYrMIpU/</t>
        </is>
      </c>
      <c r="G1400" t="inlineStr">
        <is>
          <t>0001A1</t>
        </is>
      </c>
      <c r="H1400" t="inlineStr">
        <is>
          <t>赵一博</t>
        </is>
      </c>
      <c r="I1400" t="n">
        <v>200</v>
      </c>
      <c r="J1400" t="n">
        <v>0</v>
      </c>
      <c r="K1400" t="n">
        <v>107.5</v>
      </c>
      <c r="L1400" t="n">
        <v>87000</v>
      </c>
      <c r="M1400" t="n">
        <v>821</v>
      </c>
      <c r="N1400" t="n">
        <v>133</v>
      </c>
      <c r="O1400" t="n">
        <v>69</v>
      </c>
    </row>
    <row r="1401" ht="27" customHeight="1">
      <c r="A1401" s="18" t="n">
        <v>46129</v>
      </c>
      <c r="B1401" t="inlineStr">
        <is>
          <t>16周</t>
        </is>
      </c>
      <c r="C1401" t="inlineStr">
        <is>
          <t>抖音</t>
        </is>
      </c>
      <c r="D1401" t="inlineStr"/>
      <c r="E1401" t="inlineStr"/>
      <c r="F1401" t="inlineStr">
        <is>
          <t>https://v.douyin.com/I1lauzku4a0/</t>
        </is>
      </c>
      <c r="G1401" t="inlineStr">
        <is>
          <t>489</t>
        </is>
      </c>
      <c r="H1401" t="inlineStr">
        <is>
          <t>马嘉祺</t>
        </is>
      </c>
      <c r="I1401" t="n">
        <v>0</v>
      </c>
      <c r="J1401" t="n">
        <v>0</v>
      </c>
      <c r="K1401" t="n">
        <v>53.5</v>
      </c>
      <c r="L1401" t="n">
        <v>242000</v>
      </c>
      <c r="M1401" t="n">
        <v>11000</v>
      </c>
      <c r="N1401" t="n">
        <v>1433</v>
      </c>
      <c r="O1401" t="n">
        <v>203</v>
      </c>
    </row>
    <row r="1402" ht="27" customHeight="1">
      <c r="A1402" s="18" t="n">
        <v>46129</v>
      </c>
      <c r="B1402" t="inlineStr">
        <is>
          <t>16周</t>
        </is>
      </c>
      <c r="C1402" t="inlineStr">
        <is>
          <t>抖音</t>
        </is>
      </c>
      <c r="D1402" t="inlineStr"/>
      <c r="E1402" t="inlineStr"/>
      <c r="F1402" t="inlineStr">
        <is>
          <t>https://v.douyin.com/4gbUAkOL4Xs</t>
        </is>
      </c>
      <c r="G1402" t="inlineStr">
        <is>
          <t>489</t>
        </is>
      </c>
      <c r="H1402" t="inlineStr">
        <is>
          <t>陈奕恒</t>
        </is>
      </c>
      <c r="I1402" t="n">
        <v>0</v>
      </c>
      <c r="J1402" t="n">
        <v>0</v>
      </c>
      <c r="K1402" t="n">
        <v>53.5</v>
      </c>
      <c r="L1402" t="n">
        <v>5236</v>
      </c>
      <c r="M1402" t="n">
        <v>579</v>
      </c>
      <c r="N1402" t="n">
        <v>17</v>
      </c>
      <c r="O1402" t="n">
        <v>32</v>
      </c>
    </row>
    <row r="1403" ht="27" customHeight="1">
      <c r="A1403" s="18" t="n">
        <v>46129</v>
      </c>
      <c r="B1403" t="inlineStr">
        <is>
          <t>16周</t>
        </is>
      </c>
      <c r="C1403" t="inlineStr">
        <is>
          <t>小红书</t>
        </is>
      </c>
      <c r="D1403" t="inlineStr"/>
      <c r="E1403" t="inlineStr"/>
      <c r="F1403" t="inlineStr">
        <is>
          <t>https://www.xiaohongshu.com/discovery/item/69e19daf0000000022028168?xsec_token=CBFuoB1xebK2apjIDiJ3zxv5OVAc2kv9c2AIyROyoi3ts=&amp;xsec_source=app_share</t>
        </is>
      </c>
      <c r="G1403" t="inlineStr">
        <is>
          <t>495</t>
        </is>
      </c>
      <c r="H1403" t="inlineStr">
        <is>
          <t>穿搭</t>
        </is>
      </c>
      <c r="I1403" t="n">
        <v>0</v>
      </c>
      <c r="J1403" t="n">
        <v>0</v>
      </c>
      <c r="K1403" t="n">
        <v>93</v>
      </c>
      <c r="L1403" t="n">
        <v>334</v>
      </c>
      <c r="M1403" t="n">
        <v>18</v>
      </c>
      <c r="N1403" t="n">
        <v>6</v>
      </c>
      <c r="O1403" t="n">
        <v>1</v>
      </c>
    </row>
    <row r="1404" ht="67.5" customHeight="1">
      <c r="A1404" s="18" t="n">
        <v>46129</v>
      </c>
      <c r="B1404" t="inlineStr">
        <is>
          <t>16周</t>
        </is>
      </c>
      <c r="C1404" t="inlineStr">
        <is>
          <t>小红书</t>
        </is>
      </c>
      <c r="D1404" t="inlineStr"/>
      <c r="E1404" t="inlineStr"/>
      <c r="F1404" t="inlineStr">
        <is>
          <t>https://www.xiaohongshu.com/discovery/item/69e204610000000021013a0f?xsec_token=CBDqcIJCEaeWOG4oF8KpUsWGB3PnFS0eAsNmJJGgP-5zQ=&amp;xsec_source=app_share&amp;type=video</t>
        </is>
      </c>
      <c r="G1404" t="inlineStr">
        <is>
          <t>489</t>
        </is>
      </c>
      <c r="H1404" t="inlineStr">
        <is>
          <t>马嘉祺</t>
        </is>
      </c>
      <c r="I1404" t="n">
        <v>0</v>
      </c>
      <c r="J1404" t="n">
        <v>0</v>
      </c>
      <c r="K1404" t="n">
        <v>53.5</v>
      </c>
      <c r="L1404" t="n">
        <v>34877</v>
      </c>
      <c r="M1404" t="n">
        <v>2309</v>
      </c>
      <c r="N1404" t="n">
        <v>510</v>
      </c>
      <c r="O1404" t="n">
        <v>39</v>
      </c>
    </row>
    <row r="1405" ht="81" customHeight="1">
      <c r="A1405" s="18" t="n">
        <v>46129</v>
      </c>
      <c r="B1405" t="inlineStr">
        <is>
          <t>16周</t>
        </is>
      </c>
      <c r="C1405" t="inlineStr">
        <is>
          <t>小红书</t>
        </is>
      </c>
      <c r="D1405" t="inlineStr"/>
      <c r="E1405" t="inlineStr"/>
      <c r="F1405" t="inlineStr">
        <is>
          <t>https://www.xiaohongshu.com/discovery/item/69e20793000000002101104d?xsec_token=CBDqcIJCEaeWOG4oF8KpUsWCEf8IMW0hGSbREchSJO_Ds=&amp;xsec_source=app_share&amp;type=video</t>
        </is>
      </c>
      <c r="G1405" t="inlineStr">
        <is>
          <t>0001A1</t>
        </is>
      </c>
      <c r="H1405" t="inlineStr">
        <is>
          <t>赵一博</t>
        </is>
      </c>
      <c r="I1405" t="n">
        <v>0</v>
      </c>
      <c r="J1405" t="n">
        <v>0</v>
      </c>
      <c r="K1405" t="n">
        <v>107.5</v>
      </c>
      <c r="L1405" t="n">
        <v>1534</v>
      </c>
      <c r="M1405" t="n">
        <v>99</v>
      </c>
      <c r="N1405" t="n">
        <v>12</v>
      </c>
      <c r="O1405" t="n">
        <v>6</v>
      </c>
    </row>
    <row r="1406" ht="67.5" customHeight="1">
      <c r="A1406" s="18" t="n">
        <v>46129</v>
      </c>
      <c r="B1406" t="inlineStr">
        <is>
          <t>16周</t>
        </is>
      </c>
      <c r="C1406" t="inlineStr">
        <is>
          <t>小红书</t>
        </is>
      </c>
      <c r="D1406" t="inlineStr"/>
      <c r="E1406" t="inlineStr"/>
      <c r="F1406" t="inlineStr">
        <is>
          <t>https://www.xiaohongshu.com/discovery/item/69e21fed000000001a02cc9f?xsec_token=CBDqcIJCEaeWOG4oF8KpUsWPcsFfdZI2kZ7bTIYxP3Zf4=&amp;xsec_source=app_share&amp;type=video</t>
        </is>
      </c>
      <c r="G1406" t="inlineStr">
        <is>
          <t>0002A1</t>
        </is>
      </c>
      <c r="H1406" t="inlineStr">
        <is>
          <t>跳舞</t>
        </is>
      </c>
      <c r="I1406" t="n">
        <v>0</v>
      </c>
      <c r="J1406" t="n">
        <v>0</v>
      </c>
      <c r="K1406" t="n">
        <v>110.5</v>
      </c>
      <c r="L1406" t="n">
        <v>3777</v>
      </c>
      <c r="M1406" t="n">
        <v>90</v>
      </c>
      <c r="N1406" t="n">
        <v>102</v>
      </c>
      <c r="O1406" t="n">
        <v>4</v>
      </c>
    </row>
    <row r="1407" ht="81" customHeight="1">
      <c r="A1407" s="18" t="n">
        <v>46129</v>
      </c>
      <c r="B1407" t="inlineStr">
        <is>
          <t>16周</t>
        </is>
      </c>
      <c r="C1407" t="inlineStr">
        <is>
          <t>小红书</t>
        </is>
      </c>
      <c r="D1407" t="inlineStr"/>
      <c r="E1407" t="inlineStr"/>
      <c r="F1407" t="inlineStr">
        <is>
          <t>https://www.xiaohongshu.com/discovery/item/69e22f5e000000001a02ad84?xsec_token=CBDqcIJCEaeWOG4oF8KpUsWHi6Cjw-I4EU4qMTB50S8ic=&amp;xsec_source=app_share</t>
        </is>
      </c>
      <c r="G1407" t="inlineStr">
        <is>
          <t>489</t>
        </is>
      </c>
      <c r="H1407" t="inlineStr">
        <is>
          <t>赵露思</t>
        </is>
      </c>
      <c r="I1407" t="n">
        <v>0</v>
      </c>
      <c r="J1407" t="n">
        <v>0</v>
      </c>
      <c r="K1407" t="n">
        <v>53.5</v>
      </c>
      <c r="L1407" t="n">
        <v>1588</v>
      </c>
      <c r="M1407" t="n">
        <v>171</v>
      </c>
      <c r="N1407" t="n">
        <v>17</v>
      </c>
      <c r="O1407" t="n">
        <v>3</v>
      </c>
    </row>
    <row r="1408" ht="27" customHeight="1">
      <c r="A1408" s="18" t="n">
        <v>46129</v>
      </c>
      <c r="B1408" t="inlineStr">
        <is>
          <t>16周</t>
        </is>
      </c>
      <c r="C1408" t="inlineStr">
        <is>
          <t>小红书</t>
        </is>
      </c>
      <c r="D1408" t="inlineStr"/>
      <c r="E1408" t="inlineStr"/>
      <c r="F1408" t="inlineStr">
        <is>
          <t>https://www.xiaohongshu.com/discovery/item/69e24a65000000002A1301c055?xsec_token=CBDqcIJCEaeWOG4oF8KpUsWG8WMRVr-Cw-kkwJr6YzwPQ=&amp;xsec_source=app_share&amp;type=video</t>
        </is>
      </c>
      <c r="G1408" t="inlineStr">
        <is>
          <t>0002A1</t>
        </is>
      </c>
      <c r="H1408" t="inlineStr">
        <is>
          <t>跳舞</t>
        </is>
      </c>
      <c r="I1408" t="n">
        <v>0</v>
      </c>
      <c r="J1408" t="n">
        <v>0</v>
      </c>
      <c r="K1408" t="n">
        <v>110.5</v>
      </c>
      <c r="L1408" t="n">
        <v>1752</v>
      </c>
      <c r="M1408" t="n">
        <v>136</v>
      </c>
      <c r="N1408" t="n">
        <v>29</v>
      </c>
      <c r="O1408" t="n">
        <v>3</v>
      </c>
    </row>
    <row r="1409" ht="27" customHeight="1">
      <c r="A1409" s="18" t="n">
        <v>46130</v>
      </c>
      <c r="B1409" t="inlineStr">
        <is>
          <t>16周</t>
        </is>
      </c>
      <c r="C1409" t="inlineStr">
        <is>
          <t>抖音</t>
        </is>
      </c>
      <c r="D1409" t="inlineStr"/>
      <c r="E1409" t="inlineStr"/>
      <c r="F1409" t="inlineStr">
        <is>
          <t>https://v.douyin.com/D5asX3MhqCw/</t>
        </is>
      </c>
      <c r="G1409" t="inlineStr">
        <is>
          <t>489</t>
        </is>
      </c>
      <c r="H1409" t="inlineStr">
        <is>
          <t>马嘉祺</t>
        </is>
      </c>
      <c r="I1409" t="n">
        <v>0</v>
      </c>
      <c r="J1409" t="n">
        <v>0</v>
      </c>
      <c r="K1409" t="n">
        <v>53.5</v>
      </c>
      <c r="L1409" t="n">
        <v>2238</v>
      </c>
      <c r="M1409" t="n">
        <v>238</v>
      </c>
      <c r="N1409" t="n">
        <v>14</v>
      </c>
      <c r="O1409" t="n">
        <v>19</v>
      </c>
    </row>
    <row r="1410" ht="27" customHeight="1">
      <c r="A1410" s="18" t="n">
        <v>46130</v>
      </c>
      <c r="B1410" t="inlineStr">
        <is>
          <t>16周</t>
        </is>
      </c>
      <c r="C1410" t="inlineStr">
        <is>
          <t>抖音</t>
        </is>
      </c>
      <c r="D1410" t="inlineStr"/>
      <c r="E1410" t="inlineStr"/>
      <c r="F1410" t="inlineStr">
        <is>
          <t>https://v.douyin.com/p3NgEIiEsC0/</t>
        </is>
      </c>
      <c r="G1410" t="inlineStr">
        <is>
          <t>0001A1</t>
        </is>
      </c>
      <c r="H1410" t="inlineStr">
        <is>
          <t>口播</t>
        </is>
      </c>
      <c r="I1410" t="n">
        <v>0</v>
      </c>
      <c r="J1410" t="n">
        <v>0</v>
      </c>
      <c r="K1410" t="n">
        <v>107.5</v>
      </c>
      <c r="L1410" t="n">
        <v>6672</v>
      </c>
      <c r="M1410" t="n">
        <v>94</v>
      </c>
      <c r="N1410" t="n">
        <v>29</v>
      </c>
      <c r="O1410" t="n">
        <v>5</v>
      </c>
    </row>
    <row r="1411" ht="27" customHeight="1">
      <c r="A1411" s="18" t="n">
        <v>46130</v>
      </c>
      <c r="B1411" t="inlineStr">
        <is>
          <t>16周</t>
        </is>
      </c>
      <c r="C1411" t="inlineStr">
        <is>
          <t>抖音</t>
        </is>
      </c>
      <c r="D1411" t="inlineStr"/>
      <c r="E1411" t="inlineStr"/>
      <c r="F1411" t="inlineStr">
        <is>
          <t>https://v.douyin.com/AmBarS0O1A8/</t>
        </is>
      </c>
      <c r="G1411" t="inlineStr">
        <is>
          <t>489</t>
        </is>
      </c>
      <c r="H1411" t="inlineStr">
        <is>
          <t>马嘉祺</t>
        </is>
      </c>
      <c r="I1411" t="n">
        <v>0</v>
      </c>
      <c r="J1411" t="n">
        <v>0</v>
      </c>
      <c r="K1411" t="n">
        <v>53.5</v>
      </c>
      <c r="L1411" t="n">
        <v>4104</v>
      </c>
      <c r="M1411" t="n">
        <v>529</v>
      </c>
      <c r="N1411" t="n">
        <v>38</v>
      </c>
      <c r="O1411" t="n">
        <v>6</v>
      </c>
    </row>
    <row r="1412" ht="67.5" customHeight="1">
      <c r="A1412" s="18" t="n">
        <v>46130</v>
      </c>
      <c r="B1412" t="inlineStr">
        <is>
          <t>16周</t>
        </is>
      </c>
      <c r="C1412" t="inlineStr">
        <is>
          <t>抖音</t>
        </is>
      </c>
      <c r="D1412" t="inlineStr"/>
      <c r="E1412" t="inlineStr"/>
      <c r="F1412" t="inlineStr">
        <is>
          <t>https://v.douyin.com/FwCmFkb35P8/</t>
        </is>
      </c>
      <c r="G1412" t="inlineStr">
        <is>
          <t>489</t>
        </is>
      </c>
      <c r="H1412" t="inlineStr">
        <is>
          <t>马嘉祺</t>
        </is>
      </c>
      <c r="I1412" t="n">
        <v>0</v>
      </c>
      <c r="J1412" t="n">
        <v>0</v>
      </c>
      <c r="K1412" t="n">
        <v>53.5</v>
      </c>
      <c r="L1412" t="n">
        <v>2683</v>
      </c>
      <c r="M1412" t="n">
        <v>482</v>
      </c>
      <c r="N1412" t="n">
        <v>14</v>
      </c>
      <c r="O1412" t="n">
        <v>35</v>
      </c>
    </row>
    <row r="1413" ht="81" customHeight="1">
      <c r="A1413" s="18" t="n">
        <v>46130</v>
      </c>
      <c r="B1413" t="inlineStr">
        <is>
          <t>16周</t>
        </is>
      </c>
      <c r="C1413" t="inlineStr">
        <is>
          <t>小红书</t>
        </is>
      </c>
      <c r="D1413" t="inlineStr"/>
      <c r="E1413" t="inlineStr"/>
      <c r="F1413" t="inlineStr">
        <is>
          <t>https://www.xiaohongshu.com/discovery/item/69e30e79000000002003b8fd?xsec_token=CBaljxXP3IH6fcjNZScSllULxI7mHZ5S0tl2nWX8sH4x0=&amp;xsec_source=app_share&amp;type=video</t>
        </is>
      </c>
      <c r="G1413" t="inlineStr">
        <is>
          <t>489</t>
        </is>
      </c>
      <c r="H1413" t="inlineStr">
        <is>
          <t>马嘉祺</t>
        </is>
      </c>
      <c r="I1413" t="n">
        <v>0</v>
      </c>
      <c r="J1413" t="n">
        <v>0</v>
      </c>
      <c r="K1413" t="n">
        <v>53.5</v>
      </c>
      <c r="L1413" t="n">
        <v>4411</v>
      </c>
      <c r="M1413" t="n">
        <v>379</v>
      </c>
      <c r="N1413" t="n">
        <v>46</v>
      </c>
      <c r="O1413" t="n">
        <v>3</v>
      </c>
    </row>
    <row r="1414" ht="81" customHeight="1">
      <c r="A1414" s="18" t="n">
        <v>46130</v>
      </c>
      <c r="B1414" t="inlineStr">
        <is>
          <t>16周</t>
        </is>
      </c>
      <c r="C1414" t="inlineStr">
        <is>
          <t>小红书</t>
        </is>
      </c>
      <c r="D1414" t="inlineStr"/>
      <c r="E1414" t="inlineStr"/>
      <c r="F1414" t="inlineStr">
        <is>
          <t>https://www.xiaohongshu.com/discovery/item/69e3912f000000002202712a?xsec_token=CBaljxXP3IH6fcjNZScSllUJc2k7Dan_lsoAapDdIrPnQ=&amp;xsec_source=app_share</t>
        </is>
      </c>
      <c r="G1414" t="inlineStr">
        <is>
          <t>489</t>
        </is>
      </c>
      <c r="H1414" t="inlineStr">
        <is>
          <t>马嘉祺</t>
        </is>
      </c>
      <c r="I1414" t="n">
        <v>0</v>
      </c>
      <c r="J1414" t="n">
        <v>0</v>
      </c>
      <c r="K1414" t="n">
        <v>53.5</v>
      </c>
      <c r="L1414" t="n">
        <v>416</v>
      </c>
      <c r="M1414" t="n">
        <v>25</v>
      </c>
      <c r="N1414" t="n">
        <v>3</v>
      </c>
      <c r="O1414" t="n">
        <v>1</v>
      </c>
    </row>
    <row r="1415" ht="81" customHeight="1">
      <c r="A1415" s="18" t="n">
        <v>46131</v>
      </c>
      <c r="B1415" t="inlineStr">
        <is>
          <t>16周</t>
        </is>
      </c>
      <c r="C1415" t="inlineStr">
        <is>
          <t>快手</t>
        </is>
      </c>
      <c r="D1415" t="inlineStr"/>
      <c r="E1415" t="inlineStr"/>
      <c r="F1415" t="inlineStr">
        <is>
          <t>https://v.kuaishou.com/KISZjAyY</t>
        </is>
      </c>
      <c r="G1415" t="inlineStr">
        <is>
          <t>489</t>
        </is>
      </c>
      <c r="H1415" t="inlineStr">
        <is>
          <t>马嘉祺</t>
        </is>
      </c>
      <c r="I1415" t="n">
        <v>0</v>
      </c>
      <c r="J1415" t="n">
        <v>0</v>
      </c>
      <c r="K1415" t="n">
        <v>53.5</v>
      </c>
      <c r="L1415" t="n">
        <v>23000</v>
      </c>
      <c r="M1415" t="n">
        <v>4127</v>
      </c>
      <c r="N1415" t="n">
        <v>291</v>
      </c>
      <c r="O1415" t="n">
        <v>96</v>
      </c>
    </row>
    <row r="1416" ht="81" customHeight="1">
      <c r="A1416" s="18" t="n">
        <v>46131</v>
      </c>
      <c r="B1416" t="inlineStr">
        <is>
          <t>16周</t>
        </is>
      </c>
      <c r="C1416" t="inlineStr">
        <is>
          <t>抖音</t>
        </is>
      </c>
      <c r="D1416" t="inlineStr"/>
      <c r="E1416" t="inlineStr"/>
      <c r="F1416" t="inlineStr">
        <is>
          <t>https://v.douyin.com/aILwLNMX3Ko/</t>
        </is>
      </c>
      <c r="G1416" t="inlineStr">
        <is>
          <t>0001A1</t>
        </is>
      </c>
      <c r="H1416" t="inlineStr">
        <is>
          <t>野餐</t>
        </is>
      </c>
      <c r="I1416" t="n">
        <v>0</v>
      </c>
      <c r="J1416" t="n">
        <v>0</v>
      </c>
      <c r="K1416" t="n">
        <v>107.5</v>
      </c>
      <c r="L1416" t="n">
        <v>20000</v>
      </c>
      <c r="M1416" t="n">
        <v>1088</v>
      </c>
      <c r="N1416" t="n">
        <v>100</v>
      </c>
      <c r="O1416" t="n">
        <v>32</v>
      </c>
    </row>
    <row r="1417" ht="27" customHeight="1">
      <c r="A1417" s="18" t="n">
        <v>46131</v>
      </c>
      <c r="B1417" t="inlineStr">
        <is>
          <t>16周</t>
        </is>
      </c>
      <c r="C1417" t="inlineStr">
        <is>
          <t>抖音</t>
        </is>
      </c>
      <c r="D1417" t="inlineStr"/>
      <c r="E1417" t="inlineStr"/>
      <c r="F1417" t="inlineStr">
        <is>
          <t>https://v.douyin.com/7xd171OeOVg/</t>
        </is>
      </c>
      <c r="G1417" t="inlineStr">
        <is>
          <t>489</t>
        </is>
      </c>
      <c r="H1417" t="inlineStr">
        <is>
          <t>马嘉祺</t>
        </is>
      </c>
      <c r="I1417" t="n">
        <v>0</v>
      </c>
      <c r="J1417" t="n">
        <v>0</v>
      </c>
      <c r="K1417" t="n">
        <v>53.5</v>
      </c>
      <c r="L1417" t="n">
        <v>7994</v>
      </c>
      <c r="M1417" t="n">
        <v>1386</v>
      </c>
      <c r="N1417" t="n">
        <v>33</v>
      </c>
      <c r="O1417" t="n">
        <v>19</v>
      </c>
    </row>
    <row r="1418" ht="27" customHeight="1">
      <c r="A1418" s="18" t="n">
        <v>46131</v>
      </c>
      <c r="B1418" t="inlineStr">
        <is>
          <t>16周</t>
        </is>
      </c>
      <c r="C1418" t="inlineStr">
        <is>
          <t>抖音</t>
        </is>
      </c>
      <c r="D1418" t="inlineStr"/>
      <c r="E1418" t="inlineStr"/>
      <c r="F1418" t="inlineStr">
        <is>
          <t>https://v.douyin.com/VzzRq6-MTuo/</t>
        </is>
      </c>
      <c r="G1418" t="inlineStr">
        <is>
          <t>489</t>
        </is>
      </c>
      <c r="H1418" t="inlineStr">
        <is>
          <t>马嘉祺</t>
        </is>
      </c>
      <c r="I1418" t="n">
        <v>0</v>
      </c>
      <c r="J1418" t="n">
        <v>0</v>
      </c>
      <c r="K1418" t="n">
        <v>53.5</v>
      </c>
      <c r="L1418" t="n">
        <v>1525</v>
      </c>
      <c r="M1418" t="n">
        <v>141</v>
      </c>
      <c r="N1418" t="n">
        <v>4</v>
      </c>
      <c r="O1418" t="n">
        <v>37</v>
      </c>
    </row>
    <row r="1419" ht="27" customHeight="1">
      <c r="A1419" s="18" t="n">
        <v>46131</v>
      </c>
      <c r="B1419" t="inlineStr">
        <is>
          <t>16周</t>
        </is>
      </c>
      <c r="C1419" t="inlineStr">
        <is>
          <t>小红书</t>
        </is>
      </c>
      <c r="D1419" t="inlineStr"/>
      <c r="E1419" t="inlineStr"/>
      <c r="F1419" t="inlineStr">
        <is>
          <t>https://www.xiaohongshu.com/discovery/item/69e45411000000001a030869?xsec_token=CBcm4RV3e2G5dF0BT0oVnmmJ77yxWT_FzRpxnvmF1zUzk=&amp;xsec_source=app_share&amp;type=video</t>
        </is>
      </c>
      <c r="G1419" t="inlineStr">
        <is>
          <t>0002A1</t>
        </is>
      </c>
      <c r="H1419" t="inlineStr">
        <is>
          <t>穿搭</t>
        </is>
      </c>
      <c r="I1419" t="n">
        <v>0</v>
      </c>
      <c r="J1419" t="n">
        <v>0</v>
      </c>
      <c r="K1419" t="n">
        <v>110.5</v>
      </c>
      <c r="L1419" t="n">
        <v>3112</v>
      </c>
      <c r="M1419" t="n">
        <v>173</v>
      </c>
      <c r="N1419" t="n">
        <v>52</v>
      </c>
      <c r="O1419" t="n">
        <v>23</v>
      </c>
    </row>
    <row r="1420" ht="27" customHeight="1">
      <c r="A1420" s="18" t="n">
        <v>46131</v>
      </c>
      <c r="B1420" t="inlineStr">
        <is>
          <t>16周</t>
        </is>
      </c>
      <c r="C1420" t="inlineStr">
        <is>
          <t>小红书</t>
        </is>
      </c>
      <c r="D1420" t="inlineStr"/>
      <c r="E1420" t="inlineStr"/>
      <c r="F1420" t="inlineStr">
        <is>
          <t>https://www.xiaohongshu.com/discovery/item/69e4b559000000001a02dfc5?xsec_token=CBcm4RV3e2G5dF0BT0oVnmmJbPsyrfYF5brjjTQ_3Unwk=&amp;xsec_source=app_share</t>
        </is>
      </c>
      <c r="G1420" t="inlineStr">
        <is>
          <t>0001A1</t>
        </is>
      </c>
      <c r="H1420" t="inlineStr">
        <is>
          <t>穿搭</t>
        </is>
      </c>
      <c r="I1420" t="n">
        <v>0</v>
      </c>
      <c r="J1420" t="n">
        <v>0</v>
      </c>
      <c r="K1420" t="n">
        <v>107.5</v>
      </c>
      <c r="L1420" t="n">
        <v>1646</v>
      </c>
      <c r="M1420" t="n">
        <v>122</v>
      </c>
      <c r="N1420" t="n">
        <v>17</v>
      </c>
      <c r="O1420" t="n">
        <v>4</v>
      </c>
    </row>
    <row r="1421" ht="27" customHeight="1">
      <c r="A1421" s="18" t="n">
        <v>46132</v>
      </c>
      <c r="B1421" t="inlineStr">
        <is>
          <t>17周</t>
        </is>
      </c>
      <c r="C1421" t="inlineStr">
        <is>
          <t>抖音</t>
        </is>
      </c>
      <c r="D1421" t="inlineStr"/>
      <c r="E1421" t="inlineStr"/>
      <c r="F1421" t="inlineStr">
        <is>
          <t>https://v.douyin.com/mhdXm3WASek/</t>
        </is>
      </c>
      <c r="G1421" t="inlineStr">
        <is>
          <t>489</t>
        </is>
      </c>
      <c r="H1421" t="inlineStr">
        <is>
          <t>星邱</t>
        </is>
      </c>
      <c r="I1421" t="n">
        <v>0</v>
      </c>
      <c r="J1421" t="n">
        <v>0</v>
      </c>
      <c r="K1421" t="n">
        <v>53.5</v>
      </c>
      <c r="L1421" t="n">
        <v>8539</v>
      </c>
      <c r="M1421" t="n">
        <v>313</v>
      </c>
      <c r="N1421" t="n">
        <v>15</v>
      </c>
      <c r="O1421" t="n">
        <v>19</v>
      </c>
    </row>
    <row r="1422" ht="27" customHeight="1">
      <c r="A1422" s="18" t="n">
        <v>46132</v>
      </c>
      <c r="B1422" t="inlineStr">
        <is>
          <t>17周</t>
        </is>
      </c>
      <c r="C1422" t="inlineStr">
        <is>
          <t>抖音</t>
        </is>
      </c>
      <c r="D1422" t="inlineStr"/>
      <c r="E1422" t="inlineStr"/>
      <c r="F1422" t="inlineStr">
        <is>
          <t>https://v.douyin.com/oF4LvBUy5R4/</t>
        </is>
      </c>
      <c r="G1422" t="inlineStr">
        <is>
          <t>0002A1</t>
        </is>
      </c>
      <c r="H1422" t="inlineStr">
        <is>
          <t>健身</t>
        </is>
      </c>
      <c r="I1422" t="n">
        <v>180</v>
      </c>
      <c r="J1422" t="n">
        <v>0</v>
      </c>
      <c r="K1422" t="n">
        <v>110.5</v>
      </c>
      <c r="L1422" t="n">
        <v>16000</v>
      </c>
      <c r="M1422" t="n">
        <v>1505</v>
      </c>
      <c r="N1422" t="n">
        <v>112</v>
      </c>
      <c r="O1422" t="n">
        <v>63</v>
      </c>
    </row>
    <row r="1423" ht="94.5" customHeight="1">
      <c r="A1423" s="18" t="n">
        <v>46132</v>
      </c>
      <c r="B1423" t="inlineStr">
        <is>
          <t>17周</t>
        </is>
      </c>
      <c r="C1423" t="inlineStr">
        <is>
          <t>抖音</t>
        </is>
      </c>
      <c r="D1423" t="inlineStr"/>
      <c r="E1423" t="inlineStr"/>
      <c r="F1423" t="inlineStr">
        <is>
          <t>https://v.douyin.com/JfZt_ZxfTM0/</t>
        </is>
      </c>
      <c r="G1423" t="inlineStr">
        <is>
          <t>459</t>
        </is>
      </c>
      <c r="H1423" t="inlineStr">
        <is>
          <t>口播</t>
        </is>
      </c>
      <c r="I1423" t="n">
        <v>0</v>
      </c>
      <c r="J1423" t="n">
        <v>0</v>
      </c>
      <c r="K1423" t="n">
        <v>46.5</v>
      </c>
      <c r="L1423" t="n">
        <v>11000</v>
      </c>
      <c r="M1423" t="n">
        <v>371</v>
      </c>
      <c r="N1423" t="n">
        <v>109</v>
      </c>
      <c r="O1423" t="n">
        <v>22</v>
      </c>
    </row>
    <row r="1424" ht="27" customHeight="1">
      <c r="A1424" s="18" t="n">
        <v>46132</v>
      </c>
      <c r="B1424" t="inlineStr">
        <is>
          <t>17周</t>
        </is>
      </c>
      <c r="C1424" t="inlineStr">
        <is>
          <t>抖音</t>
        </is>
      </c>
      <c r="D1424" t="inlineStr"/>
      <c r="E1424" t="inlineStr"/>
      <c r="F1424" t="inlineStr">
        <is>
          <t>https://v.douyin.com/td9S7FBZFsk/</t>
        </is>
      </c>
      <c r="G1424" t="inlineStr">
        <is>
          <t>0001A1</t>
        </is>
      </c>
      <c r="H1424" t="inlineStr">
        <is>
          <t>野餐</t>
        </is>
      </c>
      <c r="I1424" t="n">
        <v>0</v>
      </c>
      <c r="J1424" t="n">
        <v>0</v>
      </c>
      <c r="K1424" t="n">
        <v>107.5</v>
      </c>
      <c r="L1424" t="n">
        <v>11000</v>
      </c>
      <c r="M1424" t="n">
        <v>340</v>
      </c>
      <c r="N1424" t="n">
        <v>26</v>
      </c>
      <c r="O1424" t="n">
        <v>45</v>
      </c>
    </row>
    <row r="1425" ht="27" customHeight="1">
      <c r="A1425" s="18" t="n">
        <v>46132</v>
      </c>
      <c r="B1425" t="inlineStr">
        <is>
          <t>17周</t>
        </is>
      </c>
      <c r="C1425" t="inlineStr">
        <is>
          <t>抖音</t>
        </is>
      </c>
      <c r="D1425" t="inlineStr"/>
      <c r="E1425" t="inlineStr"/>
      <c r="F1425" t="inlineStr">
        <is>
          <t>https://v.douyin.com/9L9cnrtXsQs/</t>
        </is>
      </c>
      <c r="G1425" t="inlineStr">
        <is>
          <t>495</t>
        </is>
      </c>
      <c r="H1425" t="inlineStr">
        <is>
          <t>穿搭</t>
        </is>
      </c>
      <c r="I1425" t="n">
        <v>0</v>
      </c>
      <c r="J1425" t="n">
        <v>0</v>
      </c>
      <c r="K1425" t="n">
        <v>93</v>
      </c>
      <c r="L1425" t="n">
        <v>4148</v>
      </c>
      <c r="M1425" t="n">
        <v>189</v>
      </c>
      <c r="N1425" t="n">
        <v>8</v>
      </c>
      <c r="O1425" t="n">
        <v>12</v>
      </c>
    </row>
    <row r="1426" ht="81" customHeight="1">
      <c r="A1426" s="18" t="n">
        <v>46132</v>
      </c>
      <c r="B1426" t="inlineStr">
        <is>
          <t>17周</t>
        </is>
      </c>
      <c r="C1426" t="inlineStr">
        <is>
          <t>抖音</t>
        </is>
      </c>
      <c r="D1426" t="inlineStr"/>
      <c r="E1426" t="inlineStr"/>
      <c r="F1426" t="inlineStr">
        <is>
          <t>https://v.douyin.com/xJ7mGbn5bws/</t>
        </is>
      </c>
      <c r="G1426" t="inlineStr">
        <is>
          <t>0002A1</t>
        </is>
      </c>
      <c r="H1426" t="inlineStr">
        <is>
          <t>口播</t>
        </is>
      </c>
      <c r="I1426" t="n">
        <v>0</v>
      </c>
      <c r="J1426" t="n">
        <v>0</v>
      </c>
      <c r="K1426" t="n">
        <v>110.5</v>
      </c>
      <c r="L1426" t="n">
        <v>30000</v>
      </c>
      <c r="M1426" t="n">
        <v>1407</v>
      </c>
      <c r="N1426" t="n">
        <v>649</v>
      </c>
      <c r="O1426" t="n">
        <v>50</v>
      </c>
    </row>
    <row r="1427" ht="27" customHeight="1">
      <c r="A1427" s="18" t="n">
        <v>46132</v>
      </c>
      <c r="B1427" t="inlineStr">
        <is>
          <t>17周</t>
        </is>
      </c>
      <c r="C1427" t="inlineStr">
        <is>
          <t>抖音</t>
        </is>
      </c>
      <c r="D1427" t="inlineStr"/>
      <c r="E1427" t="inlineStr"/>
      <c r="F1427" t="inlineStr">
        <is>
          <t>https://v.douyin.com/OI_YGZ3Oquc/</t>
        </is>
      </c>
      <c r="G1427" t="inlineStr">
        <is>
          <t>495</t>
        </is>
      </c>
      <c r="H1427" t="inlineStr">
        <is>
          <t>跳舞穿搭</t>
        </is>
      </c>
      <c r="I1427" t="n">
        <v>100</v>
      </c>
      <c r="J1427" t="n">
        <v>0</v>
      </c>
      <c r="K1427" t="n">
        <v>93</v>
      </c>
      <c r="L1427" t="n">
        <v>3256</v>
      </c>
      <c r="M1427" t="n">
        <v>442</v>
      </c>
      <c r="N1427" t="n">
        <v>66</v>
      </c>
      <c r="O1427" t="n">
        <v>31</v>
      </c>
    </row>
    <row r="1428" ht="27" customHeight="1">
      <c r="A1428" s="18" t="n">
        <v>46132</v>
      </c>
      <c r="B1428" t="inlineStr">
        <is>
          <t>17周</t>
        </is>
      </c>
      <c r="C1428" t="inlineStr">
        <is>
          <t>抖音</t>
        </is>
      </c>
      <c r="D1428" t="inlineStr"/>
      <c r="E1428" t="inlineStr"/>
      <c r="F1428" t="inlineStr">
        <is>
          <t>https://v.douyin.com/3lWdX_MFM_0/</t>
        </is>
      </c>
      <c r="G1428" t="inlineStr">
        <is>
          <t>495</t>
        </is>
      </c>
      <c r="H1428" t="inlineStr">
        <is>
          <t>穿搭</t>
        </is>
      </c>
      <c r="I1428" t="n">
        <v>0</v>
      </c>
      <c r="J1428" t="n">
        <v>0</v>
      </c>
      <c r="K1428" t="n">
        <v>93</v>
      </c>
      <c r="L1428" t="n">
        <v>2195</v>
      </c>
      <c r="M1428" t="n">
        <v>60</v>
      </c>
      <c r="N1428" t="n">
        <v>1</v>
      </c>
      <c r="O1428" t="n">
        <v>22</v>
      </c>
    </row>
    <row r="1429" ht="67.5" customHeight="1">
      <c r="A1429" s="18" t="n">
        <v>46132</v>
      </c>
      <c r="B1429" t="inlineStr">
        <is>
          <t>17周</t>
        </is>
      </c>
      <c r="C1429" t="inlineStr">
        <is>
          <t>抖音</t>
        </is>
      </c>
      <c r="D1429" t="inlineStr"/>
      <c r="E1429" t="inlineStr"/>
      <c r="F1429" t="inlineStr">
        <is>
          <t>https://v.douyin.com/A5FG3Nzl0S0/</t>
        </is>
      </c>
      <c r="G1429" t="inlineStr">
        <is>
          <t>0002A1</t>
        </is>
      </c>
      <c r="H1429" t="inlineStr">
        <is>
          <t>口播</t>
        </is>
      </c>
      <c r="I1429" t="n">
        <v>500</v>
      </c>
      <c r="J1429" t="n">
        <v>0</v>
      </c>
      <c r="K1429" t="n">
        <v>110.5</v>
      </c>
      <c r="L1429" t="n">
        <v>27000</v>
      </c>
      <c r="M1429" t="n">
        <v>1095</v>
      </c>
      <c r="N1429" t="n">
        <v>200</v>
      </c>
      <c r="O1429" t="n">
        <v>18</v>
      </c>
    </row>
    <row r="1430">
      <c r="A1430" s="18" t="n">
        <v>46132</v>
      </c>
      <c r="B1430" t="inlineStr">
        <is>
          <t>17周</t>
        </is>
      </c>
      <c r="C1430" t="inlineStr">
        <is>
          <t>抖音</t>
        </is>
      </c>
      <c r="D1430" t="inlineStr"/>
      <c r="E1430" t="inlineStr"/>
      <c r="F1430" t="inlineStr">
        <is>
          <t>https://www.douyin.com/user/MS4wLjABAAAABYsdRA7CQset5FwkZ6A80sAmA0UZIDPhRqDwXnbUoC3a1xZPcwN4WBSw9wIxz3YU?from_tab_name=main&amp;modal_id=7630781223598764922</t>
        </is>
      </c>
      <c r="G1430" t="inlineStr">
        <is>
          <t>0002A1</t>
        </is>
      </c>
      <c r="H1430" t="inlineStr">
        <is>
          <t>口播</t>
        </is>
      </c>
      <c r="I1430" t="n">
        <v>200</v>
      </c>
      <c r="J1430" t="n">
        <v>0</v>
      </c>
      <c r="K1430" t="n">
        <v>110.5</v>
      </c>
      <c r="L1430" t="n">
        <v>7982</v>
      </c>
      <c r="M1430" t="n">
        <v>331</v>
      </c>
      <c r="N1430" t="n">
        <v>175</v>
      </c>
      <c r="O1430" t="n">
        <v>8</v>
      </c>
    </row>
    <row r="1431">
      <c r="A1431" s="18" t="n">
        <v>46132</v>
      </c>
      <c r="B1431" t="inlineStr">
        <is>
          <t>17周</t>
        </is>
      </c>
      <c r="C1431" t="inlineStr">
        <is>
          <t>抖音</t>
        </is>
      </c>
      <c r="D1431" t="inlineStr"/>
      <c r="E1431" t="inlineStr"/>
      <c r="F1431" t="inlineStr">
        <is>
          <t>https://v.douyin.com/4cBbOpObG7U/</t>
        </is>
      </c>
      <c r="G1431" t="inlineStr">
        <is>
          <t>0002A1</t>
        </is>
      </c>
      <c r="H1431" t="inlineStr">
        <is>
          <t>穿搭</t>
        </is>
      </c>
      <c r="I1431" t="n">
        <v>300</v>
      </c>
      <c r="J1431" t="n">
        <v>0</v>
      </c>
      <c r="K1431" t="n">
        <v>110.5</v>
      </c>
      <c r="L1431" t="n">
        <v>9400</v>
      </c>
      <c r="M1431" t="n">
        <v>1118</v>
      </c>
      <c r="N1431" t="n">
        <v>71</v>
      </c>
      <c r="O1431" t="n">
        <v>53</v>
      </c>
    </row>
    <row r="1432">
      <c r="A1432" s="18" t="n">
        <v>46132</v>
      </c>
      <c r="B1432" t="inlineStr">
        <is>
          <t>17周</t>
        </is>
      </c>
      <c r="C1432" t="inlineStr">
        <is>
          <t>小红书</t>
        </is>
      </c>
      <c r="D1432" t="inlineStr"/>
      <c r="E1432" t="inlineStr"/>
      <c r="F1432" t="inlineStr">
        <is>
          <t>https://www.xiaohongshu.com/discovery/item/69e626a4000000001a037b7f?xsec_token=CBvC5BgHXq54XimDrWZeHfqUrUVAuG_-8wg-SOL8rP0eA=&amp;xsec_source=app_share&amp;type=video</t>
        </is>
      </c>
      <c r="G1432" t="inlineStr">
        <is>
          <t>0002A1</t>
        </is>
      </c>
      <c r="H1432" t="inlineStr">
        <is>
          <t>口播</t>
        </is>
      </c>
      <c r="I1432" t="n">
        <v>0</v>
      </c>
      <c r="J1432" t="n">
        <v>0</v>
      </c>
      <c r="K1432" t="n">
        <v>110.5</v>
      </c>
      <c r="L1432" t="n">
        <v>1220</v>
      </c>
      <c r="M1432" t="n">
        <v>70</v>
      </c>
      <c r="N1432" t="n">
        <v>34</v>
      </c>
      <c r="O1432" t="n">
        <v>4</v>
      </c>
    </row>
    <row r="1433">
      <c r="A1433" s="18" t="n">
        <v>46132</v>
      </c>
      <c r="B1433" t="inlineStr">
        <is>
          <t>17周</t>
        </is>
      </c>
      <c r="C1433" t="inlineStr">
        <is>
          <t>小红书</t>
        </is>
      </c>
      <c r="D1433" t="inlineStr"/>
      <c r="E1433" t="inlineStr"/>
      <c r="F1433" t="inlineStr">
        <is>
          <t>https://www.xiaohongshu.com/discovery/item/69e632df000000001a02b0f6?xsec_token=CBVJtIczRy0dDSrI9gsjdqCE7r5ZQqByeVqNezLXLWqRA=&amp;xsec_source=app_share&amp;type=video</t>
        </is>
      </c>
      <c r="G1433" t="inlineStr">
        <is>
          <t>0002A1</t>
        </is>
      </c>
      <c r="H1433" t="inlineStr">
        <is>
          <t>口播</t>
        </is>
      </c>
      <c r="I1433" t="n">
        <v>350</v>
      </c>
      <c r="J1433" t="n">
        <v>0</v>
      </c>
      <c r="K1433" t="n">
        <v>110.5</v>
      </c>
      <c r="L1433" t="n">
        <v>19652</v>
      </c>
      <c r="M1433" t="n">
        <v>2322</v>
      </c>
      <c r="N1433" t="n">
        <v>1113</v>
      </c>
      <c r="O1433" t="n">
        <v>66</v>
      </c>
    </row>
    <row r="1434">
      <c r="A1434" s="18" t="n">
        <v>46132</v>
      </c>
      <c r="B1434" t="inlineStr">
        <is>
          <t>17周</t>
        </is>
      </c>
      <c r="C1434" t="inlineStr">
        <is>
          <t>小红书</t>
        </is>
      </c>
      <c r="D1434" t="inlineStr"/>
      <c r="E1434" t="inlineStr"/>
      <c r="F1434" t="inlineStr">
        <is>
          <t>https://www.xiaohongshu.com/discovery/item/69e63cad0000000021013c80?xsec_token=CBvC5BgHXq54XimDrWZeHfqX9p2IyMF-ay5CQSazdbUDM=&amp;xsec_source=app_share&amp;type=video</t>
        </is>
      </c>
      <c r="G1434" t="inlineStr">
        <is>
          <t>495</t>
        </is>
      </c>
      <c r="H1434" t="inlineStr">
        <is>
          <t>跳舞穿搭</t>
        </is>
      </c>
      <c r="I1434" t="n">
        <v>0</v>
      </c>
      <c r="J1434" t="n">
        <v>0</v>
      </c>
      <c r="K1434" t="n">
        <v>93</v>
      </c>
      <c r="L1434" t="n">
        <v>1196</v>
      </c>
      <c r="M1434" t="n">
        <v>67</v>
      </c>
      <c r="N1434" t="n">
        <v>16</v>
      </c>
      <c r="O1434" t="n">
        <v>3</v>
      </c>
    </row>
    <row r="1435">
      <c r="A1435" s="18" t="n">
        <v>46132</v>
      </c>
      <c r="B1435" t="inlineStr">
        <is>
          <t>17周</t>
        </is>
      </c>
      <c r="C1435" t="inlineStr">
        <is>
          <t>小红书</t>
        </is>
      </c>
      <c r="D1435" t="inlineStr"/>
      <c r="E1435" t="inlineStr"/>
      <c r="F1435" t="inlineStr">
        <is>
          <t>https://www.xiaohongshu.com/discovery/item/69e63e66000000002A1202b9b7?xsec_token=CBvC5BgHXq54XimDrWZeHfqb5j4jmhRHzUYCO7zwO-jbs=&amp;xsec_source=app_share</t>
        </is>
      </c>
      <c r="G1435" t="inlineStr">
        <is>
          <t>0002A1</t>
        </is>
      </c>
      <c r="H1435" t="inlineStr">
        <is>
          <t>穿搭</t>
        </is>
      </c>
      <c r="I1435" t="n">
        <v>0</v>
      </c>
      <c r="J1435" t="n">
        <v>0</v>
      </c>
      <c r="K1435" t="n">
        <v>110.5</v>
      </c>
      <c r="L1435" t="n">
        <v>5070</v>
      </c>
      <c r="M1435" t="n">
        <v>833</v>
      </c>
      <c r="N1435" t="n">
        <v>146</v>
      </c>
      <c r="O1435" t="n">
        <v>7</v>
      </c>
    </row>
    <row r="1436">
      <c r="A1436" s="18" t="n">
        <v>46133</v>
      </c>
      <c r="B1436" t="inlineStr">
        <is>
          <t>17周</t>
        </is>
      </c>
      <c r="C1436" t="inlineStr">
        <is>
          <t>抖音</t>
        </is>
      </c>
      <c r="D1436" t="inlineStr"/>
      <c r="E1436" t="inlineStr"/>
      <c r="F1436" t="inlineStr">
        <is>
          <t>https://www.douyin.com/user/MS4wLjABAAAAkND2jsY0-zUcaxB-myxpi-ICEXBRRX8TldjtR_fCTdM?from_tab_name=main&amp;modal_id=7631151112892931279</t>
        </is>
      </c>
      <c r="G1436" t="inlineStr">
        <is>
          <t>489</t>
        </is>
      </c>
      <c r="H1436" t="inlineStr">
        <is>
          <t>林俊杰</t>
        </is>
      </c>
      <c r="I1436" t="n">
        <v>0</v>
      </c>
      <c r="J1436" t="n">
        <v>0</v>
      </c>
      <c r="K1436" t="n">
        <v>53.5</v>
      </c>
      <c r="L1436" t="n">
        <v>11000</v>
      </c>
      <c r="M1436" t="n">
        <v>383</v>
      </c>
      <c r="N1436" t="n">
        <v>14</v>
      </c>
      <c r="O1436" t="n">
        <v>79</v>
      </c>
    </row>
    <row r="1437">
      <c r="A1437" s="18" t="n">
        <v>46133</v>
      </c>
      <c r="B1437" t="inlineStr">
        <is>
          <t>17周</t>
        </is>
      </c>
      <c r="C1437" t="inlineStr">
        <is>
          <t>抖音</t>
        </is>
      </c>
      <c r="D1437" t="inlineStr"/>
      <c r="E1437" t="inlineStr"/>
      <c r="F1437" t="inlineStr">
        <is>
          <t>https://v.douyin.com/hY9Gh5lfH0Q/</t>
        </is>
      </c>
      <c r="G1437" t="inlineStr">
        <is>
          <t>0002A1</t>
        </is>
      </c>
      <c r="H1437" t="inlineStr">
        <is>
          <t>跳舞</t>
        </is>
      </c>
      <c r="I1437" t="n">
        <v>0</v>
      </c>
      <c r="J1437" t="n">
        <v>0</v>
      </c>
      <c r="K1437" t="n">
        <v>110.5</v>
      </c>
      <c r="L1437" t="n">
        <v>140000</v>
      </c>
      <c r="M1437" t="n">
        <v>5113</v>
      </c>
      <c r="N1437" t="n">
        <v>634</v>
      </c>
      <c r="O1437" t="n">
        <v>64</v>
      </c>
    </row>
    <row r="1438">
      <c r="A1438" s="18" t="n">
        <v>46133</v>
      </c>
      <c r="B1438" t="inlineStr">
        <is>
          <t>17周</t>
        </is>
      </c>
      <c r="C1438" t="inlineStr">
        <is>
          <t>抖音</t>
        </is>
      </c>
      <c r="D1438" t="inlineStr"/>
      <c r="E1438" t="inlineStr"/>
      <c r="F1438" t="inlineStr">
        <is>
          <t>https://www.douyin.com/user/MS4wLjABAAAAGUd3RsLe6G1DyM65imccCq3KJ_2iXwblcKNkZbYDz5i_BO6xi4NJCPkPdDMfNp9C?from_tab_name=main&amp;modal_id=7631205340252741775&amp;vid=7631205340252741775</t>
        </is>
      </c>
      <c r="G1438" t="inlineStr">
        <is>
          <t>0002A1</t>
        </is>
      </c>
      <c r="H1438" t="inlineStr">
        <is>
          <t>穿搭</t>
        </is>
      </c>
      <c r="I1438" t="n">
        <v>0</v>
      </c>
      <c r="J1438" t="n">
        <v>0</v>
      </c>
      <c r="K1438" t="n">
        <v>110.5</v>
      </c>
      <c r="L1438" t="n">
        <v>6825</v>
      </c>
      <c r="M1438" t="n">
        <v>404</v>
      </c>
      <c r="N1438" t="n">
        <v>9</v>
      </c>
      <c r="O1438" t="n">
        <v>26</v>
      </c>
    </row>
    <row r="1439">
      <c r="A1439" s="18" t="n">
        <v>46134</v>
      </c>
      <c r="B1439" t="inlineStr">
        <is>
          <t>17周</t>
        </is>
      </c>
      <c r="C1439" t="inlineStr">
        <is>
          <t>抖音</t>
        </is>
      </c>
      <c r="D1439" t="inlineStr"/>
      <c r="E1439" t="inlineStr"/>
      <c r="F1439" t="inlineStr">
        <is>
          <t>https://v.douyin.com/vCtFlCCPprE/</t>
        </is>
      </c>
      <c r="G1439" t="inlineStr">
        <is>
          <t>0002A1</t>
        </is>
      </c>
      <c r="H1439" t="inlineStr">
        <is>
          <t>穿搭</t>
        </is>
      </c>
      <c r="I1439" t="n">
        <v>200</v>
      </c>
      <c r="J1439" t="n">
        <v>0</v>
      </c>
      <c r="K1439" t="n">
        <v>110.5</v>
      </c>
      <c r="L1439" t="n">
        <v>2734</v>
      </c>
      <c r="M1439" t="n">
        <v>480</v>
      </c>
      <c r="N1439" t="n">
        <v>14</v>
      </c>
      <c r="O1439" t="n">
        <v>6</v>
      </c>
    </row>
    <row r="1440">
      <c r="A1440" s="18" t="n">
        <v>46135</v>
      </c>
      <c r="B1440" t="inlineStr">
        <is>
          <t>17周</t>
        </is>
      </c>
      <c r="C1440" t="inlineStr">
        <is>
          <t>抖音</t>
        </is>
      </c>
      <c r="D1440" t="inlineStr"/>
      <c r="E1440" t="inlineStr"/>
      <c r="F1440" t="inlineStr">
        <is>
          <t>https://v.douyin.com/7vPwl0bu0u4/</t>
        </is>
      </c>
      <c r="G1440" t="inlineStr">
        <is>
          <t>489</t>
        </is>
      </c>
      <c r="H1440" t="inlineStr">
        <is>
          <t>赵露思</t>
        </is>
      </c>
      <c r="I1440" t="n">
        <v>0</v>
      </c>
      <c r="J1440" t="n">
        <v>0</v>
      </c>
      <c r="K1440" t="n">
        <v>53.5</v>
      </c>
      <c r="L1440" t="n">
        <v>5282</v>
      </c>
      <c r="M1440" t="n">
        <v>2194</v>
      </c>
      <c r="N1440" t="n">
        <v>26</v>
      </c>
      <c r="O1440" t="n">
        <v>104</v>
      </c>
    </row>
    <row r="1441">
      <c r="A1441" s="18" t="n">
        <v>46135</v>
      </c>
      <c r="B1441" t="inlineStr">
        <is>
          <t>17周</t>
        </is>
      </c>
      <c r="C1441" t="inlineStr">
        <is>
          <t>抖音</t>
        </is>
      </c>
      <c r="D1441" t="inlineStr"/>
      <c r="E1441" t="inlineStr"/>
      <c r="F1441" t="inlineStr">
        <is>
          <t>https://v.douyin.com/YzeWUue-EwM/</t>
        </is>
      </c>
      <c r="G1441" t="inlineStr">
        <is>
          <t>495</t>
        </is>
      </c>
      <c r="H1441" t="inlineStr">
        <is>
          <t>穿搭</t>
        </is>
      </c>
      <c r="I1441" t="n">
        <v>0</v>
      </c>
      <c r="J1441" t="n">
        <v>0</v>
      </c>
      <c r="K1441" t="n">
        <v>93</v>
      </c>
      <c r="L1441" t="n">
        <v>10000</v>
      </c>
      <c r="M1441" t="n">
        <v>196</v>
      </c>
      <c r="N1441" t="n">
        <v>1</v>
      </c>
      <c r="O1441" t="n">
        <v>17</v>
      </c>
    </row>
    <row r="1442">
      <c r="A1442" s="18" t="n">
        <v>46136</v>
      </c>
      <c r="B1442" t="inlineStr">
        <is>
          <t>17周</t>
        </is>
      </c>
      <c r="C1442" t="inlineStr">
        <is>
          <t>抖音</t>
        </is>
      </c>
      <c r="D1442" t="inlineStr"/>
      <c r="E1442" t="inlineStr"/>
      <c r="F1442" t="inlineStr">
        <is>
          <t>https://v.douyin.com/lgE1d6MiaZM/</t>
        </is>
      </c>
      <c r="G1442" t="inlineStr">
        <is>
          <t>0001A1</t>
        </is>
      </c>
      <c r="H1442" t="inlineStr">
        <is>
          <t>口播</t>
        </is>
      </c>
      <c r="I1442" t="n">
        <v>280</v>
      </c>
      <c r="J1442" t="n">
        <v>0</v>
      </c>
      <c r="K1442" t="n">
        <v>107.5</v>
      </c>
      <c r="L1442" t="n">
        <v>28000</v>
      </c>
      <c r="M1442" t="n">
        <v>556</v>
      </c>
      <c r="N1442" t="n">
        <v>301</v>
      </c>
      <c r="O1442" t="n">
        <v>65</v>
      </c>
    </row>
    <row r="1443">
      <c r="A1443" s="18" t="n">
        <v>46136</v>
      </c>
      <c r="B1443" t="inlineStr">
        <is>
          <t>17周</t>
        </is>
      </c>
      <c r="C1443" t="inlineStr">
        <is>
          <t>抖音</t>
        </is>
      </c>
      <c r="D1443" t="inlineStr"/>
      <c r="E1443" t="inlineStr"/>
      <c r="F1443" t="inlineStr">
        <is>
          <t>https://v.douyin.com/k4-IxKt4Obk/</t>
        </is>
      </c>
      <c r="G1443" t="inlineStr">
        <is>
          <t>0001A1</t>
        </is>
      </c>
      <c r="H1443" t="inlineStr">
        <is>
          <t>穿搭</t>
        </is>
      </c>
      <c r="I1443" t="n">
        <v>0</v>
      </c>
      <c r="J1443" t="n">
        <v>0</v>
      </c>
      <c r="K1443" t="n">
        <v>107.5</v>
      </c>
      <c r="L1443" t="n">
        <v>148000</v>
      </c>
      <c r="M1443" t="n">
        <v>2916</v>
      </c>
      <c r="N1443" t="n">
        <v>1167</v>
      </c>
      <c r="O1443" t="n">
        <v>63</v>
      </c>
    </row>
    <row r="1444">
      <c r="A1444" s="18" t="n">
        <v>46136</v>
      </c>
      <c r="B1444" t="inlineStr">
        <is>
          <t>17周</t>
        </is>
      </c>
      <c r="C1444" t="inlineStr">
        <is>
          <t>抖音</t>
        </is>
      </c>
      <c r="D1444" t="inlineStr"/>
      <c r="E1444" t="inlineStr"/>
      <c r="F1444" t="inlineStr">
        <is>
          <t>https://v.douyin.com/pHwKphqGI-c/</t>
        </is>
      </c>
      <c r="G1444" t="inlineStr">
        <is>
          <t>489</t>
        </is>
      </c>
      <c r="H1444" t="inlineStr">
        <is>
          <t>马嘉祺</t>
        </is>
      </c>
      <c r="I1444" t="n">
        <v>0</v>
      </c>
      <c r="J1444" t="n">
        <v>0</v>
      </c>
      <c r="K1444" t="n">
        <v>53.5</v>
      </c>
      <c r="L1444" t="n">
        <v>16000</v>
      </c>
      <c r="M1444" t="n">
        <v>1112</v>
      </c>
      <c r="N1444" t="n">
        <v>39</v>
      </c>
      <c r="O1444" t="n">
        <v>92</v>
      </c>
    </row>
    <row r="1445">
      <c r="A1445" s="18" t="n">
        <v>46136</v>
      </c>
      <c r="B1445" t="inlineStr">
        <is>
          <t>17周</t>
        </is>
      </c>
      <c r="C1445" t="inlineStr">
        <is>
          <t>抖音</t>
        </is>
      </c>
      <c r="D1445" t="inlineStr"/>
      <c r="E1445" t="inlineStr"/>
      <c r="F1445" t="inlineStr">
        <is>
          <t>https://v.douyin.com/yp1xUSzt9_A/</t>
        </is>
      </c>
      <c r="G1445" t="inlineStr">
        <is>
          <t>0002A1</t>
        </is>
      </c>
      <c r="H1445" t="inlineStr">
        <is>
          <t>穿搭</t>
        </is>
      </c>
      <c r="I1445" t="n">
        <v>0</v>
      </c>
      <c r="J1445" t="n">
        <v>0</v>
      </c>
      <c r="K1445" t="n">
        <v>110.5</v>
      </c>
      <c r="L1445" t="n">
        <v>12000</v>
      </c>
      <c r="M1445" t="n">
        <v>383</v>
      </c>
      <c r="N1445" t="n">
        <v>201</v>
      </c>
      <c r="O1445" t="n">
        <v>14</v>
      </c>
    </row>
    <row r="1446">
      <c r="A1446" s="18" t="n">
        <v>46136</v>
      </c>
      <c r="B1446" t="inlineStr">
        <is>
          <t>17周</t>
        </is>
      </c>
      <c r="C1446" t="inlineStr">
        <is>
          <t>抖音</t>
        </is>
      </c>
      <c r="D1446" t="inlineStr"/>
      <c r="E1446" t="inlineStr"/>
      <c r="F1446" t="inlineStr">
        <is>
          <t>https://v.douyin.com/UUvsvWVCN4U/</t>
        </is>
      </c>
      <c r="G1446" t="inlineStr">
        <is>
          <t>1225W</t>
        </is>
      </c>
      <c r="H1446" t="inlineStr">
        <is>
          <t>女高</t>
        </is>
      </c>
      <c r="I1446" t="n">
        <v>0</v>
      </c>
      <c r="J1446" t="n">
        <v>0</v>
      </c>
      <c r="K1446" t="n">
        <v>60.5</v>
      </c>
      <c r="L1446" t="n">
        <v>3077</v>
      </c>
      <c r="M1446" t="n">
        <v>303</v>
      </c>
      <c r="N1446" t="n">
        <v>7</v>
      </c>
      <c r="O1446" t="n">
        <v>9</v>
      </c>
    </row>
    <row r="1447">
      <c r="A1447" s="18" t="n">
        <v>46136</v>
      </c>
      <c r="B1447" t="inlineStr">
        <is>
          <t>17周</t>
        </is>
      </c>
      <c r="C1447" t="inlineStr">
        <is>
          <t>抖音</t>
        </is>
      </c>
      <c r="D1447" t="inlineStr"/>
      <c r="E1447" t="inlineStr"/>
      <c r="F1447" t="inlineStr">
        <is>
          <t>https://v.douyin.com/4ELOk3GAZl4/</t>
        </is>
      </c>
      <c r="G1447" t="inlineStr">
        <is>
          <t>0002A1</t>
        </is>
      </c>
      <c r="H1447" t="inlineStr">
        <is>
          <t>穿搭</t>
        </is>
      </c>
      <c r="I1447" t="n">
        <v>0</v>
      </c>
      <c r="J1447" t="n">
        <v>0</v>
      </c>
      <c r="K1447" t="n">
        <v>110.5</v>
      </c>
      <c r="L1447" t="n">
        <v>9203</v>
      </c>
      <c r="M1447" t="n">
        <v>432</v>
      </c>
      <c r="N1447" t="n">
        <v>27</v>
      </c>
      <c r="O1447" t="n">
        <v>58</v>
      </c>
    </row>
    <row r="1448">
      <c r="A1448" s="18" t="n">
        <v>46136</v>
      </c>
      <c r="B1448" t="inlineStr">
        <is>
          <t>17周</t>
        </is>
      </c>
      <c r="C1448" t="inlineStr">
        <is>
          <t>抖音</t>
        </is>
      </c>
      <c r="D1448" t="inlineStr"/>
      <c r="E1448" t="inlineStr"/>
      <c r="F1448" t="inlineStr">
        <is>
          <t>https://v.douyin.com/DrEzHi7SJQw/</t>
        </is>
      </c>
      <c r="G1448" t="inlineStr">
        <is>
          <t>489</t>
        </is>
      </c>
      <c r="H1448" t="inlineStr">
        <is>
          <t>马嘉祺</t>
        </is>
      </c>
      <c r="I1448" t="n">
        <v>0</v>
      </c>
      <c r="J1448" t="n">
        <v>0</v>
      </c>
      <c r="K1448" t="n">
        <v>53.5</v>
      </c>
      <c r="L1448" t="n">
        <v>7706</v>
      </c>
      <c r="M1448" t="n">
        <v>300</v>
      </c>
      <c r="N1448" t="n">
        <v>23</v>
      </c>
      <c r="O1448" t="n">
        <v>7</v>
      </c>
    </row>
    <row r="1449">
      <c r="A1449" s="18" t="n">
        <v>46136</v>
      </c>
      <c r="B1449" t="inlineStr">
        <is>
          <t>17周</t>
        </is>
      </c>
      <c r="C1449" t="inlineStr">
        <is>
          <t>抖音</t>
        </is>
      </c>
      <c r="D1449" t="inlineStr"/>
      <c r="E1449" t="inlineStr"/>
      <c r="F1449" t="inlineStr">
        <is>
          <t>https://v.douyin.com/M0AZNGc7oHU/</t>
        </is>
      </c>
      <c r="G1449" t="inlineStr">
        <is>
          <t>495</t>
        </is>
      </c>
      <c r="H1449" t="inlineStr">
        <is>
          <t>穿搭</t>
        </is>
      </c>
      <c r="I1449" t="n">
        <v>0</v>
      </c>
      <c r="J1449" t="n">
        <v>0</v>
      </c>
      <c r="K1449" t="n">
        <v>93</v>
      </c>
      <c r="L1449" t="n">
        <v>18000</v>
      </c>
      <c r="M1449" t="n">
        <v>586</v>
      </c>
      <c r="N1449" t="n">
        <v>42</v>
      </c>
      <c r="O1449" t="n">
        <v>45</v>
      </c>
    </row>
    <row r="1450">
      <c r="A1450" s="18" t="n">
        <v>46136</v>
      </c>
      <c r="B1450" t="inlineStr">
        <is>
          <t>17周</t>
        </is>
      </c>
      <c r="C1450" t="inlineStr">
        <is>
          <t>抖音</t>
        </is>
      </c>
      <c r="D1450" t="inlineStr"/>
      <c r="E1450" t="inlineStr"/>
      <c r="F1450" t="inlineStr">
        <is>
          <t>https://v.douyin.com/IA1Aev_3sxY/</t>
        </is>
      </c>
      <c r="G1450" t="inlineStr">
        <is>
          <t>0002A1</t>
        </is>
      </c>
      <c r="H1450" t="inlineStr">
        <is>
          <t>开箱</t>
        </is>
      </c>
      <c r="I1450" t="n">
        <v>0</v>
      </c>
      <c r="J1450" t="n">
        <v>0</v>
      </c>
      <c r="K1450" t="n">
        <v>110.5</v>
      </c>
      <c r="L1450" t="n">
        <v>50000</v>
      </c>
      <c r="M1450" t="n">
        <v>1084</v>
      </c>
      <c r="N1450" t="n">
        <v>160</v>
      </c>
      <c r="O1450" t="n">
        <v>227</v>
      </c>
    </row>
    <row r="1451">
      <c r="A1451" s="18" t="n">
        <v>46136</v>
      </c>
      <c r="B1451" t="inlineStr">
        <is>
          <t>17周</t>
        </is>
      </c>
      <c r="C1451" t="inlineStr">
        <is>
          <t>抖音</t>
        </is>
      </c>
      <c r="D1451" t="inlineStr"/>
      <c r="E1451" t="inlineStr"/>
      <c r="F1451" t="inlineStr">
        <is>
          <t>https://v.douyin.com/iq7Cprggyx8/</t>
        </is>
      </c>
      <c r="G1451" t="inlineStr">
        <is>
          <t>0002A1</t>
        </is>
      </c>
      <c r="H1451" t="inlineStr">
        <is>
          <t>穿搭</t>
        </is>
      </c>
      <c r="I1451" t="n">
        <v>0</v>
      </c>
      <c r="J1451" t="n">
        <v>0</v>
      </c>
      <c r="K1451" t="n">
        <v>110.5</v>
      </c>
      <c r="L1451" t="n">
        <v>31000</v>
      </c>
      <c r="M1451" t="n">
        <v>1423</v>
      </c>
      <c r="N1451" t="n">
        <v>101</v>
      </c>
      <c r="O1451" t="n">
        <v>89</v>
      </c>
    </row>
    <row r="1452">
      <c r="A1452" s="18" t="n">
        <v>46136</v>
      </c>
      <c r="B1452" t="inlineStr">
        <is>
          <t>17周</t>
        </is>
      </c>
      <c r="C1452" t="inlineStr">
        <is>
          <t>抖音</t>
        </is>
      </c>
      <c r="D1452" t="inlineStr"/>
      <c r="E1452" t="inlineStr"/>
      <c r="F1452" t="inlineStr">
        <is>
          <t>https://v.douyin.com/eKcUfnCtpEw/</t>
        </is>
      </c>
      <c r="G1452" t="inlineStr">
        <is>
          <t>489</t>
        </is>
      </c>
      <c r="H1452" t="inlineStr">
        <is>
          <t>陈奕恒</t>
        </is>
      </c>
      <c r="I1452" t="n">
        <v>0</v>
      </c>
      <c r="J1452" t="n">
        <v>0</v>
      </c>
      <c r="K1452" t="n">
        <v>53.5</v>
      </c>
      <c r="L1452" t="n">
        <v>3108</v>
      </c>
      <c r="M1452" t="n">
        <v>574</v>
      </c>
      <c r="N1452" t="n">
        <v>16</v>
      </c>
      <c r="O1452" t="n">
        <v>106</v>
      </c>
    </row>
    <row r="1453">
      <c r="A1453" s="18" t="n">
        <v>46136</v>
      </c>
      <c r="B1453" t="inlineStr">
        <is>
          <t>17周</t>
        </is>
      </c>
      <c r="C1453" t="inlineStr">
        <is>
          <t>抖音</t>
        </is>
      </c>
      <c r="D1453" t="inlineStr"/>
      <c r="E1453" t="inlineStr"/>
      <c r="F1453" t="inlineStr">
        <is>
          <t>https://v.douyin.com/WPWCJln1gjk/</t>
        </is>
      </c>
      <c r="G1453" t="inlineStr">
        <is>
          <t>495</t>
        </is>
      </c>
      <c r="H1453" t="inlineStr">
        <is>
          <t>穿搭</t>
        </is>
      </c>
      <c r="I1453" t="n">
        <v>0</v>
      </c>
      <c r="J1453" t="n">
        <v>0</v>
      </c>
      <c r="K1453" t="n">
        <v>93</v>
      </c>
      <c r="L1453" t="n">
        <v>13000</v>
      </c>
      <c r="M1453" t="n">
        <v>1187</v>
      </c>
      <c r="N1453" t="n">
        <v>57</v>
      </c>
      <c r="O1453" t="n">
        <v>18</v>
      </c>
    </row>
    <row r="1454">
      <c r="A1454" s="18" t="n">
        <v>46136</v>
      </c>
      <c r="B1454" t="inlineStr">
        <is>
          <t>17周</t>
        </is>
      </c>
      <c r="C1454" t="inlineStr">
        <is>
          <t>小红书</t>
        </is>
      </c>
      <c r="D1454" t="inlineStr"/>
      <c r="E1454" t="inlineStr"/>
      <c r="F1454" t="inlineStr">
        <is>
          <t>https://www.xiaohongshu.com/discovery/item/69eaecd3000000001f0069cb?xsec_token=CB-qLjs9K7eoRMPGtH_c8SyWhimhcnMCylNQN2FA5bN0M=&amp;xsec_source=app_share&amp;type=video</t>
        </is>
      </c>
      <c r="G1454" t="inlineStr">
        <is>
          <t>0001A1</t>
        </is>
      </c>
      <c r="H1454" t="inlineStr">
        <is>
          <t>穿搭</t>
        </is>
      </c>
      <c r="I1454" t="n">
        <v>0</v>
      </c>
      <c r="J1454" t="n">
        <v>0</v>
      </c>
      <c r="K1454" t="n">
        <v>107.5</v>
      </c>
      <c r="L1454" t="n">
        <v>2360</v>
      </c>
      <c r="M1454" t="n">
        <v>120</v>
      </c>
      <c r="N1454" t="n">
        <v>50</v>
      </c>
      <c r="O1454" t="n">
        <v>20</v>
      </c>
    </row>
    <row r="1455">
      <c r="A1455" s="18" t="n">
        <v>46136</v>
      </c>
      <c r="B1455" t="inlineStr">
        <is>
          <t>17周</t>
        </is>
      </c>
      <c r="C1455" t="inlineStr">
        <is>
          <t>小红书</t>
        </is>
      </c>
      <c r="D1455" t="inlineStr"/>
      <c r="E1455" t="inlineStr"/>
      <c r="F1455" t="inlineStr">
        <is>
          <t>https://www.xiaohongshu.com/discovery/item/69eb488a000000002300787c?xsec_token=CB-5rBw-66pLBLcqKfUR3h-ZBKwq5XIMLFWgC3uHvCeIs=&amp;xsec_source=app_share&amp;type=video</t>
        </is>
      </c>
      <c r="G1455" t="inlineStr">
        <is>
          <t>495</t>
        </is>
      </c>
      <c r="H1455" t="inlineStr">
        <is>
          <t>口播</t>
        </is>
      </c>
      <c r="I1455" t="n">
        <v>0</v>
      </c>
      <c r="J1455" t="n">
        <v>0</v>
      </c>
      <c r="K1455" t="n">
        <v>93</v>
      </c>
      <c r="L1455" t="n">
        <v>710</v>
      </c>
      <c r="M1455" t="n">
        <v>31</v>
      </c>
      <c r="N1455" t="n">
        <v>11</v>
      </c>
      <c r="O1455" t="n">
        <v>8</v>
      </c>
    </row>
    <row r="1456">
      <c r="A1456" s="18" t="n">
        <v>46136</v>
      </c>
      <c r="B1456" t="inlineStr">
        <is>
          <t>17周</t>
        </is>
      </c>
      <c r="C1456" t="inlineStr">
        <is>
          <t>小红书</t>
        </is>
      </c>
      <c r="D1456" t="inlineStr"/>
      <c r="E1456" t="inlineStr"/>
      <c r="F1456" t="inlineStr">
        <is>
          <t>https://www.xiaohongshu.com/discovery/item/69eb6f93000000003601de18?xsec_token=CBvUYxZHDQnkXNFdDkHZ1VOhU5_PMAaSoVdL2j1Y-OYbA=&amp;xsec_source=app_share&amp;type=video</t>
        </is>
      </c>
      <c r="G1456" t="inlineStr">
        <is>
          <t>0002A1</t>
        </is>
      </c>
      <c r="H1456" t="inlineStr">
        <is>
          <t>开箱</t>
        </is>
      </c>
      <c r="I1456" t="n">
        <v>200</v>
      </c>
      <c r="J1456" t="n">
        <v>0</v>
      </c>
      <c r="K1456" t="n">
        <v>110.5</v>
      </c>
      <c r="L1456" t="n">
        <v>15625</v>
      </c>
      <c r="M1456" t="n">
        <v>1115</v>
      </c>
      <c r="N1456" t="n">
        <v>228</v>
      </c>
      <c r="O1456" t="n">
        <v>59</v>
      </c>
    </row>
    <row r="1457">
      <c r="A1457" s="18" t="n">
        <v>46137</v>
      </c>
      <c r="B1457" t="inlineStr">
        <is>
          <t>17周</t>
        </is>
      </c>
      <c r="C1457" t="inlineStr">
        <is>
          <t>抖音</t>
        </is>
      </c>
      <c r="D1457" t="inlineStr"/>
      <c r="E1457" t="inlineStr"/>
      <c r="F1457" t="inlineStr">
        <is>
          <t>https://v.douyin.com/F7x4s4OyfTI/</t>
        </is>
      </c>
      <c r="G1457" t="inlineStr">
        <is>
          <t>0002A1</t>
        </is>
      </c>
      <c r="H1457" t="inlineStr">
        <is>
          <t>穿搭</t>
        </is>
      </c>
      <c r="I1457" t="n">
        <v>100</v>
      </c>
      <c r="J1457" t="n">
        <v>0</v>
      </c>
      <c r="K1457" t="n">
        <v>110.5</v>
      </c>
      <c r="L1457" t="n">
        <v>131000</v>
      </c>
      <c r="M1457" t="n">
        <v>4211</v>
      </c>
      <c r="N1457" t="n">
        <v>856</v>
      </c>
      <c r="O1457" t="n">
        <v>596</v>
      </c>
    </row>
    <row r="1458">
      <c r="A1458" s="18" t="n">
        <v>46137</v>
      </c>
      <c r="B1458" t="inlineStr">
        <is>
          <t>17周</t>
        </is>
      </c>
      <c r="C1458" t="inlineStr">
        <is>
          <t>抖音</t>
        </is>
      </c>
      <c r="D1458" t="inlineStr"/>
      <c r="E1458" t="inlineStr"/>
      <c r="F1458" t="inlineStr">
        <is>
          <t>https://v.douyin.com/k34eDLaNzOc/</t>
        </is>
      </c>
      <c r="G1458" t="inlineStr">
        <is>
          <t>489</t>
        </is>
      </c>
      <c r="H1458" t="inlineStr">
        <is>
          <t>马嘉祺</t>
        </is>
      </c>
      <c r="I1458" t="n">
        <v>0</v>
      </c>
      <c r="J1458" t="n">
        <v>0</v>
      </c>
      <c r="K1458" t="n">
        <v>53.5</v>
      </c>
      <c r="L1458" t="n">
        <v>2100</v>
      </c>
      <c r="M1458" t="n">
        <v>304</v>
      </c>
      <c r="N1458" t="n">
        <v>11</v>
      </c>
      <c r="O1458" t="n">
        <v>13</v>
      </c>
    </row>
    <row r="1459">
      <c r="A1459" s="18" t="n">
        <v>46137</v>
      </c>
      <c r="B1459" t="inlineStr">
        <is>
          <t>17周</t>
        </is>
      </c>
      <c r="C1459" t="inlineStr">
        <is>
          <t>抖音</t>
        </is>
      </c>
      <c r="D1459" t="inlineStr"/>
      <c r="E1459" t="inlineStr"/>
      <c r="F1459" t="inlineStr">
        <is>
          <t>https://v.douyin.com/mBa93bBSgIE/</t>
        </is>
      </c>
      <c r="G1459" t="inlineStr">
        <is>
          <t>489</t>
        </is>
      </c>
      <c r="H1459" t="inlineStr">
        <is>
          <t>马嘉祺</t>
        </is>
      </c>
      <c r="I1459" t="n">
        <v>0</v>
      </c>
      <c r="J1459" t="n">
        <v>0</v>
      </c>
      <c r="K1459" t="n">
        <v>53.5</v>
      </c>
      <c r="L1459" t="n">
        <v>3091</v>
      </c>
      <c r="M1459" t="n">
        <v>369</v>
      </c>
      <c r="N1459" t="n">
        <v>12</v>
      </c>
      <c r="O1459" t="n">
        <v>38</v>
      </c>
    </row>
    <row r="1460">
      <c r="A1460" s="18" t="n">
        <v>46137</v>
      </c>
      <c r="B1460" t="inlineStr">
        <is>
          <t>17周</t>
        </is>
      </c>
      <c r="C1460" t="inlineStr">
        <is>
          <t>抖音</t>
        </is>
      </c>
      <c r="D1460" t="inlineStr"/>
      <c r="E1460" t="inlineStr"/>
      <c r="F1460" t="inlineStr">
        <is>
          <t>https://v.douyin.com/RxIhmTOrdLg/</t>
        </is>
      </c>
      <c r="G1460" t="inlineStr">
        <is>
          <t>495</t>
        </is>
      </c>
      <c r="H1460" t="inlineStr">
        <is>
          <t>口播</t>
        </is>
      </c>
      <c r="I1460" t="n">
        <v>260</v>
      </c>
      <c r="J1460" t="n">
        <v>0</v>
      </c>
      <c r="K1460" t="n">
        <v>93</v>
      </c>
      <c r="L1460" t="n">
        <v>4327</v>
      </c>
      <c r="M1460" t="n">
        <v>243</v>
      </c>
      <c r="N1460" t="n">
        <v>20</v>
      </c>
      <c r="O1460" t="n">
        <v>90</v>
      </c>
    </row>
    <row r="1461">
      <c r="A1461" s="18" t="n">
        <v>46137</v>
      </c>
      <c r="B1461" t="inlineStr">
        <is>
          <t>17周</t>
        </is>
      </c>
      <c r="C1461" t="inlineStr">
        <is>
          <t>抖音</t>
        </is>
      </c>
      <c r="D1461" t="inlineStr"/>
      <c r="E1461" t="inlineStr"/>
      <c r="F1461" t="inlineStr">
        <is>
          <t>https://v.douyin.com/1yBb96xE2Kk/ M@w.sr</t>
        </is>
      </c>
      <c r="G1461" t="inlineStr">
        <is>
          <t>489</t>
        </is>
      </c>
      <c r="H1461" t="inlineStr">
        <is>
          <t>马嘉祺</t>
        </is>
      </c>
      <c r="I1461" t="n">
        <v>0</v>
      </c>
      <c r="J1461" t="n">
        <v>0</v>
      </c>
      <c r="K1461" t="n">
        <v>53.5</v>
      </c>
      <c r="L1461" t="n">
        <v>1387</v>
      </c>
      <c r="M1461" t="n">
        <v>159</v>
      </c>
      <c r="N1461" t="n">
        <v>4</v>
      </c>
      <c r="O1461" t="n">
        <v>7</v>
      </c>
    </row>
    <row r="1462">
      <c r="A1462" s="18" t="n">
        <v>46137</v>
      </c>
      <c r="B1462" t="inlineStr">
        <is>
          <t>17周</t>
        </is>
      </c>
      <c r="C1462" t="inlineStr">
        <is>
          <t>抖音</t>
        </is>
      </c>
      <c r="D1462" t="inlineStr"/>
      <c r="E1462" t="inlineStr"/>
      <c r="F1462" t="inlineStr">
        <is>
          <t>https://v.douyin.com/UM7sTmmegpw/</t>
        </is>
      </c>
      <c r="G1462" t="inlineStr">
        <is>
          <t>459</t>
        </is>
      </c>
      <c r="H1462" t="inlineStr">
        <is>
          <t>口播</t>
        </is>
      </c>
      <c r="I1462" t="n">
        <v>200</v>
      </c>
      <c r="J1462" t="n">
        <v>0</v>
      </c>
      <c r="K1462" t="n">
        <v>46.5</v>
      </c>
      <c r="L1462" t="n">
        <v>104000</v>
      </c>
      <c r="M1462" t="n">
        <v>2014</v>
      </c>
      <c r="N1462" t="n">
        <v>1085</v>
      </c>
      <c r="O1462" t="n">
        <v>161</v>
      </c>
    </row>
    <row r="1463">
      <c r="A1463" s="18" t="n">
        <v>46137</v>
      </c>
      <c r="B1463" t="inlineStr">
        <is>
          <t>17周</t>
        </is>
      </c>
      <c r="C1463" t="inlineStr">
        <is>
          <t>快手</t>
        </is>
      </c>
      <c r="D1463" t="inlineStr"/>
      <c r="E1463" t="inlineStr"/>
      <c r="F1463" t="inlineStr">
        <is>
          <t>https://v.kuaishou.com/K9R9RkiZ</t>
        </is>
      </c>
      <c r="G1463" t="inlineStr">
        <is>
          <t>489</t>
        </is>
      </c>
      <c r="H1463" t="inlineStr">
        <is>
          <t>马嘉祺</t>
        </is>
      </c>
      <c r="I1463" t="n">
        <v>0</v>
      </c>
      <c r="J1463" t="n">
        <v>0</v>
      </c>
      <c r="K1463" t="n">
        <v>53.5</v>
      </c>
      <c r="L1463" t="n">
        <v>7705</v>
      </c>
      <c r="M1463" t="n">
        <v>241</v>
      </c>
      <c r="N1463" t="n">
        <v>6</v>
      </c>
      <c r="O1463" t="n">
        <v>7</v>
      </c>
    </row>
    <row r="1464">
      <c r="A1464" s="18" t="n">
        <v>46137</v>
      </c>
      <c r="B1464" t="inlineStr">
        <is>
          <t>17周</t>
        </is>
      </c>
      <c r="C1464" t="inlineStr">
        <is>
          <t>小红书</t>
        </is>
      </c>
      <c r="D1464" t="inlineStr"/>
      <c r="E1464" t="inlineStr"/>
      <c r="F1464" t="inlineStr">
        <is>
          <t>https://www.xiaohongshu.com/discovery/item/69ec366c0000000038020d2a?xsec_token=CBzSfC0f63IA0aUJVbjy7XY4Qiraeen0AHuBbiykmjjxg=&amp;xsec_source=app_share</t>
        </is>
      </c>
      <c r="G1464" t="inlineStr">
        <is>
          <t>489</t>
        </is>
      </c>
      <c r="H1464" t="inlineStr">
        <is>
          <t>马嘉祺</t>
        </is>
      </c>
      <c r="I1464" t="n">
        <v>0</v>
      </c>
      <c r="J1464" t="n">
        <v>0</v>
      </c>
      <c r="K1464" t="n">
        <v>53.5</v>
      </c>
      <c r="L1464" t="n">
        <v>178</v>
      </c>
      <c r="M1464" t="n">
        <v>11</v>
      </c>
      <c r="N1464" t="n">
        <v>1</v>
      </c>
      <c r="O1464" t="n">
        <v>2</v>
      </c>
    </row>
    <row r="1465">
      <c r="A1465" s="18" t="n">
        <v>46137</v>
      </c>
      <c r="B1465" t="inlineStr">
        <is>
          <t>17周</t>
        </is>
      </c>
      <c r="C1465" t="inlineStr">
        <is>
          <t>小红书</t>
        </is>
      </c>
      <c r="D1465" t="inlineStr"/>
      <c r="E1465" t="inlineStr"/>
      <c r="F1465" t="inlineStr">
        <is>
          <t>https://www.xiaohongshu.com/discovery/item/69ec5e0e000000003601f3dd?xsec_token=CBM-NnEAKK3lAu87-FlCMRy6XG1YBY3Eb4HC7pT-U61tg=&amp;xsec_source=app_share&amp;type=video</t>
        </is>
      </c>
      <c r="G1465" t="inlineStr">
        <is>
          <t>0001A1</t>
        </is>
      </c>
      <c r="H1465" t="inlineStr">
        <is>
          <t>穿搭</t>
        </is>
      </c>
      <c r="I1465" t="n">
        <v>0</v>
      </c>
      <c r="J1465" t="n">
        <v>0</v>
      </c>
      <c r="K1465" t="n">
        <v>107.5</v>
      </c>
      <c r="L1465" t="n">
        <v>10445</v>
      </c>
      <c r="M1465" t="n">
        <v>641</v>
      </c>
      <c r="N1465" t="n">
        <v>294</v>
      </c>
      <c r="O1465" t="n">
        <v>32</v>
      </c>
    </row>
    <row r="1466">
      <c r="A1466" s="18" t="n">
        <v>46137</v>
      </c>
      <c r="B1466" t="inlineStr">
        <is>
          <t>17周</t>
        </is>
      </c>
      <c r="C1466" t="inlineStr">
        <is>
          <t>小红书</t>
        </is>
      </c>
      <c r="D1466" t="inlineStr"/>
      <c r="E1466" t="inlineStr"/>
      <c r="F1466" t="inlineStr">
        <is>
          <t>https://www.xiaohongshu.com/discovery/item/69ecdaa1000000002003970b?xsec_token=CBM-NnEAKK3lAu87-FlCMRy3paeKSr5hst4ziBKHBCeqo=&amp;xsec_source=app_share&amp;type=video</t>
        </is>
      </c>
      <c r="G1466" t="inlineStr">
        <is>
          <t>459</t>
        </is>
      </c>
      <c r="H1466" t="inlineStr">
        <is>
          <t>口播</t>
        </is>
      </c>
      <c r="I1466" t="n">
        <v>0</v>
      </c>
      <c r="J1466" t="n">
        <v>0</v>
      </c>
      <c r="K1466" t="n">
        <v>46.5</v>
      </c>
      <c r="L1466" t="n">
        <v>548</v>
      </c>
      <c r="M1466" t="n">
        <v>33</v>
      </c>
      <c r="N1466" t="n">
        <v>15</v>
      </c>
      <c r="O1466" t="n">
        <v>3</v>
      </c>
    </row>
    <row r="1467">
      <c r="A1467" s="18" t="n">
        <v>46138</v>
      </c>
      <c r="B1467" t="inlineStr">
        <is>
          <t>17周</t>
        </is>
      </c>
      <c r="C1467" t="inlineStr">
        <is>
          <t>抖音</t>
        </is>
      </c>
      <c r="D1467" t="inlineStr"/>
      <c r="E1467" t="inlineStr"/>
      <c r="F1467" t="inlineStr">
        <is>
          <t>https://www.douyin.com/user/MS4wLjABAAAAwwyyIPp8PwHPKBKAlq-LQ97GnP1yWZt0HzPOMVmUBxQ?from_tab_name=main&amp;modal_id=7633007938819493510</t>
        </is>
      </c>
      <c r="G1467" t="inlineStr">
        <is>
          <t>0002A1</t>
        </is>
      </c>
      <c r="H1467" t="inlineStr">
        <is>
          <t>穿搭</t>
        </is>
      </c>
      <c r="I1467" t="n">
        <v>0</v>
      </c>
      <c r="J1467" t="n">
        <v>0</v>
      </c>
      <c r="K1467" t="n">
        <v>110.5</v>
      </c>
      <c r="L1467" t="n">
        <v>10000</v>
      </c>
      <c r="M1467" t="n">
        <v>1117</v>
      </c>
      <c r="N1467" t="n">
        <v>14</v>
      </c>
      <c r="O1467" t="n">
        <v>22</v>
      </c>
    </row>
    <row r="1468">
      <c r="A1468" s="18" t="n">
        <v>46138</v>
      </c>
      <c r="B1468" t="inlineStr">
        <is>
          <t>17周</t>
        </is>
      </c>
      <c r="C1468" t="inlineStr">
        <is>
          <t>抖音</t>
        </is>
      </c>
      <c r="D1468" t="inlineStr"/>
      <c r="E1468" t="inlineStr"/>
      <c r="F1468" t="inlineStr">
        <is>
          <t>https://v.douyin.com/6Q45ZWwYaRs/</t>
        </is>
      </c>
      <c r="G1468" t="inlineStr">
        <is>
          <t>495</t>
        </is>
      </c>
      <c r="H1468" t="inlineStr">
        <is>
          <t>穿搭</t>
        </is>
      </c>
      <c r="I1468" t="n">
        <v>80</v>
      </c>
      <c r="J1468" t="n">
        <v>0</v>
      </c>
      <c r="K1468" t="n">
        <v>93</v>
      </c>
      <c r="L1468" t="n">
        <v>3428</v>
      </c>
      <c r="M1468" t="n">
        <v>222</v>
      </c>
      <c r="N1468" t="n">
        <v>11</v>
      </c>
      <c r="O1468" t="n">
        <v>11</v>
      </c>
    </row>
    <row r="1469">
      <c r="A1469" s="18" t="n">
        <v>46138</v>
      </c>
      <c r="B1469" t="inlineStr">
        <is>
          <t>17周</t>
        </is>
      </c>
      <c r="C1469" t="inlineStr">
        <is>
          <t>抖音</t>
        </is>
      </c>
      <c r="D1469" t="inlineStr"/>
      <c r="E1469" t="inlineStr"/>
      <c r="F1469" t="inlineStr">
        <is>
          <t>https://v.douyin.com/3lBaW332aLc/</t>
        </is>
      </c>
      <c r="G1469" t="inlineStr">
        <is>
          <t>489</t>
        </is>
      </c>
      <c r="H1469" t="inlineStr">
        <is>
          <t>穿搭</t>
        </is>
      </c>
      <c r="I1469" t="n">
        <v>0</v>
      </c>
      <c r="J1469" t="n">
        <v>0</v>
      </c>
      <c r="K1469" t="n">
        <v>53.5</v>
      </c>
      <c r="L1469" t="n">
        <v>68000</v>
      </c>
      <c r="M1469" t="n">
        <v>2697</v>
      </c>
      <c r="N1469" t="n">
        <v>440</v>
      </c>
      <c r="O1469" t="n">
        <v>27</v>
      </c>
    </row>
    <row r="1470">
      <c r="A1470" s="18" t="n">
        <v>46138</v>
      </c>
      <c r="B1470" t="inlineStr">
        <is>
          <t>17周</t>
        </is>
      </c>
      <c r="C1470" t="inlineStr">
        <is>
          <t>抖音</t>
        </is>
      </c>
      <c r="D1470" t="inlineStr"/>
      <c r="E1470" t="inlineStr"/>
      <c r="F1470" t="inlineStr">
        <is>
          <t>https://v.douyin.com/mMDDxcxecOA/</t>
        </is>
      </c>
      <c r="G1470" t="inlineStr">
        <is>
          <t>495</t>
        </is>
      </c>
      <c r="H1470" t="inlineStr">
        <is>
          <t>穿搭</t>
        </is>
      </c>
      <c r="I1470" t="n">
        <v>0</v>
      </c>
      <c r="J1470" t="n">
        <v>0</v>
      </c>
      <c r="K1470" t="n">
        <v>93</v>
      </c>
      <c r="L1470" t="n">
        <v>7588</v>
      </c>
      <c r="M1470" t="n">
        <v>784</v>
      </c>
      <c r="N1470" t="n">
        <v>13</v>
      </c>
      <c r="O1470" t="n">
        <v>42</v>
      </c>
    </row>
    <row r="1471">
      <c r="A1471" s="18" t="n">
        <v>46138</v>
      </c>
      <c r="B1471" t="inlineStr">
        <is>
          <t>17周</t>
        </is>
      </c>
      <c r="C1471" t="inlineStr">
        <is>
          <t>小红书</t>
        </is>
      </c>
      <c r="D1471" t="inlineStr"/>
      <c r="E1471" t="inlineStr"/>
      <c r="F1471" t="inlineStr">
        <is>
          <t>https://www.xiaohongshu.com/discovery/item/69edec7e0000000038036bf8?xsec_token=CBq-FQM7XxSCGEOeUpDMgwLUcQS1iinE_aUPS5hwT_3cM=&amp;xsec_source=app_share</t>
        </is>
      </c>
      <c r="G1471" t="inlineStr">
        <is>
          <t>489</t>
        </is>
      </c>
      <c r="H1471" t="inlineStr">
        <is>
          <t>穿搭</t>
        </is>
      </c>
      <c r="I1471" t="n">
        <v>0</v>
      </c>
      <c r="J1471" t="n">
        <v>0</v>
      </c>
      <c r="K1471" t="n">
        <v>53.5</v>
      </c>
      <c r="L1471" t="n">
        <v>993</v>
      </c>
      <c r="M1471" t="n">
        <v>68</v>
      </c>
      <c r="N1471" t="n">
        <v>10</v>
      </c>
      <c r="O1471" t="n">
        <v>5</v>
      </c>
    </row>
    <row r="1472">
      <c r="A1472" s="18" t="n">
        <v>46138</v>
      </c>
      <c r="B1472" t="inlineStr">
        <is>
          <t>17周</t>
        </is>
      </c>
      <c r="C1472" t="inlineStr">
        <is>
          <t>小红书</t>
        </is>
      </c>
      <c r="D1472" t="inlineStr"/>
      <c r="E1472" t="inlineStr"/>
      <c r="F1472" t="inlineStr">
        <is>
          <t>https://www.xiaohongshu.com/discovery/item/69ee1b0b000000001a02f581?xsec_token=CBhXzehRF5ko0OR3Krb-Qbii5uX_ExIuBpYYtsUhs3K2I=&amp;xsec_source=app_share&amp;type=video</t>
        </is>
      </c>
      <c r="G1472" t="inlineStr">
        <is>
          <t>0001A1</t>
        </is>
      </c>
      <c r="H1472" t="inlineStr">
        <is>
          <t>购物开箱</t>
        </is>
      </c>
      <c r="I1472" t="n">
        <v>300</v>
      </c>
      <c r="J1472" t="n">
        <v>0</v>
      </c>
      <c r="K1472" t="n">
        <v>107.5</v>
      </c>
      <c r="L1472" t="n">
        <v>3353</v>
      </c>
      <c r="M1472" t="n">
        <v>202</v>
      </c>
      <c r="N1472" t="n">
        <v>80</v>
      </c>
      <c r="O1472" t="n">
        <v>18</v>
      </c>
    </row>
    <row r="1473">
      <c r="A1473" s="18" t="n">
        <v>46139</v>
      </c>
      <c r="B1473" t="inlineStr">
        <is>
          <t>18周</t>
        </is>
      </c>
      <c r="C1473" t="inlineStr">
        <is>
          <t>抖音</t>
        </is>
      </c>
      <c r="D1473" t="inlineStr"/>
      <c r="E1473" t="inlineStr"/>
      <c r="F1473" t="inlineStr">
        <is>
          <t>https://v.douyin.com/qPYMwcyDuCU/</t>
        </is>
      </c>
      <c r="G1473" t="inlineStr">
        <is>
          <t>0001A1</t>
        </is>
      </c>
      <c r="H1473" t="inlineStr">
        <is>
          <t>跳舞</t>
        </is>
      </c>
      <c r="I1473" t="n">
        <v>0</v>
      </c>
      <c r="J1473" t="n">
        <v>0</v>
      </c>
      <c r="K1473" t="n">
        <v>107.5</v>
      </c>
      <c r="L1473" t="n">
        <v>22000</v>
      </c>
      <c r="M1473" t="n">
        <v>1186</v>
      </c>
      <c r="N1473" t="n">
        <v>249</v>
      </c>
      <c r="O1473" t="n">
        <v>57</v>
      </c>
    </row>
    <row r="1474">
      <c r="A1474" s="18" t="n">
        <v>46139</v>
      </c>
      <c r="B1474" t="inlineStr">
        <is>
          <t>18周</t>
        </is>
      </c>
      <c r="C1474" t="inlineStr">
        <is>
          <t>抖音</t>
        </is>
      </c>
      <c r="D1474" t="inlineStr"/>
      <c r="E1474" t="inlineStr"/>
      <c r="F1474" t="inlineStr">
        <is>
          <t>https://v.douyin.com/GKVW63iV7TI/</t>
        </is>
      </c>
      <c r="G1474" t="inlineStr">
        <is>
          <t>489</t>
        </is>
      </c>
      <c r="H1474" t="inlineStr">
        <is>
          <t>穿搭</t>
        </is>
      </c>
      <c r="I1474" t="n">
        <v>50</v>
      </c>
      <c r="J1474" t="n">
        <v>0</v>
      </c>
      <c r="K1474" t="n">
        <v>53.5</v>
      </c>
      <c r="L1474" t="n">
        <v>20000</v>
      </c>
      <c r="M1474" t="n">
        <v>433</v>
      </c>
      <c r="N1474" t="n">
        <v>41</v>
      </c>
      <c r="O1474" t="n">
        <v>35</v>
      </c>
    </row>
    <row r="1475">
      <c r="A1475" s="18" t="n">
        <v>46139</v>
      </c>
      <c r="B1475" t="inlineStr">
        <is>
          <t>18周</t>
        </is>
      </c>
      <c r="C1475" t="inlineStr">
        <is>
          <t>抖音</t>
        </is>
      </c>
      <c r="D1475" t="inlineStr"/>
      <c r="E1475" t="inlineStr"/>
      <c r="F1475" t="inlineStr">
        <is>
          <t>https://v.douyin.com/DjLaczI4wws/</t>
        </is>
      </c>
      <c r="G1475" t="inlineStr">
        <is>
          <t>0002A1</t>
        </is>
      </c>
      <c r="H1475" t="inlineStr">
        <is>
          <t>刘耀文</t>
        </is>
      </c>
      <c r="I1475" t="n">
        <v>0</v>
      </c>
      <c r="J1475" t="n">
        <v>0</v>
      </c>
      <c r="K1475" t="n">
        <v>110.5</v>
      </c>
      <c r="L1475" t="n">
        <v>18000</v>
      </c>
      <c r="M1475" t="n">
        <v>914</v>
      </c>
      <c r="N1475" t="n">
        <v>67</v>
      </c>
      <c r="O1475" t="n">
        <v>34</v>
      </c>
    </row>
    <row r="1476">
      <c r="A1476" s="18" t="n">
        <v>46139</v>
      </c>
      <c r="B1476" t="inlineStr">
        <is>
          <t>18周</t>
        </is>
      </c>
      <c r="C1476" t="inlineStr">
        <is>
          <t>抖音</t>
        </is>
      </c>
      <c r="D1476" t="inlineStr"/>
      <c r="E1476" t="inlineStr"/>
      <c r="F1476" t="inlineStr">
        <is>
          <t>https://v.douyin.com/PzDba7h4USk/</t>
        </is>
      </c>
      <c r="G1476" t="inlineStr">
        <is>
          <t>0002A1</t>
        </is>
      </c>
      <c r="H1476" t="inlineStr">
        <is>
          <t>刘耀文</t>
        </is>
      </c>
      <c r="I1476" t="n">
        <v>0</v>
      </c>
      <c r="J1476" t="n">
        <v>0</v>
      </c>
      <c r="K1476" t="n">
        <v>110.5</v>
      </c>
      <c r="L1476" t="n">
        <v>3785</v>
      </c>
      <c r="M1476" t="n">
        <v>212</v>
      </c>
      <c r="N1476" t="n">
        <v>6</v>
      </c>
      <c r="O1476" t="n">
        <v>11</v>
      </c>
    </row>
    <row r="1477">
      <c r="A1477" s="18" t="n">
        <v>46139</v>
      </c>
      <c r="B1477" t="inlineStr">
        <is>
          <t>18周</t>
        </is>
      </c>
      <c r="C1477" t="inlineStr">
        <is>
          <t>抖音</t>
        </is>
      </c>
      <c r="D1477" t="inlineStr"/>
      <c r="E1477" t="inlineStr"/>
      <c r="F1477" t="inlineStr">
        <is>
          <t>https://v.douyin.com/NCaflTNMryE/</t>
        </is>
      </c>
      <c r="G1477" t="inlineStr">
        <is>
          <t>0002A1</t>
        </is>
      </c>
      <c r="H1477" t="inlineStr">
        <is>
          <t>刘耀文</t>
        </is>
      </c>
      <c r="I1477" t="n">
        <v>0</v>
      </c>
      <c r="J1477" t="n">
        <v>0</v>
      </c>
      <c r="K1477" t="n">
        <v>110.5</v>
      </c>
      <c r="L1477" t="n">
        <v>5050</v>
      </c>
      <c r="M1477" t="n">
        <v>722</v>
      </c>
      <c r="N1477" t="n">
        <v>8</v>
      </c>
      <c r="O1477" t="n">
        <v>92</v>
      </c>
    </row>
    <row r="1478">
      <c r="A1478" s="18" t="n">
        <v>46139</v>
      </c>
      <c r="B1478" t="inlineStr">
        <is>
          <t>18周</t>
        </is>
      </c>
      <c r="C1478" t="inlineStr">
        <is>
          <t>微博</t>
        </is>
      </c>
      <c r="D1478" t="inlineStr"/>
      <c r="E1478" t="inlineStr"/>
      <c r="F1478" t="inlineStr">
        <is>
          <t>https://weibo.com/7784296314/5292446208756736?wm=3333_2001&amp;from=10G4393010&amp;sourcetype=weixin&amp;s_trans=SHw2zBYK%2F21vP5O4eM6MxQ%3D%3D_5292446208756736_s&amp;s_channel=4</t>
        </is>
      </c>
      <c r="G1478" t="inlineStr">
        <is>
          <t>0002A1</t>
        </is>
      </c>
      <c r="H1478" t="inlineStr">
        <is>
          <t>刘耀文</t>
        </is>
      </c>
      <c r="I1478" t="n">
        <v>0</v>
      </c>
      <c r="J1478" t="n">
        <v>0</v>
      </c>
      <c r="K1478" t="n">
        <v>110.5</v>
      </c>
      <c r="L1478" t="n">
        <v>107</v>
      </c>
      <c r="M1478" t="n">
        <v>2</v>
      </c>
      <c r="N1478" t="n">
        <v>1</v>
      </c>
      <c r="O1478" t="n">
        <v>0</v>
      </c>
    </row>
    <row r="1479">
      <c r="A1479" s="18" t="n">
        <v>46139</v>
      </c>
      <c r="B1479" t="inlineStr">
        <is>
          <t>18周</t>
        </is>
      </c>
      <c r="C1479" t="inlineStr">
        <is>
          <t>抖音</t>
        </is>
      </c>
      <c r="D1479" t="inlineStr"/>
      <c r="E1479" t="inlineStr"/>
      <c r="F1479" t="inlineStr">
        <is>
          <t>https://v.douyin.com/AcsvE1qRHcw/</t>
        </is>
      </c>
      <c r="G1479" t="inlineStr">
        <is>
          <t>495</t>
        </is>
      </c>
      <c r="H1479" t="inlineStr">
        <is>
          <t>口播</t>
        </is>
      </c>
      <c r="I1479" t="n">
        <v>180</v>
      </c>
      <c r="J1479" t="n">
        <v>0</v>
      </c>
      <c r="K1479" t="n">
        <v>93</v>
      </c>
      <c r="L1479" t="n">
        <v>13000</v>
      </c>
      <c r="M1479" t="n">
        <v>277</v>
      </c>
      <c r="N1479" t="n">
        <v>37</v>
      </c>
      <c r="O1479" t="n">
        <v>52</v>
      </c>
    </row>
    <row r="1480">
      <c r="A1480" s="18" t="n">
        <v>46139</v>
      </c>
      <c r="B1480" t="inlineStr">
        <is>
          <t>18周</t>
        </is>
      </c>
      <c r="C1480" t="inlineStr">
        <is>
          <t>抖音</t>
        </is>
      </c>
      <c r="D1480" t="inlineStr"/>
      <c r="E1480" t="inlineStr"/>
      <c r="F1480" t="inlineStr">
        <is>
          <t>https://v.douyin.com/RH1Ob8oWQv8/</t>
        </is>
      </c>
      <c r="G1480" t="inlineStr">
        <is>
          <t>489</t>
        </is>
      </c>
      <c r="H1480" t="inlineStr">
        <is>
          <t>马嘉祺</t>
        </is>
      </c>
      <c r="I1480" t="n">
        <v>0</v>
      </c>
      <c r="J1480" t="n">
        <v>0</v>
      </c>
      <c r="K1480" t="n">
        <v>53.5</v>
      </c>
      <c r="L1480" t="n">
        <v>858</v>
      </c>
      <c r="M1480" t="n">
        <v>87</v>
      </c>
      <c r="N1480" t="n">
        <v>0</v>
      </c>
      <c r="O1480" t="n">
        <v>9</v>
      </c>
    </row>
    <row r="1481">
      <c r="A1481" s="18" t="n">
        <v>46139</v>
      </c>
      <c r="B1481" t="inlineStr">
        <is>
          <t>18周</t>
        </is>
      </c>
      <c r="C1481" t="inlineStr">
        <is>
          <t>小红书</t>
        </is>
      </c>
      <c r="D1481" t="inlineStr"/>
      <c r="E1481" t="inlineStr"/>
      <c r="F1481" t="inlineStr">
        <is>
          <t>https://www.xiaohongshu.com/discovery/item/69ef40f9000000002A1300551b?xsec_token=CBUVgwRzxPZuZBspF2x4LB4kiFCyxRwLk-DiTLoDndHR4=&amp;xsec_source=app_share</t>
        </is>
      </c>
      <c r="G1481" t="inlineStr">
        <is>
          <t>0002A1</t>
        </is>
      </c>
      <c r="H1481" t="inlineStr">
        <is>
          <t>刘耀文</t>
        </is>
      </c>
      <c r="I1481" t="n">
        <v>0</v>
      </c>
      <c r="J1481" t="n">
        <v>0</v>
      </c>
      <c r="K1481" t="n">
        <v>110.5</v>
      </c>
      <c r="L1481" t="n">
        <v>205</v>
      </c>
      <c r="M1481" t="n">
        <v>10</v>
      </c>
      <c r="N1481" t="n">
        <v>2</v>
      </c>
      <c r="O1481" t="n">
        <v>3</v>
      </c>
    </row>
    <row r="1482">
      <c r="A1482" s="18" t="n">
        <v>46139</v>
      </c>
      <c r="B1482" t="inlineStr">
        <is>
          <t>18周</t>
        </is>
      </c>
      <c r="C1482" t="inlineStr">
        <is>
          <t>小红书</t>
        </is>
      </c>
      <c r="D1482" t="inlineStr"/>
      <c r="E1482" t="inlineStr"/>
      <c r="F1482" t="inlineStr">
        <is>
          <t>https://www.xiaohongshu.com/discovery/item/69ef4a03000000003700ca85?xsec_token=CBUVgwRzxPZuZBspF2x4LB4g1Wgfpu7tkFn6N2HkevniI=&amp;xsec_source=app_share</t>
        </is>
      </c>
      <c r="G1482" t="inlineStr">
        <is>
          <t>489</t>
        </is>
      </c>
      <c r="H1482" t="inlineStr">
        <is>
          <t>陈奕恒</t>
        </is>
      </c>
      <c r="I1482" t="n">
        <v>0</v>
      </c>
      <c r="J1482" t="n">
        <v>0</v>
      </c>
      <c r="K1482" t="n">
        <v>53.5</v>
      </c>
      <c r="L1482" t="n">
        <v>491</v>
      </c>
      <c r="M1482" t="n">
        <v>37</v>
      </c>
      <c r="N1482" t="n">
        <v>5</v>
      </c>
      <c r="O1482" t="n">
        <v>0</v>
      </c>
    </row>
    <row r="1483">
      <c r="A1483" s="18" t="n">
        <v>46139</v>
      </c>
      <c r="B1483" t="inlineStr">
        <is>
          <t>18周</t>
        </is>
      </c>
      <c r="C1483" t="inlineStr">
        <is>
          <t>小红书</t>
        </is>
      </c>
      <c r="D1483" t="inlineStr"/>
      <c r="E1483" t="inlineStr"/>
      <c r="F1483" t="inlineStr">
        <is>
          <t>https://www.xiaohongshu.com/discovery/item/69ef74e1000000003701e2ec?xsec_token=CBUVgwRzxPZuZBspF2x4LB4tl6nELa1kPvkBeGsaBAy0k=&amp;xsec_source=app_share</t>
        </is>
      </c>
      <c r="G1483" t="inlineStr">
        <is>
          <t>0002A1</t>
        </is>
      </c>
      <c r="H1483" t="inlineStr">
        <is>
          <t>刘耀文</t>
        </is>
      </c>
      <c r="I1483" t="n">
        <v>0</v>
      </c>
      <c r="J1483" t="n">
        <v>0</v>
      </c>
      <c r="K1483" t="n">
        <v>110.5</v>
      </c>
      <c r="L1483" t="n">
        <v>2902</v>
      </c>
      <c r="M1483" t="n">
        <v>214</v>
      </c>
      <c r="N1483" t="n">
        <v>30</v>
      </c>
      <c r="O1483" t="n">
        <v>10</v>
      </c>
    </row>
    <row r="1484">
      <c r="A1484" s="18" t="n">
        <v>46140</v>
      </c>
      <c r="B1484" t="inlineStr">
        <is>
          <t>18周</t>
        </is>
      </c>
      <c r="C1484" t="inlineStr">
        <is>
          <t>抖音</t>
        </is>
      </c>
      <c r="D1484" t="inlineStr"/>
      <c r="E1484" t="inlineStr"/>
      <c r="F1484" t="inlineStr">
        <is>
          <t>https://v.douyin.com/3wmNjKsNrbA/</t>
        </is>
      </c>
      <c r="G1484" t="inlineStr">
        <is>
          <t>459</t>
        </is>
      </c>
      <c r="H1484" t="inlineStr">
        <is>
          <t>穿搭</t>
        </is>
      </c>
      <c r="I1484" t="n">
        <v>100</v>
      </c>
      <c r="J1484" t="n">
        <v>0</v>
      </c>
      <c r="K1484" t="n">
        <v>46.5</v>
      </c>
      <c r="L1484" t="n">
        <v>13000</v>
      </c>
      <c r="M1484" t="n">
        <v>1289</v>
      </c>
      <c r="N1484" t="n">
        <v>34</v>
      </c>
      <c r="O1484" t="n">
        <v>12</v>
      </c>
    </row>
    <row r="1485">
      <c r="A1485" s="18" t="n">
        <v>46140</v>
      </c>
      <c r="B1485" t="inlineStr">
        <is>
          <t>18周</t>
        </is>
      </c>
      <c r="C1485" t="inlineStr">
        <is>
          <t>抖音</t>
        </is>
      </c>
      <c r="D1485" t="inlineStr"/>
      <c r="E1485" t="inlineStr"/>
      <c r="F1485" t="inlineStr">
        <is>
          <t>https://v.douyin.com/y5CFJGJ8UAU/</t>
        </is>
      </c>
      <c r="G1485" t="inlineStr">
        <is>
          <t>489</t>
        </is>
      </c>
      <c r="H1485" t="inlineStr">
        <is>
          <t>马嘉祺</t>
        </is>
      </c>
      <c r="I1485" t="n">
        <v>0</v>
      </c>
      <c r="J1485" t="n">
        <v>0</v>
      </c>
      <c r="K1485" t="n">
        <v>53.5</v>
      </c>
      <c r="L1485" t="n">
        <v>6410</v>
      </c>
      <c r="M1485" t="n">
        <v>611</v>
      </c>
      <c r="N1485" t="n">
        <v>27</v>
      </c>
      <c r="O1485" t="n">
        <v>38</v>
      </c>
    </row>
    <row r="1486">
      <c r="A1486" s="18" t="n">
        <v>46140</v>
      </c>
      <c r="B1486" t="inlineStr">
        <is>
          <t>18周</t>
        </is>
      </c>
      <c r="C1486" t="inlineStr">
        <is>
          <t>抖音</t>
        </is>
      </c>
      <c r="D1486" t="inlineStr"/>
      <c r="E1486" t="inlineStr"/>
      <c r="F1486" t="inlineStr">
        <is>
          <t>https://v.douyin.com/52u-vhWUdcU/</t>
        </is>
      </c>
      <c r="G1486" t="inlineStr">
        <is>
          <t>459</t>
        </is>
      </c>
      <c r="H1486" t="inlineStr">
        <is>
          <t>通勤穿搭</t>
        </is>
      </c>
      <c r="I1486" t="n">
        <v>0</v>
      </c>
      <c r="J1486" t="n">
        <v>0</v>
      </c>
      <c r="K1486" t="n">
        <v>46.5</v>
      </c>
      <c r="L1486" t="n">
        <v>74000</v>
      </c>
      <c r="M1486" t="n">
        <v>419</v>
      </c>
      <c r="N1486" t="n">
        <v>138</v>
      </c>
      <c r="O1486" t="n">
        <v>29</v>
      </c>
    </row>
    <row r="1487">
      <c r="A1487" s="18" t="n">
        <v>46140</v>
      </c>
      <c r="B1487" t="inlineStr">
        <is>
          <t>18周</t>
        </is>
      </c>
      <c r="C1487" t="inlineStr">
        <is>
          <t>抖音</t>
        </is>
      </c>
      <c r="D1487" t="inlineStr"/>
      <c r="E1487" t="inlineStr"/>
      <c r="F1487" t="inlineStr">
        <is>
          <t>https://www.douyin.com/user/MS4wLjABAAAAavzgQwWbIt2vD9AspfENEF0-7feZHoHNRpu1_aYPF64?from_tab_name=main&amp;modal_id=7634161561200446318</t>
        </is>
      </c>
      <c r="G1487" t="inlineStr">
        <is>
          <t>489</t>
        </is>
      </c>
      <c r="H1487" t="inlineStr">
        <is>
          <t>马嘉祺</t>
        </is>
      </c>
      <c r="I1487" t="n">
        <v>0</v>
      </c>
      <c r="J1487" t="n">
        <v>0</v>
      </c>
      <c r="K1487" t="n">
        <v>53.5</v>
      </c>
      <c r="L1487" t="n">
        <v>2185</v>
      </c>
      <c r="M1487" t="n">
        <v>171</v>
      </c>
      <c r="N1487" t="n">
        <v>2</v>
      </c>
      <c r="O1487" t="n">
        <v>23</v>
      </c>
    </row>
    <row r="1488">
      <c r="A1488" s="18" t="n">
        <v>46140</v>
      </c>
      <c r="B1488" t="inlineStr">
        <is>
          <t>18周</t>
        </is>
      </c>
      <c r="C1488" t="inlineStr">
        <is>
          <t>抖音</t>
        </is>
      </c>
      <c r="D1488" t="inlineStr"/>
      <c r="E1488" t="inlineStr"/>
      <c r="F1488" t="inlineStr">
        <is>
          <t>https://www.douyin.com/user/MS4wLjABAAAA_uL6T6LhWnj2NMfE6ubNiZKwaXlOTC3Ctr4DusFxKGRWxVSqAOQLUeaF3uzcG49v?from_tab_name=main&amp;modal_id=7633832914099678907</t>
        </is>
      </c>
      <c r="G1488" t="inlineStr">
        <is>
          <t>495</t>
        </is>
      </c>
      <c r="H1488" t="inlineStr">
        <is>
          <t>穿搭</t>
        </is>
      </c>
      <c r="I1488" t="n">
        <v>0</v>
      </c>
      <c r="J1488" t="n">
        <v>0</v>
      </c>
      <c r="K1488" t="n">
        <v>93</v>
      </c>
      <c r="L1488" t="n">
        <v>6354</v>
      </c>
      <c r="M1488" t="n">
        <v>324</v>
      </c>
      <c r="N1488" t="n">
        <v>225</v>
      </c>
      <c r="O1488" t="n">
        <v>11</v>
      </c>
    </row>
    <row r="1489">
      <c r="A1489" s="18" t="n">
        <v>46140</v>
      </c>
      <c r="B1489" t="inlineStr">
        <is>
          <t>18周</t>
        </is>
      </c>
      <c r="C1489" t="inlineStr">
        <is>
          <t>抖音</t>
        </is>
      </c>
      <c r="D1489" t="inlineStr"/>
      <c r="E1489" t="inlineStr"/>
      <c r="F1489" t="inlineStr">
        <is>
          <t>https://www.douyin.com/user/MS4wLjABAAAAyc1a_iyW4GFQXq6IS_WE29dIWBZYOAEkMAnHbnuYXPI?from_tab_name=main&amp;modal_id=7633829867218308083</t>
        </is>
      </c>
      <c r="G1489" t="inlineStr">
        <is>
          <t>489</t>
        </is>
      </c>
      <c r="H1489" t="inlineStr">
        <is>
          <t>马嘉祺</t>
        </is>
      </c>
      <c r="I1489" t="n">
        <v>0</v>
      </c>
      <c r="J1489" t="n">
        <v>0</v>
      </c>
      <c r="K1489" t="n">
        <v>53.5</v>
      </c>
      <c r="L1489" t="n">
        <v>16000</v>
      </c>
      <c r="M1489" t="n">
        <v>1556</v>
      </c>
      <c r="N1489" t="n">
        <v>36</v>
      </c>
      <c r="O1489" t="n">
        <v>30</v>
      </c>
    </row>
    <row r="1490">
      <c r="A1490" s="18" t="n">
        <v>46140</v>
      </c>
      <c r="B1490" t="inlineStr">
        <is>
          <t>18周</t>
        </is>
      </c>
      <c r="C1490" t="inlineStr">
        <is>
          <t>抖音</t>
        </is>
      </c>
      <c r="D1490" t="inlineStr"/>
      <c r="E1490" t="inlineStr"/>
      <c r="F1490" t="inlineStr">
        <is>
          <t>https://v.douyin.com/I9Xd2QiGDsU/</t>
        </is>
      </c>
      <c r="G1490" t="inlineStr">
        <is>
          <t>495</t>
        </is>
      </c>
      <c r="H1490" t="inlineStr">
        <is>
          <t>口播</t>
        </is>
      </c>
      <c r="I1490" t="n">
        <v>0</v>
      </c>
      <c r="J1490" t="n">
        <v>0</v>
      </c>
      <c r="K1490" t="n">
        <v>93</v>
      </c>
      <c r="L1490" t="n">
        <v>5104</v>
      </c>
      <c r="M1490" t="n">
        <v>113</v>
      </c>
      <c r="N1490" t="n">
        <v>4</v>
      </c>
      <c r="O1490" t="n">
        <v>29</v>
      </c>
    </row>
    <row r="1491">
      <c r="A1491" s="18" t="n">
        <v>46140</v>
      </c>
      <c r="B1491" t="inlineStr">
        <is>
          <t>18周</t>
        </is>
      </c>
      <c r="C1491" t="inlineStr">
        <is>
          <t>抖音</t>
        </is>
      </c>
      <c r="D1491" t="inlineStr"/>
      <c r="E1491" t="inlineStr"/>
      <c r="F1491" t="inlineStr">
        <is>
          <t>https://www.douyin.com/user/self?from_tab_name=main&amp;modal_id=7634190944321079013&amp;showTab=like</t>
        </is>
      </c>
      <c r="G1491" t="inlineStr">
        <is>
          <t>0002A1</t>
        </is>
      </c>
      <c r="H1491" t="inlineStr">
        <is>
          <t>穿搭</t>
        </is>
      </c>
      <c r="I1491" t="n">
        <v>200</v>
      </c>
      <c r="J1491" t="n">
        <v>0</v>
      </c>
      <c r="K1491" t="n">
        <v>110.5</v>
      </c>
      <c r="L1491" t="n">
        <v>29000</v>
      </c>
      <c r="M1491" t="n">
        <v>1670</v>
      </c>
      <c r="N1491" t="n">
        <v>171</v>
      </c>
      <c r="O1491" t="n">
        <v>50</v>
      </c>
    </row>
    <row r="1492">
      <c r="A1492" s="18" t="n">
        <v>46140</v>
      </c>
      <c r="B1492" t="inlineStr">
        <is>
          <t>18周</t>
        </is>
      </c>
      <c r="C1492" t="inlineStr">
        <is>
          <t>抖音</t>
        </is>
      </c>
      <c r="D1492" t="inlineStr"/>
      <c r="E1492" t="inlineStr"/>
      <c r="F1492" t="inlineStr">
        <is>
          <t>https://www.douyin.com/user/self?from_tab_name=main&amp;modal_id=7633791600418057978&amp;showTab=like</t>
        </is>
      </c>
      <c r="G1492" t="inlineStr">
        <is>
          <t>492</t>
        </is>
      </c>
      <c r="H1492" t="inlineStr">
        <is>
          <t>穿搭</t>
        </is>
      </c>
      <c r="I1492" t="n">
        <v>100</v>
      </c>
      <c r="J1492" t="n">
        <v>0</v>
      </c>
      <c r="K1492" t="n">
        <v>69.5</v>
      </c>
      <c r="L1492" t="n">
        <v>210000</v>
      </c>
      <c r="M1492" t="n">
        <v>2459</v>
      </c>
      <c r="N1492" t="n">
        <v>942</v>
      </c>
      <c r="O1492" t="n">
        <v>68</v>
      </c>
    </row>
    <row r="1493">
      <c r="A1493" s="18" t="n">
        <v>46140</v>
      </c>
      <c r="B1493" t="inlineStr">
        <is>
          <t>18周</t>
        </is>
      </c>
      <c r="C1493" t="inlineStr">
        <is>
          <t>抖音</t>
        </is>
      </c>
      <c r="D1493" t="inlineStr"/>
      <c r="E1493" t="inlineStr"/>
      <c r="F1493" t="inlineStr">
        <is>
          <t>https://v.douyin.com/KwULLP6D7WQ/</t>
        </is>
      </c>
      <c r="G1493" t="inlineStr">
        <is>
          <t>486</t>
        </is>
      </c>
      <c r="H1493" t="inlineStr">
        <is>
          <t>穿搭</t>
        </is>
      </c>
      <c r="I1493" t="n">
        <v>170</v>
      </c>
      <c r="J1493" t="n">
        <v>0</v>
      </c>
      <c r="K1493" t="n">
        <v>52.5</v>
      </c>
      <c r="L1493" t="n">
        <v>14000</v>
      </c>
      <c r="M1493" t="n">
        <v>1405</v>
      </c>
      <c r="N1493" t="n">
        <v>161</v>
      </c>
      <c r="O1493" t="n">
        <v>29</v>
      </c>
    </row>
    <row r="1494">
      <c r="A1494" s="18" t="n">
        <v>46140</v>
      </c>
      <c r="B1494" t="inlineStr">
        <is>
          <t>18周</t>
        </is>
      </c>
      <c r="C1494" t="inlineStr">
        <is>
          <t>小红书</t>
        </is>
      </c>
      <c r="D1494" t="inlineStr"/>
      <c r="E1494" t="inlineStr"/>
      <c r="F1494" t="inlineStr">
        <is>
          <t>https://www.xiaohongshu.com/discovery/item/69f0798f000000003502bce3?xsec_token=CBd0BYBpboUBYG_1c2-UU6db9KTWsJKVObufXXRYEKijE=&amp;xsec_source=app_share&amp;type=video</t>
        </is>
      </c>
      <c r="G1494" t="inlineStr">
        <is>
          <t>495</t>
        </is>
      </c>
      <c r="H1494" t="inlineStr">
        <is>
          <t>口播</t>
        </is>
      </c>
      <c r="I1494" t="n">
        <v>0</v>
      </c>
      <c r="J1494" t="n">
        <v>0</v>
      </c>
      <c r="K1494" t="n">
        <v>93</v>
      </c>
      <c r="L1494" t="n">
        <v>1656</v>
      </c>
      <c r="M1494" t="n">
        <v>121</v>
      </c>
      <c r="N1494" t="n">
        <v>16</v>
      </c>
      <c r="O1494" t="n">
        <v>5</v>
      </c>
    </row>
    <row r="1495">
      <c r="A1495" s="18" t="n">
        <v>46140</v>
      </c>
      <c r="B1495" t="inlineStr">
        <is>
          <t>18周</t>
        </is>
      </c>
      <c r="C1495" t="inlineStr">
        <is>
          <t>小红书</t>
        </is>
      </c>
      <c r="D1495" t="inlineStr"/>
      <c r="E1495" t="inlineStr"/>
      <c r="F1495" t="inlineStr">
        <is>
          <t>https://www.xiaohongshu.com/discovery/item/69f0c4840000000038020e02?xsec_token=CBd0BYBpboUBYG_1c2-UU6dXWeCck7vXtMeBHpE6FZ6q0=&amp;xsec_source=app_share&amp;type=video</t>
        </is>
      </c>
      <c r="G1495" t="inlineStr">
        <is>
          <t>495</t>
        </is>
      </c>
      <c r="H1495" t="inlineStr">
        <is>
          <t>穿搭</t>
        </is>
      </c>
      <c r="I1495" t="n">
        <v>300</v>
      </c>
      <c r="J1495" t="n">
        <v>0</v>
      </c>
      <c r="K1495" t="n">
        <v>93</v>
      </c>
      <c r="L1495" t="n">
        <v>19319</v>
      </c>
      <c r="M1495" t="n">
        <v>2513</v>
      </c>
      <c r="N1495" t="n">
        <v>1245</v>
      </c>
      <c r="O1495" t="n">
        <v>65</v>
      </c>
    </row>
    <row r="1496">
      <c r="A1496" s="18" t="n">
        <v>46140</v>
      </c>
      <c r="B1496" t="inlineStr">
        <is>
          <t>18周</t>
        </is>
      </c>
      <c r="C1496" t="inlineStr">
        <is>
          <t>小红书</t>
        </is>
      </c>
      <c r="D1496" t="inlineStr"/>
      <c r="E1496" t="inlineStr"/>
      <c r="F1496" t="inlineStr">
        <is>
          <t>https://www.xiaohongshu.com/discovery/item/69f0ce6d000000001e00cbf2?xsec_token=CBd0BYBpboUBYG_1c2-UU6dfbRMG2mT6cGK4AtiRVVnwE=&amp;xsec_source=app_share&amp;type=video</t>
        </is>
      </c>
      <c r="G1496" t="inlineStr">
        <is>
          <t>489</t>
        </is>
      </c>
      <c r="H1496" t="inlineStr">
        <is>
          <t>马嘉祺</t>
        </is>
      </c>
      <c r="I1496" t="n">
        <v>0</v>
      </c>
      <c r="J1496" t="n">
        <v>0</v>
      </c>
      <c r="K1496" t="n">
        <v>53.5</v>
      </c>
      <c r="L1496" t="n">
        <v>12652</v>
      </c>
      <c r="M1496" t="n">
        <v>970</v>
      </c>
      <c r="N1496" t="n">
        <v>116</v>
      </c>
      <c r="O1496" t="n">
        <v>28</v>
      </c>
    </row>
    <row r="1497">
      <c r="A1497" s="18" t="n">
        <v>46141</v>
      </c>
      <c r="B1497" t="inlineStr">
        <is>
          <t>18周</t>
        </is>
      </c>
      <c r="C1497" t="inlineStr">
        <is>
          <t>抖音</t>
        </is>
      </c>
      <c r="D1497" t="inlineStr"/>
      <c r="E1497" t="inlineStr"/>
      <c r="F1497" t="inlineStr">
        <is>
          <t>https://v.douyin.com/AHGgcslNWp0/</t>
        </is>
      </c>
      <c r="G1497" t="inlineStr">
        <is>
          <t>489</t>
        </is>
      </c>
      <c r="H1497" t="inlineStr">
        <is>
          <t>马嘉祺</t>
        </is>
      </c>
      <c r="I1497" t="n">
        <v>0</v>
      </c>
      <c r="J1497" t="n">
        <v>0</v>
      </c>
      <c r="K1497" t="n">
        <v>53.5</v>
      </c>
      <c r="L1497" t="n">
        <v>6000</v>
      </c>
      <c r="M1497" t="n">
        <v>410</v>
      </c>
      <c r="N1497" t="n">
        <v>14</v>
      </c>
      <c r="O1497" t="n">
        <v>56</v>
      </c>
    </row>
    <row r="1498">
      <c r="A1498" s="18" t="n">
        <v>46141</v>
      </c>
      <c r="B1498" t="inlineStr">
        <is>
          <t>18周</t>
        </is>
      </c>
      <c r="C1498" t="inlineStr">
        <is>
          <t>抖音</t>
        </is>
      </c>
      <c r="D1498" t="inlineStr"/>
      <c r="E1498" t="inlineStr"/>
      <c r="F1498" t="inlineStr">
        <is>
          <t>https://www.douyin.com/user/MS4wLjABAAAAavzgQwWbIt2vD9AspfENEF0-7feZHoHNRpu1_aYPF64?from_tab_name=main&amp;modal_id=7634161561200446318</t>
        </is>
      </c>
      <c r="G1498" t="inlineStr">
        <is>
          <t>0001A1</t>
        </is>
      </c>
      <c r="H1498" t="inlineStr">
        <is>
          <t>穿搭</t>
        </is>
      </c>
      <c r="I1498" t="n">
        <v>0</v>
      </c>
      <c r="J1498" t="n">
        <v>0</v>
      </c>
      <c r="K1498" t="n">
        <v>107.5</v>
      </c>
      <c r="L1498" t="n">
        <v>11000</v>
      </c>
      <c r="M1498" t="n">
        <v>344</v>
      </c>
      <c r="N1498" t="n">
        <v>71</v>
      </c>
      <c r="O1498" t="n">
        <v>15</v>
      </c>
    </row>
    <row r="1499">
      <c r="A1499" s="18" t="n">
        <v>46141</v>
      </c>
      <c r="B1499" t="inlineStr">
        <is>
          <t>18周</t>
        </is>
      </c>
      <c r="C1499" t="inlineStr">
        <is>
          <t>抖音</t>
        </is>
      </c>
      <c r="D1499" t="inlineStr"/>
      <c r="E1499" t="inlineStr"/>
      <c r="F1499" t="inlineStr">
        <is>
          <t>https://v.douyin.com/YgCzq1g8dto/</t>
        </is>
      </c>
      <c r="G1499" t="inlineStr">
        <is>
          <t>0001A1</t>
        </is>
      </c>
      <c r="H1499" t="inlineStr">
        <is>
          <t>跳舞</t>
        </is>
      </c>
      <c r="I1499" t="n">
        <v>50</v>
      </c>
      <c r="J1499" t="n">
        <v>0</v>
      </c>
      <c r="K1499" t="n">
        <v>107.5</v>
      </c>
      <c r="L1499" t="n">
        <v>167000</v>
      </c>
      <c r="M1499" t="n">
        <v>1604</v>
      </c>
      <c r="N1499" t="n">
        <v>258</v>
      </c>
      <c r="O1499" t="n">
        <v>25</v>
      </c>
    </row>
    <row r="1500">
      <c r="A1500" s="18" t="n">
        <v>46141</v>
      </c>
      <c r="B1500" t="inlineStr">
        <is>
          <t>18周</t>
        </is>
      </c>
      <c r="C1500" t="inlineStr">
        <is>
          <t>小红书</t>
        </is>
      </c>
      <c r="D1500" t="inlineStr"/>
      <c r="E1500" t="inlineStr"/>
      <c r="F1500" t="inlineStr">
        <is>
          <t>https://www.xiaohongshu.com/discovery/item/69f1e2b60000000020039909?xsec_token=CBMHE--7Wn6wqQ2xBCzS5j5WCs024D-LzcPQr9r7Q5Ihk=&amp;xsec_source=app_share&amp;type=video</t>
        </is>
      </c>
      <c r="G1500" t="inlineStr">
        <is>
          <t>489</t>
        </is>
      </c>
      <c r="H1500" t="inlineStr">
        <is>
          <t>马嘉祺</t>
        </is>
      </c>
      <c r="I1500" t="n">
        <v>0</v>
      </c>
      <c r="J1500" t="n">
        <v>0</v>
      </c>
      <c r="K1500" t="n">
        <v>53.5</v>
      </c>
      <c r="L1500" t="n">
        <v>20</v>
      </c>
      <c r="M1500" t="n">
        <v>2</v>
      </c>
      <c r="N1500" t="n">
        <v>0</v>
      </c>
      <c r="O1500" t="n">
        <v>0</v>
      </c>
    </row>
    <row r="1501">
      <c r="A1501" s="18" t="n">
        <v>46141</v>
      </c>
      <c r="B1501" t="inlineStr">
        <is>
          <t>18周</t>
        </is>
      </c>
      <c r="C1501" t="inlineStr">
        <is>
          <t>小红书</t>
        </is>
      </c>
      <c r="D1501" t="inlineStr"/>
      <c r="E1501" t="inlineStr"/>
      <c r="F1501" t="inlineStr">
        <is>
          <t>https://www.xiaohongshu.com/discovery/item/69f1f70b000000001f00120f?xsec_token=CBMHE--7Wn6wqQ2xBCzS5j5VzR8MPEV-AsLMNaQ3G-4X0=&amp;xsec_source=app_share</t>
        </is>
      </c>
      <c r="G1501" t="inlineStr">
        <is>
          <t>486</t>
        </is>
      </c>
      <c r="H1501" t="inlineStr">
        <is>
          <t>穿搭</t>
        </is>
      </c>
      <c r="I1501" t="n">
        <v>0</v>
      </c>
      <c r="J1501" t="n">
        <v>0</v>
      </c>
      <c r="K1501" t="n">
        <v>52.5</v>
      </c>
      <c r="L1501" t="n">
        <v>5561</v>
      </c>
      <c r="M1501" t="n">
        <v>375</v>
      </c>
      <c r="N1501" t="n">
        <v>92</v>
      </c>
      <c r="O1501" t="n">
        <v>10</v>
      </c>
    </row>
    <row r="1502">
      <c r="A1502" s="18" t="n">
        <v>46141</v>
      </c>
      <c r="B1502" t="inlineStr">
        <is>
          <t>18周</t>
        </is>
      </c>
      <c r="C1502" t="inlineStr">
        <is>
          <t>小红书</t>
        </is>
      </c>
      <c r="D1502" t="inlineStr"/>
      <c r="E1502" t="inlineStr"/>
      <c r="F1502" t="inlineStr">
        <is>
          <t>https://www.xiaohongshu.com/discovery/item/69f2133700000000370370d4?xsec_token=CBndS2rEZOPHsePAg0BaSegfLwKOn4DZ5JrTY5CHWV-Vo=&amp;xsec_source=app_share&amp;type=video</t>
        </is>
      </c>
      <c r="G1502" t="inlineStr">
        <is>
          <t>0002A1</t>
        </is>
      </c>
      <c r="H1502" t="inlineStr">
        <is>
          <t>穿搭</t>
        </is>
      </c>
      <c r="I1502" t="n">
        <v>200</v>
      </c>
      <c r="J1502" t="n">
        <v>0</v>
      </c>
      <c r="K1502" t="n">
        <v>110.5</v>
      </c>
      <c r="L1502" t="n">
        <v>9752</v>
      </c>
      <c r="M1502" t="n">
        <v>702</v>
      </c>
      <c r="N1502" t="n">
        <v>202</v>
      </c>
      <c r="O1502" t="n">
        <v>24</v>
      </c>
    </row>
    <row r="1503">
      <c r="A1503" s="18" t="n">
        <v>46142</v>
      </c>
      <c r="B1503" t="inlineStr">
        <is>
          <t>18周</t>
        </is>
      </c>
      <c r="C1503" t="inlineStr">
        <is>
          <t>抖音</t>
        </is>
      </c>
      <c r="D1503" t="inlineStr"/>
      <c r="E1503" t="inlineStr"/>
      <c r="F1503" t="inlineStr">
        <is>
          <t>https://v.douyin.com/-1sFDQC8AsM/</t>
        </is>
      </c>
      <c r="G1503" t="inlineStr">
        <is>
          <t>1217W</t>
        </is>
      </c>
      <c r="H1503" t="inlineStr">
        <is>
          <t>女高</t>
        </is>
      </c>
      <c r="I1503" t="n">
        <v>0</v>
      </c>
      <c r="J1503" t="n">
        <v>0</v>
      </c>
      <c r="K1503" t="n">
        <v>54</v>
      </c>
      <c r="L1503" t="n">
        <v>4225</v>
      </c>
      <c r="M1503" t="n">
        <v>571</v>
      </c>
      <c r="N1503" t="n">
        <v>19</v>
      </c>
      <c r="O1503" t="n">
        <v>45</v>
      </c>
    </row>
    <row r="1504">
      <c r="A1504" s="18" t="n">
        <v>46142</v>
      </c>
      <c r="B1504" t="inlineStr">
        <is>
          <t>18周</t>
        </is>
      </c>
      <c r="C1504" t="inlineStr">
        <is>
          <t>抖音</t>
        </is>
      </c>
      <c r="D1504" t="inlineStr"/>
      <c r="E1504" t="inlineStr"/>
      <c r="F1504" t="inlineStr">
        <is>
          <t>https://v.douyin.com/3N-KRmyyYOs/</t>
        </is>
      </c>
      <c r="G1504" t="inlineStr">
        <is>
          <t>459</t>
        </is>
      </c>
      <c r="H1504" t="inlineStr">
        <is>
          <t>通勤穿搭</t>
        </is>
      </c>
      <c r="I1504" t="n">
        <v>280</v>
      </c>
      <c r="J1504" t="n">
        <v>0</v>
      </c>
      <c r="K1504" t="n">
        <v>46.5</v>
      </c>
      <c r="L1504" t="n">
        <v>22000</v>
      </c>
      <c r="M1504" t="n">
        <v>260</v>
      </c>
      <c r="N1504" t="n">
        <v>38</v>
      </c>
      <c r="O1504" t="n">
        <v>20</v>
      </c>
    </row>
    <row r="1505">
      <c r="A1505" s="18" t="n">
        <v>46142</v>
      </c>
      <c r="B1505" t="inlineStr">
        <is>
          <t>18周</t>
        </is>
      </c>
      <c r="C1505" t="inlineStr">
        <is>
          <t>小红书</t>
        </is>
      </c>
      <c r="D1505" t="inlineStr"/>
      <c r="E1505" t="inlineStr"/>
      <c r="F1505" t="inlineStr">
        <is>
          <t>https://www.xiaohongshu.com/discovery/item/69f3274000000000230042b7?xsec_token=CBY6jykT9WXjp7it9ZJHYT8yUE4AAzjRPRQATQYMwrJIM=&amp;xsec_source=app_share&amp;type=video</t>
        </is>
      </c>
      <c r="G1505" t="inlineStr">
        <is>
          <t>459</t>
        </is>
      </c>
      <c r="H1505" t="inlineStr">
        <is>
          <t>穿搭</t>
        </is>
      </c>
      <c r="I1505" t="n">
        <v>0</v>
      </c>
      <c r="J1505" t="n">
        <v>0</v>
      </c>
      <c r="K1505" t="n">
        <v>46.5</v>
      </c>
      <c r="L1505" t="n">
        <v>7847</v>
      </c>
      <c r="M1505" t="n">
        <v>169</v>
      </c>
      <c r="N1505" t="n">
        <v>69</v>
      </c>
      <c r="O1505" t="n">
        <v>15</v>
      </c>
    </row>
    <row r="1506">
      <c r="A1506" s="18" t="n">
        <v>46142</v>
      </c>
      <c r="B1506" t="inlineStr">
        <is>
          <t>18周</t>
        </is>
      </c>
      <c r="C1506" t="inlineStr">
        <is>
          <t>小红书</t>
        </is>
      </c>
      <c r="D1506" t="inlineStr"/>
      <c r="E1506" t="inlineStr"/>
      <c r="F1506" t="inlineStr">
        <is>
          <t>https://www.xiaohongshu.com/discovery/item/69f33bda00000000230077a2?xsec_token=CBY6jykT9WXjp7it9ZJHYT86pUnWaYyP7FSd6wrtq0sN4=&amp;xsec_source=app_share&amp;type=video</t>
        </is>
      </c>
      <c r="G1506" t="inlineStr">
        <is>
          <t>459</t>
        </is>
      </c>
      <c r="H1506" t="inlineStr">
        <is>
          <t>通勤穿搭</t>
        </is>
      </c>
      <c r="I1506" t="n">
        <v>0</v>
      </c>
      <c r="J1506" t="n">
        <v>0</v>
      </c>
      <c r="K1506" t="n">
        <v>46.5</v>
      </c>
      <c r="L1506" t="n">
        <v>2984</v>
      </c>
      <c r="M1506" t="n">
        <v>200</v>
      </c>
      <c r="N1506" t="n">
        <v>32</v>
      </c>
      <c r="O1506" t="n">
        <v>16</v>
      </c>
    </row>
    <row r="1507">
      <c r="A1507" s="18" t="n">
        <v>46142</v>
      </c>
      <c r="B1507" t="inlineStr">
        <is>
          <t>18周</t>
        </is>
      </c>
      <c r="C1507" t="inlineStr">
        <is>
          <t>小红书</t>
        </is>
      </c>
      <c r="D1507" t="inlineStr"/>
      <c r="E1507" t="inlineStr"/>
      <c r="F1507" t="inlineStr">
        <is>
          <t>https://www.xiaohongshu.com/discovery/item/69f33c5e000000003503143c?xsec_token=CBY6jykT9WXjp7it9ZJHYT8xQGtm_Cj94fbwIhFlkf8x8=&amp;xsec_source=app_share&amp;type=video</t>
        </is>
      </c>
      <c r="G1507" t="inlineStr">
        <is>
          <t>495</t>
        </is>
      </c>
      <c r="H1507" t="inlineStr">
        <is>
          <t>口播</t>
        </is>
      </c>
      <c r="I1507" t="n">
        <v>360</v>
      </c>
      <c r="J1507" t="n">
        <v>0</v>
      </c>
      <c r="K1507" t="n">
        <v>93</v>
      </c>
      <c r="L1507" t="n">
        <v>24026</v>
      </c>
      <c r="M1507" t="n">
        <v>1233</v>
      </c>
      <c r="N1507" t="n">
        <v>769</v>
      </c>
      <c r="O1507" t="n">
        <v>107</v>
      </c>
    </row>
  </sheetData>
  <autoFilter ref="A2:R1429"/>
  <mergeCells count="5">
    <mergeCell ref="P1:R1"/>
    <mergeCell ref="G1:H1"/>
    <mergeCell ref="A1:F1"/>
    <mergeCell ref="I1:K1"/>
    <mergeCell ref="L1:O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 outlineLevelRow="3"/>
  <cols>
    <col width="12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24" customWidth="1" min="14" max="14"/>
  </cols>
  <sheetData>
    <row r="1" ht="15" customHeight="1">
      <c r="A1" s="4" t="inlineStr">
        <is>
          <t>达人ID</t>
        </is>
      </c>
      <c r="B1" s="4" t="inlineStr">
        <is>
          <t>达人姓名</t>
        </is>
      </c>
      <c r="C1" s="4" t="inlineStr">
        <is>
          <t>所属平台</t>
        </is>
      </c>
      <c r="D1" s="4" t="inlineStr">
        <is>
          <t>粉丝量级</t>
        </is>
      </c>
      <c r="E1" s="4" t="inlineStr">
        <is>
          <t>达人分级</t>
        </is>
      </c>
      <c r="F1" s="4" t="inlineStr">
        <is>
          <t>签约状态</t>
        </is>
      </c>
      <c r="G1" s="4" t="inlineStr">
        <is>
          <t>所属机构</t>
        </is>
      </c>
      <c r="H1" s="4" t="inlineStr">
        <is>
          <t>联系方式</t>
        </is>
      </c>
      <c r="I1" s="4" t="inlineStr">
        <is>
          <t>合作类型</t>
        </is>
      </c>
      <c r="J1" s="4" t="inlineStr">
        <is>
          <t>首次合作日期</t>
        </is>
      </c>
      <c r="K1" s="4" t="inlineStr">
        <is>
          <t>累计合作次数</t>
        </is>
      </c>
      <c r="L1" s="4" t="inlineStr">
        <is>
          <t>累计投放费用</t>
        </is>
      </c>
      <c r="M1" s="4" t="inlineStr">
        <is>
          <t>平均互动率</t>
        </is>
      </c>
      <c r="N1" s="4" t="inlineStr">
        <is>
          <t>备注</t>
        </is>
      </c>
    </row>
    <row r="2" ht="16.5" customHeight="1">
      <c r="A2" s="9" t="inlineStr">
        <is>
          <t>（暂无达人数据，后续做达人投放时在此添加）</t>
        </is>
      </c>
    </row>
    <row r="3" ht="14.25" customHeight="1">
      <c r="A3" s="10" t="inlineStr">
        <is>
          <t>↓ 公式示例（后续添加达人时参考） ↓</t>
        </is>
      </c>
    </row>
    <row r="4" ht="27" customHeight="1">
      <c r="A4" s="5" t="inlineStr">
        <is>
          <t>示例：KOL001</t>
        </is>
      </c>
      <c r="B4" s="5" t="inlineStr">
        <is>
          <t>示例达人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8">
        <f>IF(A4&lt;&gt;"",COUNTIF(投放明细表!D:D,A4),"")</f>
        <v/>
      </c>
      <c r="L4" s="7">
        <f>IF(A4&lt;&gt;"",SUMIF(投放明细表!D:D,A4,投放明细表!I:I)+SUMIF(投放明细表!D:D,A4,投放明细表!J:J)+SUMIF(投放明细表!D:D,A4,投放明细表!K:K),"")</f>
        <v/>
      </c>
      <c r="M4" s="11">
        <f>IF(A4&lt;&gt;"",IFERROR(AVERAGEIF(投放明细表!D:D,A4,投放明细表!Q:Q),""),"")</f>
        <v/>
      </c>
      <c r="N4" s="5" t="n"/>
    </row>
  </sheetData>
  <mergeCells count="2"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" customWidth="1" min="1" max="1"/>
    <col width="18" customWidth="1" min="2" max="2"/>
    <col width="10" customWidth="1" min="3" max="6"/>
    <col width="12" customWidth="1" min="7" max="8"/>
    <col width="10" customWidth="1" min="9" max="9"/>
    <col width="14" customWidth="1" min="10" max="10"/>
    <col width="12" customWidth="1" min="11" max="11"/>
    <col width="24" customWidth="1" min="12" max="12"/>
  </cols>
  <sheetData>
    <row r="1" ht="15" customHeight="1">
      <c r="A1" s="4" t="inlineStr">
        <is>
          <t>款式编号</t>
        </is>
      </c>
      <c r="B1" s="4" t="inlineStr">
        <is>
          <t>款式名称</t>
        </is>
      </c>
      <c r="C1" s="4" t="inlineStr">
        <is>
          <t>品类</t>
        </is>
      </c>
      <c r="D1" s="4" t="inlineStr">
        <is>
          <t>成本价</t>
        </is>
      </c>
      <c r="E1" s="4" t="inlineStr">
        <is>
          <t>售价</t>
        </is>
      </c>
      <c r="F1" s="4" t="inlineStr">
        <is>
          <t>毛利率</t>
        </is>
      </c>
      <c r="G1" s="4" t="inlineStr">
        <is>
          <t>上市时间</t>
        </is>
      </c>
      <c r="H1" s="4" t="inlineStr">
        <is>
          <t>主推平台</t>
        </is>
      </c>
      <c r="I1" s="4" t="inlineStr">
        <is>
          <t>状态</t>
        </is>
      </c>
      <c r="J1" s="4" t="inlineStr">
        <is>
          <t>累计投放费用</t>
        </is>
      </c>
      <c r="K1" s="4" t="inlineStr">
        <is>
          <t>累计互动量</t>
        </is>
      </c>
      <c r="L1" s="4" t="inlineStr">
        <is>
          <t>备注</t>
        </is>
      </c>
    </row>
    <row r="2">
      <c r="A2" s="5" t="inlineStr">
        <is>
          <t>495</t>
        </is>
      </c>
      <c r="B2" s="5" t="n"/>
      <c r="C2" s="5" t="inlineStr">
        <is>
          <t>鞋</t>
        </is>
      </c>
      <c r="D2" s="5" t="n">
        <v>93</v>
      </c>
      <c r="E2" s="5" t="n"/>
      <c r="F2" s="17">
        <f>IF(AND(D2&lt;&gt;"",E2&lt;&gt;"",E2&gt;0),(E2-D2)/E2,"")</f>
        <v/>
      </c>
      <c r="G2" s="5" t="n"/>
      <c r="H2" s="5" t="inlineStr">
        <is>
          <t>抖音</t>
        </is>
      </c>
      <c r="I2" s="5" t="inlineStr">
        <is>
          <t>在推</t>
        </is>
      </c>
      <c r="J2" s="7">
        <f>IF(A2&lt;&gt;"",SUMIF(投放明细表!G:G,A2,投放明细表!I:I)+SUMIF(投放明细表!G:G,A2,投放明细表!J:J)+SUMIF(投放明细表!G:G,A2,投放明细表!K:K),"")</f>
        <v/>
      </c>
      <c r="K2" s="8">
        <f>IF(A2&lt;&gt;"",SUMIF(投放明细表!G:G,A2,投放明细表!P:P),"")</f>
        <v/>
      </c>
      <c r="L2" s="5" t="n"/>
    </row>
    <row r="3">
      <c r="A3" s="5" t="inlineStr">
        <is>
          <t>0002A1</t>
        </is>
      </c>
      <c r="B3" s="5" t="n"/>
      <c r="C3" s="5" t="inlineStr">
        <is>
          <t>鞋</t>
        </is>
      </c>
      <c r="D3" s="5" t="n">
        <v>110.5</v>
      </c>
      <c r="E3" s="5" t="n"/>
      <c r="F3" s="17">
        <f>IF(AND(D3&lt;&gt;"",E3&lt;&gt;"",E3&gt;0),(E3-D3)/E3,"")</f>
        <v/>
      </c>
      <c r="G3" s="5" t="n"/>
      <c r="H3" s="5" t="inlineStr">
        <is>
          <t>抖音</t>
        </is>
      </c>
      <c r="I3" s="5" t="inlineStr">
        <is>
          <t>在推</t>
        </is>
      </c>
      <c r="J3" s="7">
        <f>IF(A3&lt;&gt;"",SUMIF(投放明细表!G:G,A3,投放明细表!I:I)+SUMIF(投放明细表!G:G,A3,投放明细表!J:J)+SUMIF(投放明细表!G:G,A3,投放明细表!K:K),"")</f>
        <v/>
      </c>
      <c r="K3" s="8">
        <f>IF(A3&lt;&gt;"",SUMIF(投放明细表!G:G,A3,投放明细表!P:P),"")</f>
        <v/>
      </c>
      <c r="L3" s="5" t="n"/>
    </row>
    <row r="4">
      <c r="A4" s="5" t="inlineStr">
        <is>
          <t>0001A1</t>
        </is>
      </c>
      <c r="B4" s="5" t="n"/>
      <c r="C4" s="5" t="inlineStr">
        <is>
          <t>鞋</t>
        </is>
      </c>
      <c r="D4" s="5" t="n">
        <v>107.5</v>
      </c>
      <c r="E4" s="5" t="n"/>
      <c r="F4" s="17">
        <f>IF(AND(D4&lt;&gt;"",E4&lt;&gt;"",E4&gt;0),(E4-D4)/E4,"")</f>
        <v/>
      </c>
      <c r="G4" s="5" t="n"/>
      <c r="H4" s="5" t="inlineStr">
        <is>
          <t>抖音</t>
        </is>
      </c>
      <c r="I4" s="5" t="inlineStr">
        <is>
          <t>在推</t>
        </is>
      </c>
      <c r="J4" s="7">
        <f>IF(A4&lt;&gt;"",SUMIF(投放明细表!G:G,A4,投放明细表!I:I)+SUMIF(投放明细表!G:G,A4,投放明细表!J:J)+SUMIF(投放明细表!G:G,A4,投放明细表!K:K),"")</f>
        <v/>
      </c>
      <c r="K4" s="8">
        <f>IF(A4&lt;&gt;"",SUMIF(投放明细表!G:G,A4,投放明细表!P:P),"")</f>
        <v/>
      </c>
      <c r="L4" s="5" t="n"/>
    </row>
    <row r="5">
      <c r="A5" s="5" t="inlineStr">
        <is>
          <t>459</t>
        </is>
      </c>
      <c r="B5" s="5" t="n"/>
      <c r="C5" s="5" t="inlineStr">
        <is>
          <t>鞋</t>
        </is>
      </c>
      <c r="D5" s="5" t="n">
        <v>46.5</v>
      </c>
      <c r="E5" s="5" t="n"/>
      <c r="F5" s="17">
        <f>IF(AND(D5&lt;&gt;"",E5&lt;&gt;"",E5&gt;0),(E5-D5)/E5,"")</f>
        <v/>
      </c>
      <c r="G5" s="5" t="n"/>
      <c r="H5" s="5" t="inlineStr">
        <is>
          <t>抖音</t>
        </is>
      </c>
      <c r="I5" s="5" t="inlineStr">
        <is>
          <t>在推</t>
        </is>
      </c>
      <c r="J5" s="7">
        <f>IF(A5&lt;&gt;"",SUMIF(投放明细表!G:G,A5,投放明细表!I:I)+SUMIF(投放明细表!G:G,A5,投放明细表!J:J)+SUMIF(投放明细表!G:G,A5,投放明细表!K:K),"")</f>
        <v/>
      </c>
      <c r="K5" s="8">
        <f>IF(A5&lt;&gt;"",SUMIF(投放明细表!G:G,A5,投放明细表!P:P),"")</f>
        <v/>
      </c>
      <c r="L5" s="5" t="n"/>
    </row>
    <row r="6">
      <c r="A6" s="5" t="inlineStr">
        <is>
          <t>0003A2</t>
        </is>
      </c>
      <c r="B6" s="5" t="n"/>
      <c r="C6" s="5" t="inlineStr">
        <is>
          <t>鞋</t>
        </is>
      </c>
      <c r="D6" s="5" t="n">
        <v>49.5</v>
      </c>
      <c r="E6" s="5" t="n"/>
      <c r="F6" s="17">
        <f>IF(AND(D6&lt;&gt;"",E6&lt;&gt;"",E6&gt;0),(E6-D6)/E6,"")</f>
        <v/>
      </c>
      <c r="G6" s="5" t="n"/>
      <c r="H6" s="5" t="inlineStr">
        <is>
          <t>抖音</t>
        </is>
      </c>
      <c r="I6" s="5" t="inlineStr">
        <is>
          <t>在推</t>
        </is>
      </c>
      <c r="J6" s="7">
        <f>IF(A6&lt;&gt;"",SUMIF(投放明细表!G:G,A6,投放明细表!I:I)+SUMIF(投放明细表!G:G,A6,投放明细表!J:J)+SUMIF(投放明细表!G:G,A6,投放明细表!K:K),"")</f>
        <v/>
      </c>
      <c r="K6" s="8">
        <f>IF(A6&lt;&gt;"",SUMIF(投放明细表!G:G,A6,投放明细表!P:P),"")</f>
        <v/>
      </c>
      <c r="L6" s="5" t="n"/>
    </row>
    <row r="7">
      <c r="A7" s="5" t="inlineStr">
        <is>
          <t>489</t>
        </is>
      </c>
      <c r="B7" s="5" t="n"/>
      <c r="C7" s="5" t="inlineStr">
        <is>
          <t>鞋</t>
        </is>
      </c>
      <c r="D7" s="5" t="n">
        <v>53.5</v>
      </c>
      <c r="E7" s="5" t="n"/>
      <c r="F7" s="17">
        <f>IF(AND(D7&lt;&gt;"",E7&lt;&gt;"",E7&gt;0),(E7-D7)/E7,"")</f>
        <v/>
      </c>
      <c r="G7" s="5" t="n"/>
      <c r="H7" s="5" t="inlineStr">
        <is>
          <t>抖音</t>
        </is>
      </c>
      <c r="I7" s="5" t="inlineStr">
        <is>
          <t>在推</t>
        </is>
      </c>
      <c r="J7" s="7">
        <f>IF(A7&lt;&gt;"",SUMIF(投放明细表!G:G,A7,投放明细表!I:I)+SUMIF(投放明细表!G:G,A7,投放明细表!J:J)+SUMIF(投放明细表!G:G,A7,投放明细表!K:K),"")</f>
        <v/>
      </c>
      <c r="K7" s="8">
        <f>IF(A7&lt;&gt;"",SUMIF(投放明细表!G:G,A7,投放明细表!P:P),"")</f>
        <v/>
      </c>
      <c r="L7" s="5" t="n"/>
    </row>
    <row r="8">
      <c r="A8" s="5" t="inlineStr">
        <is>
          <t>001A1</t>
        </is>
      </c>
      <c r="B8" s="5" t="n"/>
      <c r="C8" s="5" t="inlineStr">
        <is>
          <t>鞋</t>
        </is>
      </c>
      <c r="D8" s="5" t="n">
        <v>107.5</v>
      </c>
      <c r="E8" s="5" t="n"/>
      <c r="F8" s="17">
        <f>IF(AND(D8&lt;&gt;"",E8&lt;&gt;"",E8&gt;0),(E8-D8)/E8,"")</f>
        <v/>
      </c>
      <c r="G8" s="5" t="n"/>
      <c r="H8" s="5" t="inlineStr">
        <is>
          <t>抖音</t>
        </is>
      </c>
      <c r="I8" s="5" t="inlineStr">
        <is>
          <t>在推</t>
        </is>
      </c>
      <c r="J8" s="7">
        <f>IF(A8&lt;&gt;"",SUMIF(投放明细表!G:G,A8,投放明细表!I:I)+SUMIF(投放明细表!G:G,A8,投放明细表!J:J)+SUMIF(投放明细表!G:G,A8,投放明细表!K:K),"")</f>
        <v/>
      </c>
      <c r="K8" s="8">
        <f>IF(A8&lt;&gt;"",SUMIF(投放明细表!G:G,A8,投放明细表!P:P),"")</f>
        <v/>
      </c>
      <c r="L8" s="5" t="n"/>
    </row>
    <row r="9">
      <c r="A9" s="5" t="inlineStr">
        <is>
          <t>1093W</t>
        </is>
      </c>
      <c r="B9" s="5" t="n"/>
      <c r="C9" s="5" t="inlineStr">
        <is>
          <t>鞋</t>
        </is>
      </c>
      <c r="D9" s="5" t="n"/>
      <c r="E9" s="5" t="n"/>
      <c r="F9" s="17">
        <f>IF(AND(D9&lt;&gt;"",E9&lt;&gt;"",E9&gt;0),(E9-D9)/E9,"")</f>
        <v/>
      </c>
      <c r="G9" s="5" t="n"/>
      <c r="H9" s="5" t="inlineStr">
        <is>
          <t>抖音</t>
        </is>
      </c>
      <c r="I9" s="5" t="inlineStr">
        <is>
          <t>在推</t>
        </is>
      </c>
      <c r="J9" s="7">
        <f>IF(A9&lt;&gt;"",SUMIF(投放明细表!G:G,A9,投放明细表!I:I)+SUMIF(投放明细表!G:G,A9,投放明细表!J:J)+SUMIF(投放明细表!G:G,A9,投放明细表!K:K),"")</f>
        <v/>
      </c>
      <c r="K9" s="8">
        <f>IF(A9&lt;&gt;"",SUMIF(投放明细表!G:G,A9,投放明细表!P:P),"")</f>
        <v/>
      </c>
      <c r="L9" s="5" t="n"/>
    </row>
    <row r="10">
      <c r="A10" s="5" t="inlineStr">
        <is>
          <t>1217W</t>
        </is>
      </c>
      <c r="B10" s="5" t="n"/>
      <c r="C10" s="5" t="inlineStr">
        <is>
          <t>鞋</t>
        </is>
      </c>
      <c r="D10" s="5" t="n">
        <v>54</v>
      </c>
      <c r="E10" s="5" t="n"/>
      <c r="F10" s="17">
        <f>IF(AND(D10&lt;&gt;"",E10&lt;&gt;"",E10&gt;0),(E10-D10)/E10,"")</f>
        <v/>
      </c>
      <c r="G10" s="5" t="n"/>
      <c r="H10" s="5" t="inlineStr">
        <is>
          <t>抖音</t>
        </is>
      </c>
      <c r="I10" s="5" t="inlineStr">
        <is>
          <t>在推</t>
        </is>
      </c>
      <c r="J10" s="7">
        <f>IF(A10&lt;&gt;"",SUMIF(投放明细表!G:G,A10,投放明细表!I:I)+SUMIF(投放明细表!G:G,A10,投放明细表!J:J)+SUMIF(投放明细表!G:G,A10,投放明细表!K:K),"")</f>
        <v/>
      </c>
      <c r="K10" s="8">
        <f>IF(A10&lt;&gt;"",SUMIF(投放明细表!G:G,A10,投放明细表!P:P),"")</f>
        <v/>
      </c>
      <c r="L10" s="5" t="n"/>
    </row>
    <row r="11">
      <c r="A11" s="5" t="inlineStr">
        <is>
          <t>1225</t>
        </is>
      </c>
      <c r="B11" s="5" t="n"/>
      <c r="C11" s="5" t="inlineStr">
        <is>
          <t>鞋</t>
        </is>
      </c>
      <c r="D11" s="5" t="n">
        <v>55.5</v>
      </c>
      <c r="E11" s="5" t="n"/>
      <c r="F11" s="17">
        <f>IF(AND(D11&lt;&gt;"",E11&lt;&gt;"",E11&gt;0),(E11-D11)/E11,"")</f>
        <v/>
      </c>
      <c r="G11" s="5" t="n"/>
      <c r="H11" s="5" t="inlineStr">
        <is>
          <t>抖音</t>
        </is>
      </c>
      <c r="I11" s="5" t="inlineStr">
        <is>
          <t>在推</t>
        </is>
      </c>
      <c r="J11" s="7">
        <f>IF(A11&lt;&gt;"",SUMIF(投放明细表!G:G,A11,投放明细表!I:I)+SUMIF(投放明细表!G:G,A11,投放明细表!J:J)+SUMIF(投放明细表!G:G,A11,投放明细表!K:K),"")</f>
        <v/>
      </c>
      <c r="K11" s="8">
        <f>IF(A11&lt;&gt;"",SUMIF(投放明细表!G:G,A11,投放明细表!P:P),"")</f>
        <v/>
      </c>
      <c r="L11" s="5" t="n"/>
    </row>
    <row r="12">
      <c r="A12" s="5" t="inlineStr">
        <is>
          <t>492</t>
        </is>
      </c>
      <c r="B12" s="5" t="n"/>
      <c r="C12" s="5" t="inlineStr">
        <is>
          <t>鞋</t>
        </is>
      </c>
      <c r="D12" s="5" t="n">
        <v>69.5</v>
      </c>
      <c r="E12" s="5" t="n"/>
      <c r="F12" s="17">
        <f>IF(AND(D12&lt;&gt;"",E12&lt;&gt;"",E12&gt;0),(E12-D12)/E12,"")</f>
        <v/>
      </c>
      <c r="G12" s="5" t="n"/>
      <c r="H12" s="5" t="inlineStr">
        <is>
          <t>抖音</t>
        </is>
      </c>
      <c r="I12" s="5" t="inlineStr">
        <is>
          <t>在推</t>
        </is>
      </c>
      <c r="J12" s="7">
        <f>IF(A12&lt;&gt;"",SUMIF(投放明细表!G:G,A12,投放明细表!I:I)+SUMIF(投放明细表!G:G,A12,投放明细表!J:J)+SUMIF(投放明细表!G:G,A12,投放明细表!K:K),"")</f>
        <v/>
      </c>
      <c r="K12" s="8">
        <f>IF(A12&lt;&gt;"",SUMIF(投放明细表!G:G,A12,投放明细表!P:P),"")</f>
        <v/>
      </c>
      <c r="L12" s="5" t="n"/>
    </row>
    <row r="13">
      <c r="A13" s="5" t="inlineStr">
        <is>
          <t>1172W</t>
        </is>
      </c>
      <c r="B13" s="5" t="n"/>
      <c r="C13" s="5" t="inlineStr">
        <is>
          <t>鞋</t>
        </is>
      </c>
      <c r="D13" s="5" t="n">
        <v>57.5</v>
      </c>
      <c r="E13" s="5" t="n"/>
      <c r="F13" s="17">
        <f>IF(AND(D13&lt;&gt;"",E13&lt;&gt;"",E13&gt;0),(E13-D13)/E13,"")</f>
        <v/>
      </c>
      <c r="G13" s="5" t="n"/>
      <c r="H13" s="5" t="inlineStr">
        <is>
          <t>抖音</t>
        </is>
      </c>
      <c r="I13" s="5" t="inlineStr">
        <is>
          <t>在推</t>
        </is>
      </c>
      <c r="J13" s="7">
        <f>IF(A13&lt;&gt;"",SUMIF(投放明细表!G:G,A13,投放明细表!I:I)+SUMIF(投放明细表!G:G,A13,投放明细表!J:J)+SUMIF(投放明细表!G:G,A13,投放明细表!K:K),"")</f>
        <v/>
      </c>
      <c r="K13" s="8">
        <f>IF(A13&lt;&gt;"",SUMIF(投放明细表!G:G,A13,投放明细表!P:P),"")</f>
        <v/>
      </c>
      <c r="L13" s="5" t="n"/>
    </row>
    <row r="14">
      <c r="A14" s="5" t="inlineStr">
        <is>
          <t>486</t>
        </is>
      </c>
      <c r="B14" s="5" t="n"/>
      <c r="C14" s="5" t="inlineStr">
        <is>
          <t>鞋</t>
        </is>
      </c>
      <c r="D14" s="5" t="n">
        <v>52.5</v>
      </c>
      <c r="E14" s="5" t="n"/>
      <c r="F14" s="17">
        <f>IF(AND(D14&lt;&gt;"",E14&lt;&gt;"",E14&gt;0),(E14-D14)/E14,"")</f>
        <v/>
      </c>
      <c r="G14" s="5" t="n"/>
      <c r="H14" s="5" t="inlineStr">
        <is>
          <t>抖音</t>
        </is>
      </c>
      <c r="I14" s="5" t="inlineStr">
        <is>
          <t>测试</t>
        </is>
      </c>
      <c r="J14" s="7">
        <f>IF(A14&lt;&gt;"",SUMIF(投放明细表!G:G,A14,投放明细表!I:I)+SUMIF(投放明细表!G:G,A14,投放明细表!J:J)+SUMIF(投放明细表!G:G,A14,投放明细表!K:K),"")</f>
        <v/>
      </c>
      <c r="K14" s="8">
        <f>IF(A14&lt;&gt;"",SUMIF(投放明细表!G:G,A14,投放明细表!P:P),"")</f>
        <v/>
      </c>
      <c r="L14" s="5" t="n"/>
    </row>
    <row r="15">
      <c r="A15" s="5" t="inlineStr">
        <is>
          <t>000A1</t>
        </is>
      </c>
      <c r="B15" s="5" t="n"/>
      <c r="C15" s="5" t="inlineStr">
        <is>
          <t>鞋</t>
        </is>
      </c>
      <c r="D15" s="5" t="n">
        <v>107.5</v>
      </c>
      <c r="E15" s="5" t="n"/>
      <c r="F15" s="17">
        <f>IF(AND(D15&lt;&gt;"",E15&lt;&gt;"",E15&gt;0),(E15-D15)/E15,"")</f>
        <v/>
      </c>
      <c r="G15" s="5" t="n"/>
      <c r="H15" s="5" t="inlineStr">
        <is>
          <t>抖音</t>
        </is>
      </c>
      <c r="I15" s="5" t="inlineStr">
        <is>
          <t>测试</t>
        </is>
      </c>
      <c r="J15" s="7">
        <f>IF(A15&lt;&gt;"",SUMIF(投放明细表!G:G,A15,投放明细表!I:I)+SUMIF(投放明细表!G:G,A15,投放明细表!J:J)+SUMIF(投放明细表!G:G,A15,投放明细表!K:K),"")</f>
        <v/>
      </c>
      <c r="K15" s="8">
        <f>IF(A15&lt;&gt;"",SUMIF(投放明细表!G:G,A15,投放明细表!P:P),"")</f>
        <v/>
      </c>
      <c r="L15" s="5" t="n"/>
    </row>
    <row r="16">
      <c r="A16" s="5" t="inlineStr">
        <is>
          <t>493AX</t>
        </is>
      </c>
      <c r="B16" s="5" t="n"/>
      <c r="C16" s="5" t="inlineStr">
        <is>
          <t>鞋</t>
        </is>
      </c>
      <c r="D16" s="5" t="n">
        <v>98</v>
      </c>
      <c r="E16" s="5" t="n"/>
      <c r="F16" s="17">
        <f>IF(AND(D16&lt;&gt;"",E16&lt;&gt;"",E16&gt;0),(E16-D16)/E16,"")</f>
        <v/>
      </c>
      <c r="G16" s="5" t="n"/>
      <c r="H16" s="5" t="inlineStr">
        <is>
          <t>抖音</t>
        </is>
      </c>
      <c r="I16" s="5" t="inlineStr">
        <is>
          <t>测试</t>
        </is>
      </c>
      <c r="J16" s="7">
        <f>IF(A16&lt;&gt;"",SUMIF(投放明细表!G:G,A16,投放明细表!I:I)+SUMIF(投放明细表!G:G,A16,投放明细表!J:J)+SUMIF(投放明细表!G:G,A16,投放明细表!K:K),"")</f>
        <v/>
      </c>
      <c r="K16" s="8">
        <f>IF(A16&lt;&gt;"",SUMIF(投放明细表!G:G,A16,投放明细表!P:P),"")</f>
        <v/>
      </c>
      <c r="L16" s="5" t="n"/>
    </row>
    <row r="17">
      <c r="A17" s="5" t="inlineStr">
        <is>
          <t>489Y</t>
        </is>
      </c>
      <c r="B17" s="5" t="n"/>
      <c r="C17" s="5" t="inlineStr">
        <is>
          <t>鞋</t>
        </is>
      </c>
      <c r="D17" s="5" t="n">
        <v>53.5</v>
      </c>
      <c r="E17" s="5" t="n"/>
      <c r="F17" s="17">
        <f>IF(AND(D17&lt;&gt;"",E17&lt;&gt;"",E17&gt;0),(E17-D17)/E17,"")</f>
        <v/>
      </c>
      <c r="G17" s="5" t="n"/>
      <c r="H17" s="5" t="inlineStr">
        <is>
          <t>抖音</t>
        </is>
      </c>
      <c r="I17" s="5" t="inlineStr">
        <is>
          <t>测试</t>
        </is>
      </c>
      <c r="J17" s="7">
        <f>IF(A17&lt;&gt;"",SUMIF(投放明细表!G:G,A17,投放明细表!I:I)+SUMIF(投放明细表!G:G,A17,投放明细表!J:J)+SUMIF(投放明细表!G:G,A17,投放明细表!K:K),"")</f>
        <v/>
      </c>
      <c r="K17" s="8">
        <f>IF(A17&lt;&gt;"",SUMIF(投放明细表!G:G,A17,投放明细表!P:P),"")</f>
        <v/>
      </c>
      <c r="L17" s="5" t="n"/>
    </row>
    <row r="18">
      <c r="A18" s="5" t="inlineStr">
        <is>
          <t>1227W</t>
        </is>
      </c>
      <c r="B18" s="5" t="n"/>
      <c r="C18" s="5" t="inlineStr">
        <is>
          <t>鞋</t>
        </is>
      </c>
      <c r="D18" s="5" t="n">
        <v>61</v>
      </c>
      <c r="E18" s="5" t="n"/>
      <c r="F18" s="17">
        <f>IF(AND(D18&lt;&gt;"",E18&lt;&gt;"",E18&gt;0),(E18-D18)/E18,"")</f>
        <v/>
      </c>
      <c r="G18" s="5" t="n"/>
      <c r="H18" s="5" t="inlineStr">
        <is>
          <t>小红书</t>
        </is>
      </c>
      <c r="I18" s="5" t="inlineStr">
        <is>
          <t>测试</t>
        </is>
      </c>
      <c r="J18" s="7">
        <f>IF(A18&lt;&gt;"",SUMIF(投放明细表!G:G,A18,投放明细表!I:I)+SUMIF(投放明细表!G:G,A18,投放明细表!J:J)+SUMIF(投放明细表!G:G,A18,投放明细表!K:K),"")</f>
        <v/>
      </c>
      <c r="K18" s="8">
        <f>IF(A18&lt;&gt;"",SUMIF(投放明细表!G:G,A18,投放明细表!P:P),"")</f>
        <v/>
      </c>
      <c r="L18" s="5" t="n"/>
    </row>
    <row r="19">
      <c r="A19" s="5" t="inlineStr">
        <is>
          <t>1225W</t>
        </is>
      </c>
      <c r="B19" s="5" t="n"/>
      <c r="C19" s="5" t="inlineStr">
        <is>
          <t>鞋</t>
        </is>
      </c>
      <c r="D19" s="5" t="n">
        <v>60.5</v>
      </c>
      <c r="E19" s="5" t="n"/>
      <c r="F19" s="17">
        <f>IF(AND(D19&lt;&gt;"",E19&lt;&gt;"",E19&gt;0),(E19-D19)/E19,"")</f>
        <v/>
      </c>
      <c r="G19" s="5" t="n"/>
      <c r="H19" s="5" t="inlineStr">
        <is>
          <t>抖音</t>
        </is>
      </c>
      <c r="I19" s="5" t="inlineStr">
        <is>
          <t>测试</t>
        </is>
      </c>
      <c r="J19" s="7">
        <f>IF(A19&lt;&gt;"",SUMIF(投放明细表!G:G,A19,投放明细表!I:I)+SUMIF(投放明细表!G:G,A19,投放明细表!J:J)+SUMIF(投放明细表!G:G,A19,投放明细表!K:K),"")</f>
        <v/>
      </c>
      <c r="K19" s="8">
        <f>IF(A19&lt;&gt;"",SUMIF(投放明细表!G:G,A19,投放明细表!P:P),"")</f>
        <v/>
      </c>
      <c r="L1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ColWidth="9" defaultRowHeight="13.5"/>
  <cols>
    <col width="80" customWidth="1" min="1" max="1"/>
  </cols>
  <sheetData>
    <row r="1" ht="21" customHeight="1">
      <c r="A1" s="1" t="inlineStr">
        <is>
          <t>📋 达人投放数据 - 使用指南</t>
        </is>
      </c>
    </row>
    <row r="2" ht="16.5" customHeight="1">
      <c r="A2" s="2" t="inlineStr"/>
    </row>
    <row r="3" ht="18" customHeight="1">
      <c r="A3" s="3" t="inlineStr">
        <is>
          <t>一、文件结构</t>
        </is>
      </c>
    </row>
    <row r="4" ht="16.5" customHeight="1">
      <c r="A4" s="2" t="inlineStr">
        <is>
          <t xml:space="preserve">  1. 投放明细表 - 每条投放记录一行（1-7月历史数据已填充）</t>
        </is>
      </c>
    </row>
    <row r="5" ht="16.5" customHeight="1">
      <c r="A5" s="2" t="inlineStr">
        <is>
          <t xml:space="preserve">  2. 达人主数据 - 目前暂无达人维度数据，后续做达人投放时在此维护</t>
        </is>
      </c>
    </row>
    <row r="6" ht="16.5" customHeight="1">
      <c r="A6" s="2" t="inlineStr">
        <is>
          <t xml:space="preserve">  3. 款式主数据 - 18个款式，累计数据自动联动更新</t>
        </is>
      </c>
    </row>
    <row r="7" ht="16.5" customHeight="1">
      <c r="A7" s="2" t="inlineStr">
        <is>
          <t xml:space="preserve">  4. 更新指南 - 本页</t>
        </is>
      </c>
    </row>
    <row r="8" ht="16.5" customHeight="1">
      <c r="A8" s="2" t="inlineStr"/>
    </row>
    <row r="9" ht="18" customHeight="1">
      <c r="A9" s="3" t="inlineStr">
        <is>
          <t>二、字段映射说明（原始数据 → 新模板）</t>
        </is>
      </c>
    </row>
    <row r="10" ht="16.5" customHeight="1">
      <c r="A10" s="2" t="inlineStr">
        <is>
          <t xml:space="preserve">  日期 → 投放日期</t>
        </is>
      </c>
    </row>
    <row r="11" ht="16.5" customHeight="1">
      <c r="A11" s="2" t="inlineStr">
        <is>
          <t xml:space="preserve">  （计算）→ 所属周（根据日期自动算出第几周）</t>
        </is>
      </c>
    </row>
    <row r="12" ht="16.5" customHeight="1">
      <c r="A12" s="2" t="inlineStr">
        <is>
          <t xml:space="preserve">  平台 → 平台</t>
        </is>
      </c>
    </row>
    <row r="13" ht="16.5" customHeight="1">
      <c r="A13" s="2" t="inlineStr">
        <is>
          <t xml:space="preserve">  （暂无）→ 达人ID / 达人姓名（留空）</t>
        </is>
      </c>
    </row>
    <row r="14" ht="16.5" customHeight="1">
      <c r="A14" s="2" t="inlineStr">
        <is>
          <t xml:space="preserve">  发布链接 → 内容链接</t>
        </is>
      </c>
    </row>
    <row r="15" ht="16.5" customHeight="1">
      <c r="A15" s="2" t="inlineStr">
        <is>
          <t xml:space="preserve">  款式 → 款式编号</t>
        </is>
      </c>
    </row>
    <row r="16" ht="16.5" customHeight="1">
      <c r="A16" s="2" t="inlineStr">
        <is>
          <t xml:space="preserve">  内容类型 → 内容类型（包含穿搭/口播/明星名字等所有内容形式）</t>
        </is>
      </c>
    </row>
    <row r="17" ht="16.5" customHeight="1">
      <c r="A17" s="2" t="inlineStr">
        <is>
          <t xml:space="preserve">  投放费用 → 达人合作费（原始数据只有总费用，全部计入此列）</t>
        </is>
      </c>
    </row>
    <row r="18" ht="16.5" customHeight="1">
      <c r="A18" s="2" t="inlineStr">
        <is>
          <t xml:space="preserve">  （暂无）→ 平台投放费</t>
        </is>
      </c>
    </row>
    <row r="19" ht="16.5" customHeight="1">
      <c r="A19" s="2" t="inlineStr">
        <is>
          <t xml:space="preserve">  成本+运费 → 样品/运费成本</t>
        </is>
      </c>
    </row>
    <row r="20" ht="16.5" customHeight="1">
      <c r="A20" s="2" t="inlineStr">
        <is>
          <t xml:space="preserve">  （暂无）→ 曝光量</t>
        </is>
      </c>
    </row>
    <row r="21" ht="16.5" customHeight="1">
      <c r="A21" s="2" t="inlineStr">
        <is>
          <t xml:space="preserve">  点击量 → 点击量</t>
        </is>
      </c>
    </row>
    <row r="22" ht="16.5" customHeight="1">
      <c r="A22" s="2" t="inlineStr">
        <is>
          <t xml:space="preserve">  点赞/收藏/评论 → 点赞数/收藏数/评论数</t>
        </is>
      </c>
    </row>
    <row r="23" ht="16.5" customHeight="1">
      <c r="A23" s="2" t="inlineStr">
        <is>
          <t xml:space="preserve">  （自动计算）→ 总互动量 / 互动率 / 单互动成本</t>
        </is>
      </c>
    </row>
    <row r="24" ht="16.5" customHeight="1">
      <c r="A24" s="2" t="inlineStr"/>
    </row>
    <row r="25" ht="18" customHeight="1">
      <c r="A25" s="3" t="inlineStr">
        <is>
          <t>三、颜色说明</t>
        </is>
      </c>
    </row>
    <row r="26" ht="16.5" customHeight="1">
      <c r="A26" s="2" t="inlineStr">
        <is>
          <t xml:space="preserve">  白色 = 数据 / 手动填写</t>
        </is>
      </c>
    </row>
    <row r="27" ht="16.5" customHeight="1">
      <c r="A27" s="2" t="inlineStr">
        <is>
          <t xml:space="preserve">  🔵 蓝色 = 公式自动计算</t>
        </is>
      </c>
    </row>
    <row r="28" ht="16.5" customHeight="1">
      <c r="A28" s="2" t="inlineStr"/>
    </row>
    <row r="29" ht="18" customHeight="1">
      <c r="A29" s="3" t="inlineStr">
        <is>
          <t>四、后续更新方式</t>
        </is>
      </c>
    </row>
    <row r="30" ht="16.5" customHeight="1">
      <c r="A30" s="2" t="inlineStr">
        <is>
          <t xml:space="preserve">  每周/每月新增数据时，在"投放明细表"底部追加新行即可</t>
        </is>
      </c>
    </row>
    <row r="31" ht="16.5" customHeight="1">
      <c r="A31" s="2" t="inlineStr">
        <is>
          <t xml:space="preserve">  款式主数据的累计值会自动更新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2026-08-14T11:25:00Z</dcterms:created>
  <dcterms:modified xmlns:dcterms="http://purl.org/dc/terms/" xmlns:xsi="http://www.w3.org/2001/XMLSchema-instance" xsi:type="dcterms:W3CDTF">2026-08-19T02:53:08Z</dcterms:modified>
  <cp:lastModifiedBy>leann'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530514BDEC0147908895BB655DF620FB_12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